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F:\工程计算方法\第四次作业\"/>
    </mc:Choice>
  </mc:AlternateContent>
  <xr:revisionPtr revIDLastSave="0" documentId="13_ncr:1_{253598BA-75AA-42AF-9E83-1C0362F3FE32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牛顿法求解方程组1" sheetId="1" r:id="rId1"/>
    <sheet name="最速下降法" sheetId="5" r:id="rId2"/>
    <sheet name="最速下降法（其他例子）" sheetId="4" r:id="rId3"/>
    <sheet name="牛顿法（其他例子）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6" l="1"/>
  <c r="D17" i="6"/>
  <c r="E17" i="6"/>
  <c r="F17" i="6"/>
  <c r="G17" i="6"/>
  <c r="I17" i="6"/>
  <c r="C18" i="6"/>
  <c r="D18" i="6"/>
  <c r="E18" i="6"/>
  <c r="F18" i="6"/>
  <c r="G18" i="6"/>
  <c r="C19" i="6"/>
  <c r="D19" i="6"/>
  <c r="E19" i="6"/>
  <c r="F19" i="6"/>
  <c r="G19" i="6"/>
  <c r="C20" i="6"/>
  <c r="D20" i="6"/>
  <c r="E20" i="6"/>
  <c r="F20" i="6"/>
  <c r="G20" i="6"/>
  <c r="C21" i="6"/>
  <c r="D21" i="6"/>
  <c r="E21" i="6"/>
  <c r="F21" i="6"/>
  <c r="G21" i="6"/>
  <c r="C22" i="6"/>
  <c r="D22" i="6"/>
  <c r="E22" i="6"/>
  <c r="F22" i="6"/>
  <c r="G22" i="6"/>
  <c r="C24" i="6" a="1"/>
  <c r="C24" i="6" s="1"/>
  <c r="C29" i="6" s="1" a="1"/>
  <c r="C29" i="6" s="1"/>
  <c r="C30" i="6" s="1" a="1"/>
  <c r="E32" i="6"/>
  <c r="E33" i="6"/>
  <c r="C34" i="6"/>
  <c r="D34" i="6"/>
  <c r="E34" i="6"/>
  <c r="F34" i="6"/>
  <c r="G34" i="6"/>
  <c r="E35" i="6"/>
  <c r="F35" i="6"/>
  <c r="G35" i="6"/>
  <c r="E36" i="6"/>
  <c r="F36" i="6"/>
  <c r="G36" i="6"/>
  <c r="E46" i="6"/>
  <c r="E47" i="6"/>
  <c r="C48" i="6"/>
  <c r="D48" i="6"/>
  <c r="E48" i="6"/>
  <c r="F48" i="6"/>
  <c r="G48" i="6"/>
  <c r="E49" i="6"/>
  <c r="F49" i="6"/>
  <c r="G49" i="6"/>
  <c r="E50" i="6"/>
  <c r="F50" i="6"/>
  <c r="G50" i="6"/>
  <c r="E60" i="6"/>
  <c r="E61" i="6"/>
  <c r="C62" i="6"/>
  <c r="D62" i="6"/>
  <c r="E62" i="6"/>
  <c r="F62" i="6"/>
  <c r="G62" i="6"/>
  <c r="E63" i="6"/>
  <c r="F63" i="6"/>
  <c r="G63" i="6"/>
  <c r="E64" i="6"/>
  <c r="F64" i="6"/>
  <c r="G64" i="6"/>
  <c r="E74" i="6"/>
  <c r="E75" i="6"/>
  <c r="C76" i="6"/>
  <c r="D76" i="6"/>
  <c r="E76" i="6"/>
  <c r="F76" i="6"/>
  <c r="G76" i="6"/>
  <c r="E77" i="6"/>
  <c r="F77" i="6"/>
  <c r="G77" i="6"/>
  <c r="E78" i="6"/>
  <c r="F78" i="6"/>
  <c r="G78" i="6"/>
  <c r="E88" i="6"/>
  <c r="E89" i="6"/>
  <c r="C90" i="6"/>
  <c r="D90" i="6"/>
  <c r="E90" i="6"/>
  <c r="F90" i="6"/>
  <c r="G90" i="6"/>
  <c r="E91" i="6"/>
  <c r="F91" i="6"/>
  <c r="G91" i="6"/>
  <c r="E92" i="6"/>
  <c r="F92" i="6"/>
  <c r="G92" i="6"/>
  <c r="E102" i="6"/>
  <c r="E103" i="6"/>
  <c r="C104" i="6"/>
  <c r="D104" i="6"/>
  <c r="E104" i="6"/>
  <c r="F104" i="6"/>
  <c r="G104" i="6"/>
  <c r="E105" i="6"/>
  <c r="F105" i="6"/>
  <c r="G105" i="6"/>
  <c r="E106" i="6"/>
  <c r="F106" i="6"/>
  <c r="G106" i="6"/>
  <c r="E116" i="6"/>
  <c r="E117" i="6"/>
  <c r="C118" i="6"/>
  <c r="D118" i="6"/>
  <c r="E118" i="6"/>
  <c r="F118" i="6"/>
  <c r="G118" i="6"/>
  <c r="E119" i="6"/>
  <c r="F119" i="6"/>
  <c r="G119" i="6"/>
  <c r="E120" i="6"/>
  <c r="F120" i="6"/>
  <c r="G120" i="6"/>
  <c r="E130" i="6"/>
  <c r="E131" i="6"/>
  <c r="C132" i="6"/>
  <c r="D132" i="6"/>
  <c r="E132" i="6"/>
  <c r="F132" i="6"/>
  <c r="G132" i="6"/>
  <c r="E133" i="6"/>
  <c r="F133" i="6"/>
  <c r="G133" i="6"/>
  <c r="E134" i="6"/>
  <c r="F134" i="6"/>
  <c r="G134" i="6"/>
  <c r="E144" i="6"/>
  <c r="E145" i="6"/>
  <c r="C146" i="6"/>
  <c r="D146" i="6"/>
  <c r="E146" i="6"/>
  <c r="F146" i="6"/>
  <c r="G146" i="6"/>
  <c r="E147" i="6"/>
  <c r="F147" i="6"/>
  <c r="G147" i="6"/>
  <c r="E148" i="6"/>
  <c r="F148" i="6"/>
  <c r="G148" i="6"/>
  <c r="E158" i="6"/>
  <c r="E159" i="6"/>
  <c r="C160" i="6"/>
  <c r="D160" i="6"/>
  <c r="E160" i="6"/>
  <c r="F160" i="6"/>
  <c r="G160" i="6"/>
  <c r="E161" i="6"/>
  <c r="F161" i="6"/>
  <c r="G161" i="6"/>
  <c r="E162" i="6"/>
  <c r="F162" i="6"/>
  <c r="G162" i="6"/>
  <c r="E172" i="6"/>
  <c r="E173" i="6"/>
  <c r="C174" i="6"/>
  <c r="D174" i="6"/>
  <c r="E174" i="6"/>
  <c r="F174" i="6"/>
  <c r="G174" i="6"/>
  <c r="E175" i="6"/>
  <c r="F175" i="6"/>
  <c r="G175" i="6"/>
  <c r="E176" i="6"/>
  <c r="F176" i="6"/>
  <c r="G176" i="6"/>
  <c r="E186" i="6"/>
  <c r="E187" i="6"/>
  <c r="C188" i="6"/>
  <c r="D188" i="6"/>
  <c r="E188" i="6"/>
  <c r="F188" i="6"/>
  <c r="G188" i="6"/>
  <c r="E189" i="6"/>
  <c r="F189" i="6"/>
  <c r="G189" i="6"/>
  <c r="E190" i="6"/>
  <c r="F190" i="6"/>
  <c r="G190" i="6"/>
  <c r="E200" i="6"/>
  <c r="E201" i="6"/>
  <c r="C202" i="6"/>
  <c r="D202" i="6"/>
  <c r="E202" i="6"/>
  <c r="F202" i="6"/>
  <c r="G202" i="6"/>
  <c r="E203" i="6"/>
  <c r="F203" i="6"/>
  <c r="G203" i="6"/>
  <c r="E204" i="6"/>
  <c r="F204" i="6"/>
  <c r="G204" i="6"/>
  <c r="E214" i="6"/>
  <c r="E215" i="6"/>
  <c r="C216" i="6"/>
  <c r="D216" i="6"/>
  <c r="E216" i="6"/>
  <c r="F216" i="6"/>
  <c r="G216" i="6"/>
  <c r="E217" i="6"/>
  <c r="F217" i="6"/>
  <c r="G217" i="6"/>
  <c r="E218" i="6"/>
  <c r="F218" i="6"/>
  <c r="G218" i="6"/>
  <c r="E228" i="6"/>
  <c r="E229" i="6"/>
  <c r="C230" i="6"/>
  <c r="D230" i="6"/>
  <c r="E230" i="6"/>
  <c r="F230" i="6"/>
  <c r="G230" i="6"/>
  <c r="E231" i="6"/>
  <c r="F231" i="6"/>
  <c r="G231" i="6"/>
  <c r="E232" i="6"/>
  <c r="F232" i="6"/>
  <c r="G232" i="6"/>
  <c r="E242" i="6"/>
  <c r="E243" i="6"/>
  <c r="C244" i="6"/>
  <c r="D244" i="6"/>
  <c r="E244" i="6"/>
  <c r="F244" i="6"/>
  <c r="G244" i="6"/>
  <c r="E245" i="6"/>
  <c r="F245" i="6"/>
  <c r="G245" i="6"/>
  <c r="E246" i="6"/>
  <c r="F246" i="6"/>
  <c r="G246" i="6"/>
  <c r="E256" i="6"/>
  <c r="E257" i="6"/>
  <c r="C258" i="6"/>
  <c r="D258" i="6"/>
  <c r="E258" i="6"/>
  <c r="F258" i="6"/>
  <c r="G258" i="6"/>
  <c r="E259" i="6"/>
  <c r="F259" i="6"/>
  <c r="G259" i="6"/>
  <c r="E260" i="6"/>
  <c r="F260" i="6"/>
  <c r="G260" i="6"/>
  <c r="E270" i="6"/>
  <c r="E271" i="6"/>
  <c r="C272" i="6"/>
  <c r="D272" i="6"/>
  <c r="E272" i="6"/>
  <c r="F272" i="6"/>
  <c r="G272" i="6"/>
  <c r="E273" i="6"/>
  <c r="F273" i="6"/>
  <c r="G273" i="6"/>
  <c r="E274" i="6"/>
  <c r="F274" i="6"/>
  <c r="G274" i="6"/>
  <c r="E284" i="6"/>
  <c r="E285" i="6"/>
  <c r="C286" i="6"/>
  <c r="D286" i="6"/>
  <c r="E286" i="6"/>
  <c r="F286" i="6"/>
  <c r="G286" i="6"/>
  <c r="E287" i="6"/>
  <c r="F287" i="6"/>
  <c r="G287" i="6"/>
  <c r="E288" i="6"/>
  <c r="F288" i="6"/>
  <c r="G288" i="6"/>
  <c r="E298" i="6"/>
  <c r="E299" i="6"/>
  <c r="C300" i="6"/>
  <c r="D300" i="6"/>
  <c r="E300" i="6"/>
  <c r="F300" i="6"/>
  <c r="G300" i="6"/>
  <c r="E301" i="6"/>
  <c r="F301" i="6"/>
  <c r="G301" i="6"/>
  <c r="E302" i="6"/>
  <c r="F302" i="6"/>
  <c r="G302" i="6"/>
  <c r="E312" i="6"/>
  <c r="E313" i="6"/>
  <c r="C314" i="6"/>
  <c r="D314" i="6"/>
  <c r="E314" i="6"/>
  <c r="F314" i="6"/>
  <c r="G314" i="6"/>
  <c r="E315" i="6"/>
  <c r="F315" i="6"/>
  <c r="G315" i="6"/>
  <c r="E316" i="6"/>
  <c r="F316" i="6"/>
  <c r="G316" i="6"/>
  <c r="E326" i="6"/>
  <c r="E327" i="6"/>
  <c r="C328" i="6"/>
  <c r="D328" i="6"/>
  <c r="E328" i="6"/>
  <c r="F328" i="6"/>
  <c r="G328" i="6"/>
  <c r="E329" i="6"/>
  <c r="F329" i="6"/>
  <c r="G329" i="6"/>
  <c r="E330" i="6"/>
  <c r="F330" i="6"/>
  <c r="G330" i="6"/>
  <c r="E340" i="6"/>
  <c r="E341" i="6"/>
  <c r="C342" i="6"/>
  <c r="D342" i="6"/>
  <c r="E342" i="6"/>
  <c r="F342" i="6"/>
  <c r="G342" i="6"/>
  <c r="E343" i="6"/>
  <c r="F343" i="6"/>
  <c r="G343" i="6"/>
  <c r="E344" i="6"/>
  <c r="F344" i="6"/>
  <c r="G344" i="6"/>
  <c r="E354" i="6"/>
  <c r="E355" i="6"/>
  <c r="C356" i="6"/>
  <c r="D356" i="6"/>
  <c r="E356" i="6"/>
  <c r="F356" i="6"/>
  <c r="G356" i="6"/>
  <c r="E357" i="6"/>
  <c r="F357" i="6"/>
  <c r="G357" i="6"/>
  <c r="E358" i="6"/>
  <c r="F358" i="6"/>
  <c r="G358" i="6"/>
  <c r="E368" i="6"/>
  <c r="E369" i="6"/>
  <c r="C370" i="6"/>
  <c r="D370" i="6"/>
  <c r="E370" i="6"/>
  <c r="F370" i="6"/>
  <c r="G370" i="6"/>
  <c r="E371" i="6"/>
  <c r="F371" i="6"/>
  <c r="G371" i="6"/>
  <c r="E372" i="6"/>
  <c r="F372" i="6"/>
  <c r="G372" i="6"/>
  <c r="E382" i="6"/>
  <c r="E383" i="6"/>
  <c r="C384" i="6"/>
  <c r="D384" i="6"/>
  <c r="E384" i="6"/>
  <c r="F384" i="6"/>
  <c r="G384" i="6"/>
  <c r="E385" i="6"/>
  <c r="F385" i="6"/>
  <c r="G385" i="6"/>
  <c r="E386" i="6"/>
  <c r="F386" i="6"/>
  <c r="G386" i="6"/>
  <c r="E396" i="6"/>
  <c r="E397" i="6"/>
  <c r="C398" i="6"/>
  <c r="D398" i="6"/>
  <c r="E398" i="6"/>
  <c r="F398" i="6"/>
  <c r="G398" i="6"/>
  <c r="E399" i="6"/>
  <c r="F399" i="6"/>
  <c r="G399" i="6"/>
  <c r="E400" i="6"/>
  <c r="F400" i="6"/>
  <c r="G400" i="6"/>
  <c r="E410" i="6"/>
  <c r="E411" i="6"/>
  <c r="C412" i="6"/>
  <c r="D412" i="6"/>
  <c r="E412" i="6"/>
  <c r="F412" i="6"/>
  <c r="G412" i="6"/>
  <c r="E413" i="6"/>
  <c r="F413" i="6"/>
  <c r="G413" i="6"/>
  <c r="E414" i="6"/>
  <c r="F414" i="6"/>
  <c r="G414" i="6"/>
  <c r="E424" i="6"/>
  <c r="E425" i="6"/>
  <c r="C426" i="6"/>
  <c r="D426" i="6"/>
  <c r="E426" i="6"/>
  <c r="F426" i="6"/>
  <c r="G426" i="6"/>
  <c r="E427" i="6"/>
  <c r="F427" i="6"/>
  <c r="G427" i="6"/>
  <c r="E428" i="6"/>
  <c r="F428" i="6"/>
  <c r="G428" i="6"/>
  <c r="E438" i="6"/>
  <c r="E439" i="6"/>
  <c r="C440" i="6"/>
  <c r="D440" i="6"/>
  <c r="E440" i="6"/>
  <c r="F440" i="6"/>
  <c r="G440" i="6"/>
  <c r="E441" i="6"/>
  <c r="F441" i="6"/>
  <c r="G441" i="6"/>
  <c r="E442" i="6"/>
  <c r="F442" i="6"/>
  <c r="G442" i="6"/>
  <c r="E452" i="6"/>
  <c r="E453" i="6"/>
  <c r="C454" i="6"/>
  <c r="D454" i="6"/>
  <c r="E454" i="6"/>
  <c r="F454" i="6"/>
  <c r="G454" i="6"/>
  <c r="E455" i="6"/>
  <c r="F455" i="6"/>
  <c r="G455" i="6"/>
  <c r="E456" i="6"/>
  <c r="F456" i="6"/>
  <c r="G456" i="6"/>
  <c r="E466" i="6"/>
  <c r="E467" i="6"/>
  <c r="C468" i="6"/>
  <c r="D468" i="6"/>
  <c r="E468" i="6"/>
  <c r="F468" i="6"/>
  <c r="G468" i="6"/>
  <c r="E469" i="6"/>
  <c r="F469" i="6"/>
  <c r="G469" i="6"/>
  <c r="E470" i="6"/>
  <c r="F470" i="6"/>
  <c r="G470" i="6"/>
  <c r="E480" i="6"/>
  <c r="E481" i="6"/>
  <c r="C482" i="6"/>
  <c r="D482" i="6"/>
  <c r="E482" i="6"/>
  <c r="F482" i="6"/>
  <c r="G482" i="6"/>
  <c r="E483" i="6"/>
  <c r="F483" i="6"/>
  <c r="G483" i="6"/>
  <c r="E484" i="6"/>
  <c r="F484" i="6"/>
  <c r="G484" i="6"/>
  <c r="E494" i="6"/>
  <c r="E495" i="6"/>
  <c r="C496" i="6"/>
  <c r="D496" i="6"/>
  <c r="E496" i="6"/>
  <c r="F496" i="6"/>
  <c r="G496" i="6"/>
  <c r="E497" i="6"/>
  <c r="F497" i="6"/>
  <c r="G497" i="6"/>
  <c r="E498" i="6"/>
  <c r="F498" i="6"/>
  <c r="G498" i="6"/>
  <c r="E508" i="6"/>
  <c r="E509" i="6"/>
  <c r="C510" i="6"/>
  <c r="D510" i="6"/>
  <c r="E510" i="6"/>
  <c r="F510" i="6"/>
  <c r="G510" i="6"/>
  <c r="E511" i="6"/>
  <c r="F511" i="6"/>
  <c r="G511" i="6"/>
  <c r="E512" i="6"/>
  <c r="F512" i="6"/>
  <c r="G512" i="6"/>
  <c r="E522" i="6"/>
  <c r="E523" i="6"/>
  <c r="C524" i="6"/>
  <c r="D524" i="6"/>
  <c r="E524" i="6"/>
  <c r="F524" i="6"/>
  <c r="G524" i="6"/>
  <c r="E525" i="6"/>
  <c r="F525" i="6"/>
  <c r="G525" i="6"/>
  <c r="E526" i="6"/>
  <c r="F526" i="6"/>
  <c r="G526" i="6"/>
  <c r="E536" i="6"/>
  <c r="E537" i="6"/>
  <c r="C538" i="6"/>
  <c r="D538" i="6"/>
  <c r="E538" i="6"/>
  <c r="F538" i="6"/>
  <c r="G538" i="6"/>
  <c r="E539" i="6"/>
  <c r="F539" i="6"/>
  <c r="G539" i="6"/>
  <c r="E540" i="6"/>
  <c r="F540" i="6"/>
  <c r="G540" i="6"/>
  <c r="E550" i="6"/>
  <c r="E551" i="6"/>
  <c r="C552" i="6"/>
  <c r="D552" i="6"/>
  <c r="E552" i="6"/>
  <c r="F552" i="6"/>
  <c r="G552" i="6"/>
  <c r="E553" i="6"/>
  <c r="F553" i="6"/>
  <c r="G553" i="6"/>
  <c r="E554" i="6"/>
  <c r="F554" i="6"/>
  <c r="G554" i="6"/>
  <c r="E564" i="6"/>
  <c r="E565" i="6"/>
  <c r="C566" i="6"/>
  <c r="D566" i="6"/>
  <c r="E566" i="6"/>
  <c r="F566" i="6"/>
  <c r="G566" i="6"/>
  <c r="E567" i="6"/>
  <c r="F567" i="6"/>
  <c r="G567" i="6"/>
  <c r="E568" i="6"/>
  <c r="F568" i="6"/>
  <c r="G568" i="6"/>
  <c r="E578" i="6"/>
  <c r="E579" i="6"/>
  <c r="C580" i="6"/>
  <c r="D580" i="6"/>
  <c r="E580" i="6"/>
  <c r="F580" i="6"/>
  <c r="G580" i="6"/>
  <c r="E581" i="6"/>
  <c r="F581" i="6"/>
  <c r="G581" i="6"/>
  <c r="E582" i="6"/>
  <c r="F582" i="6"/>
  <c r="G582" i="6"/>
  <c r="E592" i="6"/>
  <c r="E593" i="6"/>
  <c r="C594" i="6"/>
  <c r="D594" i="6"/>
  <c r="E594" i="6"/>
  <c r="F594" i="6"/>
  <c r="G594" i="6"/>
  <c r="E595" i="6"/>
  <c r="F595" i="6"/>
  <c r="G595" i="6"/>
  <c r="E596" i="6"/>
  <c r="F596" i="6"/>
  <c r="G596" i="6"/>
  <c r="E606" i="6"/>
  <c r="E607" i="6"/>
  <c r="C608" i="6"/>
  <c r="D608" i="6"/>
  <c r="E608" i="6"/>
  <c r="F608" i="6"/>
  <c r="G608" i="6"/>
  <c r="E609" i="6"/>
  <c r="F609" i="6"/>
  <c r="G609" i="6"/>
  <c r="E610" i="6"/>
  <c r="F610" i="6"/>
  <c r="G610" i="6"/>
  <c r="E620" i="6"/>
  <c r="E621" i="6"/>
  <c r="C622" i="6"/>
  <c r="D622" i="6"/>
  <c r="E622" i="6"/>
  <c r="F622" i="6"/>
  <c r="G622" i="6"/>
  <c r="E623" i="6"/>
  <c r="F623" i="6"/>
  <c r="G623" i="6"/>
  <c r="E624" i="6"/>
  <c r="F624" i="6"/>
  <c r="G624" i="6"/>
  <c r="E634" i="6"/>
  <c r="E635" i="6"/>
  <c r="C636" i="6"/>
  <c r="D636" i="6"/>
  <c r="E636" i="6"/>
  <c r="F636" i="6"/>
  <c r="G636" i="6"/>
  <c r="E637" i="6"/>
  <c r="F637" i="6"/>
  <c r="G637" i="6"/>
  <c r="E638" i="6"/>
  <c r="F638" i="6"/>
  <c r="G638" i="6"/>
  <c r="E648" i="6"/>
  <c r="E649" i="6"/>
  <c r="C650" i="6"/>
  <c r="D650" i="6"/>
  <c r="E650" i="6"/>
  <c r="F650" i="6"/>
  <c r="G650" i="6"/>
  <c r="E651" i="6"/>
  <c r="F651" i="6"/>
  <c r="G651" i="6"/>
  <c r="E652" i="6"/>
  <c r="F652" i="6"/>
  <c r="G652" i="6"/>
  <c r="E662" i="6"/>
  <c r="E663" i="6"/>
  <c r="C664" i="6"/>
  <c r="D664" i="6"/>
  <c r="E664" i="6"/>
  <c r="F664" i="6"/>
  <c r="G664" i="6"/>
  <c r="E665" i="6"/>
  <c r="F665" i="6"/>
  <c r="G665" i="6"/>
  <c r="E666" i="6"/>
  <c r="F666" i="6"/>
  <c r="G666" i="6"/>
  <c r="E676" i="6"/>
  <c r="E677" i="6"/>
  <c r="C678" i="6"/>
  <c r="D678" i="6"/>
  <c r="E678" i="6"/>
  <c r="F678" i="6"/>
  <c r="G678" i="6"/>
  <c r="E679" i="6"/>
  <c r="F679" i="6"/>
  <c r="G679" i="6"/>
  <c r="E680" i="6"/>
  <c r="F680" i="6"/>
  <c r="G680" i="6"/>
  <c r="E690" i="6"/>
  <c r="E691" i="6"/>
  <c r="C692" i="6"/>
  <c r="D692" i="6"/>
  <c r="E692" i="6"/>
  <c r="F692" i="6"/>
  <c r="G692" i="6"/>
  <c r="E693" i="6"/>
  <c r="F693" i="6"/>
  <c r="G693" i="6"/>
  <c r="E694" i="6"/>
  <c r="F694" i="6"/>
  <c r="G694" i="6"/>
  <c r="E704" i="6"/>
  <c r="E705" i="6"/>
  <c r="C706" i="6"/>
  <c r="D706" i="6"/>
  <c r="E706" i="6"/>
  <c r="F706" i="6"/>
  <c r="G706" i="6"/>
  <c r="E707" i="6"/>
  <c r="F707" i="6"/>
  <c r="G707" i="6"/>
  <c r="E708" i="6"/>
  <c r="F708" i="6"/>
  <c r="G708" i="6"/>
  <c r="E718" i="6"/>
  <c r="E719" i="6"/>
  <c r="C720" i="6"/>
  <c r="D720" i="6"/>
  <c r="E720" i="6"/>
  <c r="F720" i="6"/>
  <c r="G720" i="6"/>
  <c r="E721" i="6"/>
  <c r="F721" i="6"/>
  <c r="G721" i="6"/>
  <c r="E722" i="6"/>
  <c r="F722" i="6"/>
  <c r="G722" i="6"/>
  <c r="E732" i="6"/>
  <c r="E733" i="6"/>
  <c r="C734" i="6"/>
  <c r="D734" i="6"/>
  <c r="E734" i="6"/>
  <c r="F734" i="6"/>
  <c r="G734" i="6"/>
  <c r="E735" i="6"/>
  <c r="F735" i="6"/>
  <c r="G735" i="6"/>
  <c r="E736" i="6"/>
  <c r="F736" i="6"/>
  <c r="G736" i="6"/>
  <c r="E746" i="6"/>
  <c r="E747" i="6"/>
  <c r="C748" i="6"/>
  <c r="D748" i="6"/>
  <c r="E748" i="6"/>
  <c r="F748" i="6"/>
  <c r="G748" i="6"/>
  <c r="E749" i="6"/>
  <c r="F749" i="6"/>
  <c r="G749" i="6"/>
  <c r="E750" i="6"/>
  <c r="F750" i="6"/>
  <c r="G750" i="6"/>
  <c r="E760" i="6"/>
  <c r="E761" i="6"/>
  <c r="C762" i="6"/>
  <c r="D762" i="6"/>
  <c r="E762" i="6"/>
  <c r="F762" i="6"/>
  <c r="G762" i="6"/>
  <c r="E763" i="6"/>
  <c r="F763" i="6"/>
  <c r="G763" i="6"/>
  <c r="E764" i="6"/>
  <c r="F764" i="6"/>
  <c r="G764" i="6"/>
  <c r="E774" i="6"/>
  <c r="E775" i="6"/>
  <c r="C776" i="6"/>
  <c r="D776" i="6"/>
  <c r="E776" i="6"/>
  <c r="F776" i="6"/>
  <c r="G776" i="6"/>
  <c r="E777" i="6"/>
  <c r="F777" i="6"/>
  <c r="G777" i="6"/>
  <c r="E778" i="6"/>
  <c r="F778" i="6"/>
  <c r="G778" i="6"/>
  <c r="E788" i="6"/>
  <c r="E789" i="6"/>
  <c r="C790" i="6"/>
  <c r="D790" i="6"/>
  <c r="E790" i="6"/>
  <c r="F790" i="6"/>
  <c r="G790" i="6"/>
  <c r="E791" i="6"/>
  <c r="F791" i="6"/>
  <c r="G791" i="6"/>
  <c r="E792" i="6"/>
  <c r="F792" i="6"/>
  <c r="G792" i="6"/>
  <c r="E802" i="6"/>
  <c r="E803" i="6"/>
  <c r="C804" i="6"/>
  <c r="D804" i="6"/>
  <c r="E804" i="6"/>
  <c r="F804" i="6"/>
  <c r="G804" i="6"/>
  <c r="E805" i="6"/>
  <c r="F805" i="6"/>
  <c r="G805" i="6"/>
  <c r="E806" i="6"/>
  <c r="F806" i="6"/>
  <c r="G806" i="6"/>
  <c r="E816" i="6"/>
  <c r="E817" i="6"/>
  <c r="C818" i="6"/>
  <c r="D818" i="6"/>
  <c r="E818" i="6"/>
  <c r="F818" i="6"/>
  <c r="G818" i="6"/>
  <c r="E819" i="6"/>
  <c r="F819" i="6"/>
  <c r="G819" i="6"/>
  <c r="E820" i="6"/>
  <c r="F820" i="6"/>
  <c r="G820" i="6"/>
  <c r="E830" i="6"/>
  <c r="E831" i="6"/>
  <c r="C832" i="6"/>
  <c r="D832" i="6"/>
  <c r="E832" i="6"/>
  <c r="F832" i="6"/>
  <c r="G832" i="6"/>
  <c r="E833" i="6"/>
  <c r="F833" i="6"/>
  <c r="G833" i="6"/>
  <c r="E834" i="6"/>
  <c r="F834" i="6"/>
  <c r="G834" i="6"/>
  <c r="C16" i="6" a="1"/>
  <c r="C16" i="6" s="1"/>
  <c r="C15" i="6" a="1"/>
  <c r="C15" i="6" s="1"/>
  <c r="C13" i="1" a="1"/>
  <c r="C13" i="1" s="1"/>
  <c r="I3" i="6"/>
  <c r="C10" i="6" a="1"/>
  <c r="C10" i="6" s="1"/>
  <c r="G8" i="6"/>
  <c r="F8" i="6"/>
  <c r="E8" i="6"/>
  <c r="D8" i="6"/>
  <c r="C8" i="6"/>
  <c r="G7" i="6"/>
  <c r="F7" i="6"/>
  <c r="E7" i="6"/>
  <c r="D7" i="6"/>
  <c r="C7" i="6"/>
  <c r="G6" i="6"/>
  <c r="F6" i="6"/>
  <c r="E6" i="6"/>
  <c r="D6" i="6"/>
  <c r="C6" i="6"/>
  <c r="G5" i="6"/>
  <c r="F5" i="6"/>
  <c r="E5" i="6"/>
  <c r="D5" i="6"/>
  <c r="C5" i="6"/>
  <c r="G4" i="6"/>
  <c r="F4" i="6"/>
  <c r="E4" i="6"/>
  <c r="D4" i="6"/>
  <c r="C4" i="6"/>
  <c r="G3" i="6"/>
  <c r="F3" i="6"/>
  <c r="E3" i="6"/>
  <c r="D3" i="6"/>
  <c r="C3" i="6"/>
  <c r="C12" i="4"/>
  <c r="D12" i="4"/>
  <c r="E12" i="4"/>
  <c r="F12" i="4"/>
  <c r="G12" i="4"/>
  <c r="J12" i="4"/>
  <c r="C13" i="4"/>
  <c r="D13" i="4"/>
  <c r="E13" i="4"/>
  <c r="F13" i="4"/>
  <c r="G13" i="4"/>
  <c r="C14" i="4"/>
  <c r="D14" i="4"/>
  <c r="E14" i="4"/>
  <c r="F14" i="4"/>
  <c r="G14" i="4"/>
  <c r="C15" i="4"/>
  <c r="D15" i="4"/>
  <c r="C18" i="4" s="1" a="1"/>
  <c r="C18" i="4" s="1"/>
  <c r="E15" i="4"/>
  <c r="F15" i="4"/>
  <c r="G15" i="4"/>
  <c r="C16" i="4"/>
  <c r="D16" i="4"/>
  <c r="E16" i="4"/>
  <c r="F16" i="4"/>
  <c r="G16" i="4"/>
  <c r="C17" i="4"/>
  <c r="D17" i="4"/>
  <c r="E17" i="4"/>
  <c r="F17" i="4"/>
  <c r="G17" i="4"/>
  <c r="E22" i="4"/>
  <c r="E23" i="4"/>
  <c r="C24" i="4"/>
  <c r="D24" i="4"/>
  <c r="E24" i="4"/>
  <c r="F24" i="4"/>
  <c r="G24" i="4"/>
  <c r="E25" i="4"/>
  <c r="F25" i="4"/>
  <c r="G25" i="4"/>
  <c r="E26" i="4"/>
  <c r="F26" i="4"/>
  <c r="G26" i="4"/>
  <c r="E31" i="4"/>
  <c r="E32" i="4"/>
  <c r="C33" i="4"/>
  <c r="D33" i="4"/>
  <c r="E33" i="4"/>
  <c r="F33" i="4"/>
  <c r="G33" i="4"/>
  <c r="E34" i="4"/>
  <c r="F34" i="4"/>
  <c r="G34" i="4"/>
  <c r="E35" i="4"/>
  <c r="F35" i="4"/>
  <c r="G35" i="4"/>
  <c r="E40" i="4"/>
  <c r="E41" i="4"/>
  <c r="C42" i="4"/>
  <c r="D42" i="4"/>
  <c r="E42" i="4"/>
  <c r="F42" i="4"/>
  <c r="G42" i="4"/>
  <c r="E43" i="4"/>
  <c r="F43" i="4"/>
  <c r="G43" i="4"/>
  <c r="E44" i="4"/>
  <c r="F44" i="4"/>
  <c r="G44" i="4"/>
  <c r="E49" i="4"/>
  <c r="E50" i="4"/>
  <c r="C51" i="4"/>
  <c r="D51" i="4"/>
  <c r="E51" i="4"/>
  <c r="F51" i="4"/>
  <c r="G51" i="4"/>
  <c r="E52" i="4"/>
  <c r="F52" i="4"/>
  <c r="G52" i="4"/>
  <c r="E53" i="4"/>
  <c r="F53" i="4"/>
  <c r="G53" i="4"/>
  <c r="E58" i="4"/>
  <c r="E59" i="4"/>
  <c r="C60" i="4"/>
  <c r="D60" i="4"/>
  <c r="E60" i="4"/>
  <c r="F60" i="4"/>
  <c r="G60" i="4"/>
  <c r="E61" i="4"/>
  <c r="F61" i="4"/>
  <c r="G61" i="4"/>
  <c r="E62" i="4"/>
  <c r="F62" i="4"/>
  <c r="G62" i="4"/>
  <c r="E67" i="4"/>
  <c r="E68" i="4"/>
  <c r="C69" i="4"/>
  <c r="D69" i="4"/>
  <c r="E69" i="4"/>
  <c r="F69" i="4"/>
  <c r="G69" i="4"/>
  <c r="E70" i="4"/>
  <c r="F70" i="4"/>
  <c r="G70" i="4"/>
  <c r="E71" i="4"/>
  <c r="F71" i="4"/>
  <c r="G71" i="4"/>
  <c r="E76" i="4"/>
  <c r="E77" i="4"/>
  <c r="C78" i="4"/>
  <c r="D78" i="4"/>
  <c r="E78" i="4"/>
  <c r="F78" i="4"/>
  <c r="G78" i="4"/>
  <c r="E79" i="4"/>
  <c r="F79" i="4"/>
  <c r="G79" i="4"/>
  <c r="E80" i="4"/>
  <c r="F80" i="4"/>
  <c r="G80" i="4"/>
  <c r="E85" i="4"/>
  <c r="E86" i="4"/>
  <c r="C87" i="4"/>
  <c r="D87" i="4"/>
  <c r="E87" i="4"/>
  <c r="F87" i="4"/>
  <c r="G87" i="4"/>
  <c r="E88" i="4"/>
  <c r="F88" i="4"/>
  <c r="G88" i="4"/>
  <c r="E89" i="4"/>
  <c r="F89" i="4"/>
  <c r="G89" i="4"/>
  <c r="E94" i="4"/>
  <c r="E95" i="4"/>
  <c r="C96" i="4"/>
  <c r="D96" i="4"/>
  <c r="E96" i="4"/>
  <c r="F96" i="4"/>
  <c r="G96" i="4"/>
  <c r="E97" i="4"/>
  <c r="F97" i="4"/>
  <c r="G97" i="4"/>
  <c r="E98" i="4"/>
  <c r="F98" i="4"/>
  <c r="G98" i="4"/>
  <c r="E103" i="4"/>
  <c r="E104" i="4"/>
  <c r="C105" i="4"/>
  <c r="D105" i="4"/>
  <c r="E105" i="4"/>
  <c r="F105" i="4"/>
  <c r="G105" i="4"/>
  <c r="E106" i="4"/>
  <c r="F106" i="4"/>
  <c r="G106" i="4"/>
  <c r="E107" i="4"/>
  <c r="F107" i="4"/>
  <c r="G107" i="4"/>
  <c r="E112" i="4"/>
  <c r="E113" i="4"/>
  <c r="C114" i="4"/>
  <c r="D114" i="4"/>
  <c r="E114" i="4"/>
  <c r="F114" i="4"/>
  <c r="G114" i="4"/>
  <c r="E115" i="4"/>
  <c r="F115" i="4"/>
  <c r="G115" i="4"/>
  <c r="E116" i="4"/>
  <c r="F116" i="4"/>
  <c r="G116" i="4"/>
  <c r="E121" i="4"/>
  <c r="E122" i="4"/>
  <c r="C123" i="4"/>
  <c r="D123" i="4"/>
  <c r="E123" i="4"/>
  <c r="F123" i="4"/>
  <c r="G123" i="4"/>
  <c r="E124" i="4"/>
  <c r="F124" i="4"/>
  <c r="G124" i="4"/>
  <c r="E125" i="4"/>
  <c r="F125" i="4"/>
  <c r="G125" i="4"/>
  <c r="E130" i="4"/>
  <c r="E131" i="4"/>
  <c r="C132" i="4"/>
  <c r="D132" i="4"/>
  <c r="E132" i="4"/>
  <c r="F132" i="4"/>
  <c r="G132" i="4"/>
  <c r="E133" i="4"/>
  <c r="F133" i="4"/>
  <c r="G133" i="4"/>
  <c r="E134" i="4"/>
  <c r="F134" i="4"/>
  <c r="G134" i="4"/>
  <c r="E139" i="4"/>
  <c r="E140" i="4"/>
  <c r="C141" i="4"/>
  <c r="D141" i="4"/>
  <c r="E141" i="4"/>
  <c r="F141" i="4"/>
  <c r="G141" i="4"/>
  <c r="E142" i="4"/>
  <c r="F142" i="4"/>
  <c r="G142" i="4"/>
  <c r="E143" i="4"/>
  <c r="F143" i="4"/>
  <c r="G143" i="4"/>
  <c r="E148" i="4"/>
  <c r="E149" i="4"/>
  <c r="C150" i="4"/>
  <c r="D150" i="4"/>
  <c r="E150" i="4"/>
  <c r="F150" i="4"/>
  <c r="G150" i="4"/>
  <c r="E151" i="4"/>
  <c r="F151" i="4"/>
  <c r="G151" i="4"/>
  <c r="E152" i="4"/>
  <c r="F152" i="4"/>
  <c r="G152" i="4"/>
  <c r="E157" i="4"/>
  <c r="E158" i="4"/>
  <c r="C159" i="4"/>
  <c r="D159" i="4"/>
  <c r="E159" i="4"/>
  <c r="F159" i="4"/>
  <c r="G159" i="4"/>
  <c r="E160" i="4"/>
  <c r="F160" i="4"/>
  <c r="G160" i="4"/>
  <c r="E161" i="4"/>
  <c r="F161" i="4"/>
  <c r="G161" i="4"/>
  <c r="E166" i="4"/>
  <c r="E167" i="4"/>
  <c r="C168" i="4"/>
  <c r="D168" i="4"/>
  <c r="E168" i="4"/>
  <c r="F168" i="4"/>
  <c r="G168" i="4"/>
  <c r="E169" i="4"/>
  <c r="F169" i="4"/>
  <c r="G169" i="4"/>
  <c r="E170" i="4"/>
  <c r="F170" i="4"/>
  <c r="G170" i="4"/>
  <c r="E175" i="4"/>
  <c r="E176" i="4"/>
  <c r="C177" i="4"/>
  <c r="D177" i="4"/>
  <c r="E177" i="4"/>
  <c r="F177" i="4"/>
  <c r="G177" i="4"/>
  <c r="E178" i="4"/>
  <c r="F178" i="4"/>
  <c r="G178" i="4"/>
  <c r="E179" i="4"/>
  <c r="F179" i="4"/>
  <c r="G179" i="4"/>
  <c r="E184" i="4"/>
  <c r="E185" i="4"/>
  <c r="C186" i="4"/>
  <c r="D186" i="4"/>
  <c r="E186" i="4"/>
  <c r="F186" i="4"/>
  <c r="G186" i="4"/>
  <c r="E187" i="4"/>
  <c r="F187" i="4"/>
  <c r="G187" i="4"/>
  <c r="E188" i="4"/>
  <c r="F188" i="4"/>
  <c r="G188" i="4"/>
  <c r="E193" i="4"/>
  <c r="E194" i="4"/>
  <c r="C195" i="4"/>
  <c r="D195" i="4"/>
  <c r="E195" i="4"/>
  <c r="F195" i="4"/>
  <c r="G195" i="4"/>
  <c r="E196" i="4"/>
  <c r="F196" i="4"/>
  <c r="G196" i="4"/>
  <c r="E197" i="4"/>
  <c r="F197" i="4"/>
  <c r="G197" i="4"/>
  <c r="E202" i="4"/>
  <c r="E203" i="4"/>
  <c r="C204" i="4"/>
  <c r="D204" i="4"/>
  <c r="E204" i="4"/>
  <c r="F204" i="4"/>
  <c r="G204" i="4"/>
  <c r="E205" i="4"/>
  <c r="F205" i="4"/>
  <c r="G205" i="4"/>
  <c r="E206" i="4"/>
  <c r="F206" i="4"/>
  <c r="G206" i="4"/>
  <c r="E211" i="4"/>
  <c r="E212" i="4"/>
  <c r="C213" i="4"/>
  <c r="D213" i="4"/>
  <c r="E213" i="4"/>
  <c r="F213" i="4"/>
  <c r="G213" i="4"/>
  <c r="E214" i="4"/>
  <c r="F214" i="4"/>
  <c r="G214" i="4"/>
  <c r="E215" i="4"/>
  <c r="F215" i="4"/>
  <c r="G215" i="4"/>
  <c r="E220" i="4"/>
  <c r="E221" i="4"/>
  <c r="C222" i="4"/>
  <c r="D222" i="4"/>
  <c r="E222" i="4"/>
  <c r="F222" i="4"/>
  <c r="G222" i="4"/>
  <c r="E223" i="4"/>
  <c r="F223" i="4"/>
  <c r="G223" i="4"/>
  <c r="E224" i="4"/>
  <c r="F224" i="4"/>
  <c r="G224" i="4"/>
  <c r="E229" i="4"/>
  <c r="E230" i="4"/>
  <c r="C231" i="4"/>
  <c r="D231" i="4"/>
  <c r="E231" i="4"/>
  <c r="F231" i="4"/>
  <c r="G231" i="4"/>
  <c r="E232" i="4"/>
  <c r="F232" i="4"/>
  <c r="G232" i="4"/>
  <c r="E233" i="4"/>
  <c r="F233" i="4"/>
  <c r="G233" i="4"/>
  <c r="E238" i="4"/>
  <c r="E239" i="4"/>
  <c r="C240" i="4"/>
  <c r="D240" i="4"/>
  <c r="E240" i="4"/>
  <c r="F240" i="4"/>
  <c r="G240" i="4"/>
  <c r="E241" i="4"/>
  <c r="F241" i="4"/>
  <c r="G241" i="4"/>
  <c r="E242" i="4"/>
  <c r="F242" i="4"/>
  <c r="G242" i="4"/>
  <c r="E247" i="4"/>
  <c r="E248" i="4"/>
  <c r="C249" i="4"/>
  <c r="D249" i="4"/>
  <c r="E249" i="4"/>
  <c r="F249" i="4"/>
  <c r="G249" i="4"/>
  <c r="E250" i="4"/>
  <c r="F250" i="4"/>
  <c r="G250" i="4"/>
  <c r="E251" i="4"/>
  <c r="F251" i="4"/>
  <c r="G251" i="4"/>
  <c r="E256" i="4"/>
  <c r="E257" i="4"/>
  <c r="C258" i="4"/>
  <c r="D258" i="4"/>
  <c r="E258" i="4"/>
  <c r="F258" i="4"/>
  <c r="G258" i="4"/>
  <c r="E259" i="4"/>
  <c r="F259" i="4"/>
  <c r="G259" i="4"/>
  <c r="E260" i="4"/>
  <c r="F260" i="4"/>
  <c r="G260" i="4"/>
  <c r="E265" i="4"/>
  <c r="E266" i="4"/>
  <c r="C267" i="4"/>
  <c r="D267" i="4"/>
  <c r="E267" i="4"/>
  <c r="F267" i="4"/>
  <c r="G267" i="4"/>
  <c r="E268" i="4"/>
  <c r="F268" i="4"/>
  <c r="G268" i="4"/>
  <c r="E269" i="4"/>
  <c r="F269" i="4"/>
  <c r="G269" i="4"/>
  <c r="E274" i="4"/>
  <c r="E275" i="4"/>
  <c r="C276" i="4"/>
  <c r="D276" i="4"/>
  <c r="E276" i="4"/>
  <c r="F276" i="4"/>
  <c r="G276" i="4"/>
  <c r="E277" i="4"/>
  <c r="F277" i="4"/>
  <c r="G277" i="4"/>
  <c r="E278" i="4"/>
  <c r="F278" i="4"/>
  <c r="G278" i="4"/>
  <c r="E283" i="4"/>
  <c r="E284" i="4"/>
  <c r="C285" i="4"/>
  <c r="D285" i="4"/>
  <c r="E285" i="4"/>
  <c r="F285" i="4"/>
  <c r="G285" i="4"/>
  <c r="E286" i="4"/>
  <c r="F286" i="4"/>
  <c r="G286" i="4"/>
  <c r="E287" i="4"/>
  <c r="F287" i="4"/>
  <c r="G287" i="4"/>
  <c r="E292" i="4"/>
  <c r="E293" i="4"/>
  <c r="C294" i="4"/>
  <c r="D294" i="4"/>
  <c r="E294" i="4"/>
  <c r="F294" i="4"/>
  <c r="G294" i="4"/>
  <c r="E295" i="4"/>
  <c r="F295" i="4"/>
  <c r="G295" i="4"/>
  <c r="E296" i="4"/>
  <c r="F296" i="4"/>
  <c r="G296" i="4"/>
  <c r="E301" i="4"/>
  <c r="E302" i="4"/>
  <c r="C303" i="4"/>
  <c r="D303" i="4"/>
  <c r="E303" i="4"/>
  <c r="F303" i="4"/>
  <c r="G303" i="4"/>
  <c r="E304" i="4"/>
  <c r="F304" i="4"/>
  <c r="G304" i="4"/>
  <c r="E305" i="4"/>
  <c r="F305" i="4"/>
  <c r="G305" i="4"/>
  <c r="E310" i="4"/>
  <c r="E311" i="4"/>
  <c r="C312" i="4"/>
  <c r="D312" i="4"/>
  <c r="E312" i="4"/>
  <c r="F312" i="4"/>
  <c r="G312" i="4"/>
  <c r="E313" i="4"/>
  <c r="F313" i="4"/>
  <c r="G313" i="4"/>
  <c r="E314" i="4"/>
  <c r="F314" i="4"/>
  <c r="G314" i="4"/>
  <c r="E319" i="4"/>
  <c r="E320" i="4"/>
  <c r="C321" i="4"/>
  <c r="D321" i="4"/>
  <c r="E321" i="4"/>
  <c r="F321" i="4"/>
  <c r="G321" i="4"/>
  <c r="E322" i="4"/>
  <c r="F322" i="4"/>
  <c r="G322" i="4"/>
  <c r="E323" i="4"/>
  <c r="F323" i="4"/>
  <c r="G323" i="4"/>
  <c r="E328" i="4"/>
  <c r="E329" i="4"/>
  <c r="C330" i="4"/>
  <c r="D330" i="4"/>
  <c r="E330" i="4"/>
  <c r="F330" i="4"/>
  <c r="G330" i="4"/>
  <c r="E331" i="4"/>
  <c r="F331" i="4"/>
  <c r="G331" i="4"/>
  <c r="E332" i="4"/>
  <c r="F332" i="4"/>
  <c r="G332" i="4"/>
  <c r="E337" i="4"/>
  <c r="E338" i="4"/>
  <c r="C339" i="4"/>
  <c r="D339" i="4"/>
  <c r="E339" i="4"/>
  <c r="F339" i="4"/>
  <c r="G339" i="4"/>
  <c r="E340" i="4"/>
  <c r="F340" i="4"/>
  <c r="G340" i="4"/>
  <c r="E341" i="4"/>
  <c r="F341" i="4"/>
  <c r="G341" i="4"/>
  <c r="E346" i="4"/>
  <c r="E347" i="4"/>
  <c r="C348" i="4"/>
  <c r="D348" i="4"/>
  <c r="E348" i="4"/>
  <c r="F348" i="4"/>
  <c r="G348" i="4"/>
  <c r="E349" i="4"/>
  <c r="F349" i="4"/>
  <c r="G349" i="4"/>
  <c r="E350" i="4"/>
  <c r="F350" i="4"/>
  <c r="G350" i="4"/>
  <c r="E355" i="4"/>
  <c r="E356" i="4"/>
  <c r="C357" i="4"/>
  <c r="D357" i="4"/>
  <c r="E357" i="4"/>
  <c r="F357" i="4"/>
  <c r="G357" i="4"/>
  <c r="E358" i="4"/>
  <c r="F358" i="4"/>
  <c r="G358" i="4"/>
  <c r="E359" i="4"/>
  <c r="F359" i="4"/>
  <c r="G359" i="4"/>
  <c r="E364" i="4"/>
  <c r="E365" i="4"/>
  <c r="C366" i="4"/>
  <c r="D366" i="4"/>
  <c r="E366" i="4"/>
  <c r="F366" i="4"/>
  <c r="G366" i="4"/>
  <c r="E367" i="4"/>
  <c r="F367" i="4"/>
  <c r="G367" i="4"/>
  <c r="E368" i="4"/>
  <c r="F368" i="4"/>
  <c r="G368" i="4"/>
  <c r="E373" i="4"/>
  <c r="E374" i="4"/>
  <c r="C375" i="4"/>
  <c r="D375" i="4"/>
  <c r="E375" i="4"/>
  <c r="F375" i="4"/>
  <c r="G375" i="4"/>
  <c r="E376" i="4"/>
  <c r="F376" i="4"/>
  <c r="G376" i="4"/>
  <c r="E377" i="4"/>
  <c r="F377" i="4"/>
  <c r="G377" i="4"/>
  <c r="E382" i="4"/>
  <c r="E383" i="4"/>
  <c r="C384" i="4"/>
  <c r="D384" i="4"/>
  <c r="E384" i="4"/>
  <c r="F384" i="4"/>
  <c r="G384" i="4"/>
  <c r="E385" i="4"/>
  <c r="F385" i="4"/>
  <c r="G385" i="4"/>
  <c r="E386" i="4"/>
  <c r="F386" i="4"/>
  <c r="G386" i="4"/>
  <c r="E391" i="4"/>
  <c r="E392" i="4"/>
  <c r="C393" i="4"/>
  <c r="D393" i="4"/>
  <c r="E393" i="4"/>
  <c r="F393" i="4"/>
  <c r="G393" i="4"/>
  <c r="E394" i="4"/>
  <c r="F394" i="4"/>
  <c r="G394" i="4"/>
  <c r="E395" i="4"/>
  <c r="F395" i="4"/>
  <c r="G395" i="4"/>
  <c r="E400" i="4"/>
  <c r="E401" i="4"/>
  <c r="C402" i="4"/>
  <c r="D402" i="4"/>
  <c r="E402" i="4"/>
  <c r="F402" i="4"/>
  <c r="G402" i="4"/>
  <c r="E403" i="4"/>
  <c r="F403" i="4"/>
  <c r="G403" i="4"/>
  <c r="E404" i="4"/>
  <c r="F404" i="4"/>
  <c r="G404" i="4"/>
  <c r="E409" i="4"/>
  <c r="E410" i="4"/>
  <c r="C411" i="4"/>
  <c r="D411" i="4"/>
  <c r="E411" i="4"/>
  <c r="F411" i="4"/>
  <c r="G411" i="4"/>
  <c r="E412" i="4"/>
  <c r="F412" i="4"/>
  <c r="G412" i="4"/>
  <c r="E413" i="4"/>
  <c r="F413" i="4"/>
  <c r="G413" i="4"/>
  <c r="E418" i="4"/>
  <c r="E419" i="4"/>
  <c r="C420" i="4"/>
  <c r="D420" i="4"/>
  <c r="E420" i="4"/>
  <c r="F420" i="4"/>
  <c r="G420" i="4"/>
  <c r="E421" i="4"/>
  <c r="F421" i="4"/>
  <c r="G421" i="4"/>
  <c r="E422" i="4"/>
  <c r="F422" i="4"/>
  <c r="G422" i="4"/>
  <c r="E427" i="4"/>
  <c r="E428" i="4"/>
  <c r="C429" i="4"/>
  <c r="D429" i="4"/>
  <c r="E429" i="4"/>
  <c r="F429" i="4"/>
  <c r="G429" i="4"/>
  <c r="E430" i="4"/>
  <c r="F430" i="4"/>
  <c r="G430" i="4"/>
  <c r="E431" i="4"/>
  <c r="F431" i="4"/>
  <c r="G431" i="4"/>
  <c r="E436" i="4"/>
  <c r="E437" i="4"/>
  <c r="C438" i="4"/>
  <c r="D438" i="4"/>
  <c r="E438" i="4"/>
  <c r="F438" i="4"/>
  <c r="G438" i="4"/>
  <c r="E439" i="4"/>
  <c r="F439" i="4"/>
  <c r="G439" i="4"/>
  <c r="E440" i="4"/>
  <c r="F440" i="4"/>
  <c r="G440" i="4"/>
  <c r="E445" i="4"/>
  <c r="E446" i="4"/>
  <c r="C447" i="4"/>
  <c r="D447" i="4"/>
  <c r="E447" i="4"/>
  <c r="F447" i="4"/>
  <c r="G447" i="4"/>
  <c r="E448" i="4"/>
  <c r="F448" i="4"/>
  <c r="G448" i="4"/>
  <c r="E449" i="4"/>
  <c r="F449" i="4"/>
  <c r="G449" i="4"/>
  <c r="E454" i="4"/>
  <c r="E455" i="4"/>
  <c r="C456" i="4"/>
  <c r="D456" i="4"/>
  <c r="E456" i="4"/>
  <c r="F456" i="4"/>
  <c r="G456" i="4"/>
  <c r="E457" i="4"/>
  <c r="F457" i="4"/>
  <c r="G457" i="4"/>
  <c r="E458" i="4"/>
  <c r="F458" i="4"/>
  <c r="G458" i="4"/>
  <c r="E463" i="4"/>
  <c r="E464" i="4"/>
  <c r="C465" i="4"/>
  <c r="D465" i="4"/>
  <c r="E465" i="4"/>
  <c r="F465" i="4"/>
  <c r="G465" i="4"/>
  <c r="E466" i="4"/>
  <c r="F466" i="4"/>
  <c r="G466" i="4"/>
  <c r="E467" i="4"/>
  <c r="F467" i="4"/>
  <c r="G467" i="4"/>
  <c r="E472" i="4"/>
  <c r="E473" i="4"/>
  <c r="C474" i="4"/>
  <c r="D474" i="4"/>
  <c r="E474" i="4"/>
  <c r="F474" i="4"/>
  <c r="G474" i="4"/>
  <c r="E475" i="4"/>
  <c r="F475" i="4"/>
  <c r="G475" i="4"/>
  <c r="E476" i="4"/>
  <c r="F476" i="4"/>
  <c r="G476" i="4"/>
  <c r="E481" i="4"/>
  <c r="E482" i="4"/>
  <c r="C483" i="4"/>
  <c r="D483" i="4"/>
  <c r="E483" i="4"/>
  <c r="F483" i="4"/>
  <c r="G483" i="4"/>
  <c r="E484" i="4"/>
  <c r="F484" i="4"/>
  <c r="G484" i="4"/>
  <c r="E485" i="4"/>
  <c r="F485" i="4"/>
  <c r="G485" i="4"/>
  <c r="E490" i="4"/>
  <c r="E491" i="4"/>
  <c r="C492" i="4"/>
  <c r="D492" i="4"/>
  <c r="E492" i="4"/>
  <c r="F492" i="4"/>
  <c r="G492" i="4"/>
  <c r="E493" i="4"/>
  <c r="F493" i="4"/>
  <c r="G493" i="4"/>
  <c r="E494" i="4"/>
  <c r="F494" i="4"/>
  <c r="G494" i="4"/>
  <c r="E499" i="4"/>
  <c r="E500" i="4"/>
  <c r="C501" i="4"/>
  <c r="D501" i="4"/>
  <c r="E501" i="4"/>
  <c r="F501" i="4"/>
  <c r="G501" i="4"/>
  <c r="E502" i="4"/>
  <c r="F502" i="4"/>
  <c r="G502" i="4"/>
  <c r="E503" i="4"/>
  <c r="F503" i="4"/>
  <c r="G503" i="4"/>
  <c r="E508" i="4"/>
  <c r="E509" i="4"/>
  <c r="C510" i="4"/>
  <c r="D510" i="4"/>
  <c r="E510" i="4"/>
  <c r="F510" i="4"/>
  <c r="G510" i="4"/>
  <c r="E511" i="4"/>
  <c r="F511" i="4"/>
  <c r="G511" i="4"/>
  <c r="E512" i="4"/>
  <c r="F512" i="4"/>
  <c r="G512" i="4"/>
  <c r="E517" i="4"/>
  <c r="E518" i="4"/>
  <c r="C519" i="4"/>
  <c r="D519" i="4"/>
  <c r="E519" i="4"/>
  <c r="F519" i="4"/>
  <c r="G519" i="4"/>
  <c r="E520" i="4"/>
  <c r="F520" i="4"/>
  <c r="G520" i="4"/>
  <c r="E521" i="4"/>
  <c r="F521" i="4"/>
  <c r="G521" i="4"/>
  <c r="E526" i="4"/>
  <c r="E527" i="4"/>
  <c r="C528" i="4"/>
  <c r="D528" i="4"/>
  <c r="E528" i="4"/>
  <c r="F528" i="4"/>
  <c r="G528" i="4"/>
  <c r="E529" i="4"/>
  <c r="F529" i="4"/>
  <c r="G529" i="4"/>
  <c r="E530" i="4"/>
  <c r="F530" i="4"/>
  <c r="G530" i="4"/>
  <c r="E535" i="4"/>
  <c r="E536" i="4"/>
  <c r="C537" i="4"/>
  <c r="D537" i="4"/>
  <c r="E537" i="4"/>
  <c r="F537" i="4"/>
  <c r="G537" i="4"/>
  <c r="E538" i="4"/>
  <c r="F538" i="4"/>
  <c r="G538" i="4"/>
  <c r="E539" i="4"/>
  <c r="F539" i="4"/>
  <c r="G539" i="4"/>
  <c r="E544" i="4"/>
  <c r="E545" i="4"/>
  <c r="C546" i="4"/>
  <c r="D546" i="4"/>
  <c r="E546" i="4"/>
  <c r="F546" i="4"/>
  <c r="G546" i="4"/>
  <c r="E547" i="4"/>
  <c r="F547" i="4"/>
  <c r="G547" i="4"/>
  <c r="E548" i="4"/>
  <c r="F548" i="4"/>
  <c r="G548" i="4"/>
  <c r="E553" i="4"/>
  <c r="E554" i="4"/>
  <c r="C555" i="4"/>
  <c r="D555" i="4"/>
  <c r="E555" i="4"/>
  <c r="F555" i="4"/>
  <c r="G555" i="4"/>
  <c r="E556" i="4"/>
  <c r="F556" i="4"/>
  <c r="G556" i="4"/>
  <c r="E557" i="4"/>
  <c r="F557" i="4"/>
  <c r="G557" i="4"/>
  <c r="E562" i="4"/>
  <c r="E563" i="4"/>
  <c r="C564" i="4"/>
  <c r="D564" i="4"/>
  <c r="E564" i="4"/>
  <c r="F564" i="4"/>
  <c r="G564" i="4"/>
  <c r="E565" i="4"/>
  <c r="F565" i="4"/>
  <c r="G565" i="4"/>
  <c r="E566" i="4"/>
  <c r="F566" i="4"/>
  <c r="G566" i="4"/>
  <c r="E571" i="4"/>
  <c r="E572" i="4"/>
  <c r="C573" i="4"/>
  <c r="D573" i="4"/>
  <c r="E573" i="4"/>
  <c r="F573" i="4"/>
  <c r="G573" i="4"/>
  <c r="E574" i="4"/>
  <c r="F574" i="4"/>
  <c r="G574" i="4"/>
  <c r="E575" i="4"/>
  <c r="F575" i="4"/>
  <c r="G575" i="4"/>
  <c r="E580" i="4"/>
  <c r="E581" i="4"/>
  <c r="C582" i="4"/>
  <c r="D582" i="4"/>
  <c r="E582" i="4"/>
  <c r="F582" i="4"/>
  <c r="G582" i="4"/>
  <c r="E583" i="4"/>
  <c r="F583" i="4"/>
  <c r="G583" i="4"/>
  <c r="E584" i="4"/>
  <c r="F584" i="4"/>
  <c r="G584" i="4"/>
  <c r="E589" i="4"/>
  <c r="E590" i="4"/>
  <c r="C591" i="4"/>
  <c r="D591" i="4"/>
  <c r="E591" i="4"/>
  <c r="F591" i="4"/>
  <c r="G591" i="4"/>
  <c r="E592" i="4"/>
  <c r="F592" i="4"/>
  <c r="G592" i="4"/>
  <c r="E593" i="4"/>
  <c r="F593" i="4"/>
  <c r="G593" i="4"/>
  <c r="E598" i="4"/>
  <c r="E599" i="4"/>
  <c r="C600" i="4"/>
  <c r="D600" i="4"/>
  <c r="E600" i="4"/>
  <c r="F600" i="4"/>
  <c r="G600" i="4"/>
  <c r="E601" i="4"/>
  <c r="F601" i="4"/>
  <c r="G601" i="4"/>
  <c r="E602" i="4"/>
  <c r="F602" i="4"/>
  <c r="G602" i="4"/>
  <c r="E607" i="4"/>
  <c r="E608" i="4"/>
  <c r="C609" i="4"/>
  <c r="D609" i="4"/>
  <c r="E609" i="4"/>
  <c r="F609" i="4"/>
  <c r="G609" i="4"/>
  <c r="E610" i="4"/>
  <c r="F610" i="4"/>
  <c r="G610" i="4"/>
  <c r="E611" i="4"/>
  <c r="F611" i="4"/>
  <c r="G611" i="4"/>
  <c r="E616" i="4"/>
  <c r="E617" i="4"/>
  <c r="C618" i="4"/>
  <c r="D618" i="4"/>
  <c r="E618" i="4"/>
  <c r="F618" i="4"/>
  <c r="G618" i="4"/>
  <c r="E619" i="4"/>
  <c r="F619" i="4"/>
  <c r="G619" i="4"/>
  <c r="E620" i="4"/>
  <c r="F620" i="4"/>
  <c r="G620" i="4"/>
  <c r="E625" i="4"/>
  <c r="E626" i="4"/>
  <c r="C627" i="4"/>
  <c r="D627" i="4"/>
  <c r="E627" i="4"/>
  <c r="F627" i="4"/>
  <c r="G627" i="4"/>
  <c r="E628" i="4"/>
  <c r="F628" i="4"/>
  <c r="G628" i="4"/>
  <c r="E629" i="4"/>
  <c r="F629" i="4"/>
  <c r="G629" i="4"/>
  <c r="E634" i="4"/>
  <c r="E635" i="4"/>
  <c r="C636" i="4"/>
  <c r="D636" i="4"/>
  <c r="E636" i="4"/>
  <c r="F636" i="4"/>
  <c r="G636" i="4"/>
  <c r="E637" i="4"/>
  <c r="F637" i="4"/>
  <c r="G637" i="4"/>
  <c r="E638" i="4"/>
  <c r="F638" i="4"/>
  <c r="G638" i="4"/>
  <c r="E643" i="4"/>
  <c r="E644" i="4"/>
  <c r="C645" i="4"/>
  <c r="D645" i="4"/>
  <c r="E645" i="4"/>
  <c r="F645" i="4"/>
  <c r="G645" i="4"/>
  <c r="E646" i="4"/>
  <c r="F646" i="4"/>
  <c r="G646" i="4"/>
  <c r="E647" i="4"/>
  <c r="F647" i="4"/>
  <c r="G647" i="4"/>
  <c r="E652" i="4"/>
  <c r="E653" i="4"/>
  <c r="C654" i="4"/>
  <c r="D654" i="4"/>
  <c r="E654" i="4"/>
  <c r="F654" i="4"/>
  <c r="G654" i="4"/>
  <c r="E655" i="4"/>
  <c r="F655" i="4"/>
  <c r="G655" i="4"/>
  <c r="E656" i="4"/>
  <c r="F656" i="4"/>
  <c r="G656" i="4"/>
  <c r="E661" i="4"/>
  <c r="E662" i="4"/>
  <c r="C663" i="4"/>
  <c r="D663" i="4"/>
  <c r="E663" i="4"/>
  <c r="F663" i="4"/>
  <c r="G663" i="4"/>
  <c r="E664" i="4"/>
  <c r="F664" i="4"/>
  <c r="G664" i="4"/>
  <c r="E665" i="4"/>
  <c r="F665" i="4"/>
  <c r="G665" i="4"/>
  <c r="E670" i="4"/>
  <c r="E671" i="4"/>
  <c r="C672" i="4"/>
  <c r="D672" i="4"/>
  <c r="E672" i="4"/>
  <c r="F672" i="4"/>
  <c r="G672" i="4"/>
  <c r="E673" i="4"/>
  <c r="F673" i="4"/>
  <c r="G673" i="4"/>
  <c r="E674" i="4"/>
  <c r="F674" i="4"/>
  <c r="G674" i="4"/>
  <c r="E679" i="4"/>
  <c r="E680" i="4"/>
  <c r="C681" i="4"/>
  <c r="D681" i="4"/>
  <c r="E681" i="4"/>
  <c r="F681" i="4"/>
  <c r="G681" i="4"/>
  <c r="E682" i="4"/>
  <c r="F682" i="4"/>
  <c r="G682" i="4"/>
  <c r="E683" i="4"/>
  <c r="F683" i="4"/>
  <c r="G683" i="4"/>
  <c r="E688" i="4"/>
  <c r="E689" i="4"/>
  <c r="C690" i="4"/>
  <c r="D690" i="4"/>
  <c r="E690" i="4"/>
  <c r="F690" i="4"/>
  <c r="G690" i="4"/>
  <c r="E691" i="4"/>
  <c r="F691" i="4"/>
  <c r="G691" i="4"/>
  <c r="E692" i="4"/>
  <c r="F692" i="4"/>
  <c r="G692" i="4"/>
  <c r="E697" i="4"/>
  <c r="E698" i="4"/>
  <c r="C699" i="4"/>
  <c r="D699" i="4"/>
  <c r="E699" i="4"/>
  <c r="F699" i="4"/>
  <c r="G699" i="4"/>
  <c r="E700" i="4"/>
  <c r="F700" i="4"/>
  <c r="G700" i="4"/>
  <c r="E701" i="4"/>
  <c r="F701" i="4"/>
  <c r="G701" i="4"/>
  <c r="E706" i="4"/>
  <c r="E707" i="4"/>
  <c r="C708" i="4"/>
  <c r="D708" i="4"/>
  <c r="E708" i="4"/>
  <c r="F708" i="4"/>
  <c r="G708" i="4"/>
  <c r="E709" i="4"/>
  <c r="F709" i="4"/>
  <c r="G709" i="4"/>
  <c r="E710" i="4"/>
  <c r="F710" i="4"/>
  <c r="G710" i="4"/>
  <c r="E715" i="4"/>
  <c r="E716" i="4"/>
  <c r="C717" i="4"/>
  <c r="D717" i="4"/>
  <c r="E717" i="4"/>
  <c r="F717" i="4"/>
  <c r="G717" i="4"/>
  <c r="E718" i="4"/>
  <c r="F718" i="4"/>
  <c r="G718" i="4"/>
  <c r="E719" i="4"/>
  <c r="F719" i="4"/>
  <c r="G719" i="4"/>
  <c r="E724" i="4"/>
  <c r="E725" i="4"/>
  <c r="C726" i="4"/>
  <c r="D726" i="4"/>
  <c r="E726" i="4"/>
  <c r="F726" i="4"/>
  <c r="G726" i="4"/>
  <c r="E727" i="4"/>
  <c r="F727" i="4"/>
  <c r="G727" i="4"/>
  <c r="E728" i="4"/>
  <c r="F728" i="4"/>
  <c r="G728" i="4"/>
  <c r="E733" i="4"/>
  <c r="E734" i="4"/>
  <c r="C735" i="4"/>
  <c r="D735" i="4"/>
  <c r="E735" i="4"/>
  <c r="F735" i="4"/>
  <c r="G735" i="4"/>
  <c r="E736" i="4"/>
  <c r="F736" i="4"/>
  <c r="G736" i="4"/>
  <c r="E737" i="4"/>
  <c r="F737" i="4"/>
  <c r="G737" i="4"/>
  <c r="E742" i="4"/>
  <c r="E743" i="4"/>
  <c r="C744" i="4"/>
  <c r="D744" i="4"/>
  <c r="E744" i="4"/>
  <c r="F744" i="4"/>
  <c r="G744" i="4"/>
  <c r="E745" i="4"/>
  <c r="F745" i="4"/>
  <c r="G745" i="4"/>
  <c r="E746" i="4"/>
  <c r="F746" i="4"/>
  <c r="G746" i="4"/>
  <c r="E751" i="4"/>
  <c r="E752" i="4"/>
  <c r="C753" i="4"/>
  <c r="D753" i="4"/>
  <c r="E753" i="4"/>
  <c r="F753" i="4"/>
  <c r="G753" i="4"/>
  <c r="E754" i="4"/>
  <c r="F754" i="4"/>
  <c r="G754" i="4"/>
  <c r="E755" i="4"/>
  <c r="F755" i="4"/>
  <c r="G755" i="4"/>
  <c r="E760" i="4"/>
  <c r="E761" i="4"/>
  <c r="C762" i="4"/>
  <c r="D762" i="4"/>
  <c r="E762" i="4"/>
  <c r="F762" i="4"/>
  <c r="G762" i="4"/>
  <c r="E763" i="4"/>
  <c r="F763" i="4"/>
  <c r="G763" i="4"/>
  <c r="E764" i="4"/>
  <c r="F764" i="4"/>
  <c r="G764" i="4"/>
  <c r="E769" i="4"/>
  <c r="E770" i="4"/>
  <c r="C771" i="4"/>
  <c r="D771" i="4"/>
  <c r="E771" i="4"/>
  <c r="F771" i="4"/>
  <c r="G771" i="4"/>
  <c r="E772" i="4"/>
  <c r="F772" i="4"/>
  <c r="G772" i="4"/>
  <c r="E773" i="4"/>
  <c r="F773" i="4"/>
  <c r="G773" i="4"/>
  <c r="E778" i="4"/>
  <c r="E779" i="4"/>
  <c r="C780" i="4"/>
  <c r="D780" i="4"/>
  <c r="E780" i="4"/>
  <c r="F780" i="4"/>
  <c r="G780" i="4"/>
  <c r="E781" i="4"/>
  <c r="F781" i="4"/>
  <c r="G781" i="4"/>
  <c r="E782" i="4"/>
  <c r="F782" i="4"/>
  <c r="G782" i="4"/>
  <c r="E787" i="4"/>
  <c r="E788" i="4"/>
  <c r="C789" i="4"/>
  <c r="D789" i="4"/>
  <c r="E789" i="4"/>
  <c r="F789" i="4"/>
  <c r="G789" i="4"/>
  <c r="E790" i="4"/>
  <c r="F790" i="4"/>
  <c r="G790" i="4"/>
  <c r="E791" i="4"/>
  <c r="F791" i="4"/>
  <c r="G791" i="4"/>
  <c r="E796" i="4"/>
  <c r="E797" i="4"/>
  <c r="C798" i="4"/>
  <c r="D798" i="4"/>
  <c r="E798" i="4"/>
  <c r="F798" i="4"/>
  <c r="G798" i="4"/>
  <c r="E799" i="4"/>
  <c r="F799" i="4"/>
  <c r="G799" i="4"/>
  <c r="E800" i="4"/>
  <c r="F800" i="4"/>
  <c r="G800" i="4"/>
  <c r="E805" i="4"/>
  <c r="E806" i="4"/>
  <c r="C807" i="4"/>
  <c r="D807" i="4"/>
  <c r="E807" i="4"/>
  <c r="F807" i="4"/>
  <c r="G807" i="4"/>
  <c r="E808" i="4"/>
  <c r="F808" i="4"/>
  <c r="G808" i="4"/>
  <c r="E809" i="4"/>
  <c r="F809" i="4"/>
  <c r="G809" i="4"/>
  <c r="E814" i="4"/>
  <c r="E815" i="4"/>
  <c r="C816" i="4"/>
  <c r="D816" i="4"/>
  <c r="E816" i="4"/>
  <c r="F816" i="4"/>
  <c r="G816" i="4"/>
  <c r="E817" i="4"/>
  <c r="F817" i="4"/>
  <c r="G817" i="4"/>
  <c r="E818" i="4"/>
  <c r="F818" i="4"/>
  <c r="G818" i="4"/>
  <c r="E823" i="4"/>
  <c r="E824" i="4"/>
  <c r="C825" i="4"/>
  <c r="D825" i="4"/>
  <c r="E825" i="4"/>
  <c r="F825" i="4"/>
  <c r="G825" i="4"/>
  <c r="E826" i="4"/>
  <c r="F826" i="4"/>
  <c r="G826" i="4"/>
  <c r="E827" i="4"/>
  <c r="F827" i="4"/>
  <c r="G827" i="4"/>
  <c r="E832" i="4"/>
  <c r="E833" i="4"/>
  <c r="C834" i="4"/>
  <c r="D834" i="4"/>
  <c r="E834" i="4"/>
  <c r="F834" i="4"/>
  <c r="G834" i="4"/>
  <c r="E835" i="4"/>
  <c r="F835" i="4"/>
  <c r="G835" i="4"/>
  <c r="E836" i="4"/>
  <c r="F836" i="4"/>
  <c r="G836" i="4"/>
  <c r="E841" i="4"/>
  <c r="E842" i="4"/>
  <c r="C843" i="4"/>
  <c r="D843" i="4"/>
  <c r="E843" i="4"/>
  <c r="F843" i="4"/>
  <c r="G843" i="4"/>
  <c r="E844" i="4"/>
  <c r="F844" i="4"/>
  <c r="G844" i="4"/>
  <c r="E845" i="4"/>
  <c r="F845" i="4"/>
  <c r="G845" i="4"/>
  <c r="E850" i="4"/>
  <c r="E851" i="4"/>
  <c r="C852" i="4"/>
  <c r="D852" i="4"/>
  <c r="E852" i="4"/>
  <c r="F852" i="4"/>
  <c r="G852" i="4"/>
  <c r="E853" i="4"/>
  <c r="F853" i="4"/>
  <c r="G853" i="4"/>
  <c r="E854" i="4"/>
  <c r="F854" i="4"/>
  <c r="G854" i="4"/>
  <c r="E859" i="4"/>
  <c r="E860" i="4"/>
  <c r="C861" i="4"/>
  <c r="D861" i="4"/>
  <c r="E861" i="4"/>
  <c r="F861" i="4"/>
  <c r="G861" i="4"/>
  <c r="E862" i="4"/>
  <c r="F862" i="4"/>
  <c r="G862" i="4"/>
  <c r="E863" i="4"/>
  <c r="F863" i="4"/>
  <c r="G863" i="4"/>
  <c r="E868" i="4"/>
  <c r="E869" i="4"/>
  <c r="C870" i="4"/>
  <c r="D870" i="4"/>
  <c r="E870" i="4"/>
  <c r="F870" i="4"/>
  <c r="G870" i="4"/>
  <c r="E871" i="4"/>
  <c r="F871" i="4"/>
  <c r="G871" i="4"/>
  <c r="E872" i="4"/>
  <c r="F872" i="4"/>
  <c r="G872" i="4"/>
  <c r="E877" i="4"/>
  <c r="E878" i="4"/>
  <c r="C879" i="4"/>
  <c r="D879" i="4"/>
  <c r="E879" i="4"/>
  <c r="F879" i="4"/>
  <c r="G879" i="4"/>
  <c r="E880" i="4"/>
  <c r="F880" i="4"/>
  <c r="G880" i="4"/>
  <c r="E881" i="4"/>
  <c r="F881" i="4"/>
  <c r="G881" i="4"/>
  <c r="E886" i="4"/>
  <c r="E887" i="4"/>
  <c r="C888" i="4"/>
  <c r="D888" i="4"/>
  <c r="E888" i="4"/>
  <c r="F888" i="4"/>
  <c r="G888" i="4"/>
  <c r="E889" i="4"/>
  <c r="F889" i="4"/>
  <c r="G889" i="4"/>
  <c r="E890" i="4"/>
  <c r="F890" i="4"/>
  <c r="G890" i="4"/>
  <c r="E895" i="4"/>
  <c r="E896" i="4"/>
  <c r="C897" i="4"/>
  <c r="D897" i="4"/>
  <c r="E897" i="4"/>
  <c r="F897" i="4"/>
  <c r="G897" i="4"/>
  <c r="E898" i="4"/>
  <c r="F898" i="4"/>
  <c r="G898" i="4"/>
  <c r="E899" i="4"/>
  <c r="F899" i="4"/>
  <c r="G899" i="4"/>
  <c r="E904" i="4"/>
  <c r="E905" i="4"/>
  <c r="C906" i="4"/>
  <c r="D906" i="4"/>
  <c r="E906" i="4"/>
  <c r="F906" i="4"/>
  <c r="G906" i="4"/>
  <c r="E907" i="4"/>
  <c r="F907" i="4"/>
  <c r="G907" i="4"/>
  <c r="E908" i="4"/>
  <c r="F908" i="4"/>
  <c r="G908" i="4"/>
  <c r="E913" i="4"/>
  <c r="E914" i="4"/>
  <c r="C915" i="4"/>
  <c r="D915" i="4"/>
  <c r="E915" i="4"/>
  <c r="F915" i="4"/>
  <c r="G915" i="4"/>
  <c r="E916" i="4"/>
  <c r="F916" i="4"/>
  <c r="G916" i="4"/>
  <c r="E917" i="4"/>
  <c r="F917" i="4"/>
  <c r="G917" i="4"/>
  <c r="E922" i="4"/>
  <c r="E923" i="4"/>
  <c r="C924" i="4"/>
  <c r="D924" i="4"/>
  <c r="E924" i="4"/>
  <c r="F924" i="4"/>
  <c r="G924" i="4"/>
  <c r="E925" i="4"/>
  <c r="F925" i="4"/>
  <c r="G925" i="4"/>
  <c r="E926" i="4"/>
  <c r="F926" i="4"/>
  <c r="G926" i="4"/>
  <c r="E931" i="4"/>
  <c r="E932" i="4"/>
  <c r="C933" i="4"/>
  <c r="D933" i="4"/>
  <c r="E933" i="4"/>
  <c r="F933" i="4"/>
  <c r="G933" i="4"/>
  <c r="E934" i="4"/>
  <c r="F934" i="4"/>
  <c r="G934" i="4"/>
  <c r="E935" i="4"/>
  <c r="F935" i="4"/>
  <c r="G935" i="4"/>
  <c r="E940" i="4"/>
  <c r="E941" i="4"/>
  <c r="C942" i="4"/>
  <c r="D942" i="4"/>
  <c r="E942" i="4"/>
  <c r="F942" i="4"/>
  <c r="G942" i="4"/>
  <c r="E943" i="4"/>
  <c r="F943" i="4"/>
  <c r="G943" i="4"/>
  <c r="E944" i="4"/>
  <c r="F944" i="4"/>
  <c r="G944" i="4"/>
  <c r="E949" i="4"/>
  <c r="E950" i="4"/>
  <c r="C951" i="4"/>
  <c r="D951" i="4"/>
  <c r="E951" i="4"/>
  <c r="F951" i="4"/>
  <c r="G951" i="4"/>
  <c r="E952" i="4"/>
  <c r="F952" i="4"/>
  <c r="G952" i="4"/>
  <c r="E953" i="4"/>
  <c r="F953" i="4"/>
  <c r="G953" i="4"/>
  <c r="E958" i="4"/>
  <c r="E959" i="4"/>
  <c r="C960" i="4"/>
  <c r="D960" i="4"/>
  <c r="E960" i="4"/>
  <c r="F960" i="4"/>
  <c r="G960" i="4"/>
  <c r="E961" i="4"/>
  <c r="F961" i="4"/>
  <c r="G961" i="4"/>
  <c r="E962" i="4"/>
  <c r="F962" i="4"/>
  <c r="G962" i="4"/>
  <c r="E967" i="4"/>
  <c r="E968" i="4"/>
  <c r="C969" i="4"/>
  <c r="D969" i="4"/>
  <c r="E969" i="4"/>
  <c r="F969" i="4"/>
  <c r="G969" i="4"/>
  <c r="E970" i="4"/>
  <c r="F970" i="4"/>
  <c r="G970" i="4"/>
  <c r="E971" i="4"/>
  <c r="F971" i="4"/>
  <c r="G971" i="4"/>
  <c r="E976" i="4"/>
  <c r="E977" i="4"/>
  <c r="C978" i="4"/>
  <c r="D978" i="4"/>
  <c r="E978" i="4"/>
  <c r="F978" i="4"/>
  <c r="G978" i="4"/>
  <c r="E979" i="4"/>
  <c r="F979" i="4"/>
  <c r="G979" i="4"/>
  <c r="E980" i="4"/>
  <c r="F980" i="4"/>
  <c r="G980" i="4"/>
  <c r="E985" i="4"/>
  <c r="E986" i="4"/>
  <c r="C987" i="4"/>
  <c r="D987" i="4"/>
  <c r="E987" i="4"/>
  <c r="F987" i="4"/>
  <c r="G987" i="4"/>
  <c r="E988" i="4"/>
  <c r="F988" i="4"/>
  <c r="G988" i="4"/>
  <c r="E989" i="4"/>
  <c r="F989" i="4"/>
  <c r="G989" i="4"/>
  <c r="E994" i="4"/>
  <c r="E995" i="4"/>
  <c r="C996" i="4"/>
  <c r="D996" i="4"/>
  <c r="E996" i="4"/>
  <c r="F996" i="4"/>
  <c r="G996" i="4"/>
  <c r="E997" i="4"/>
  <c r="F997" i="4"/>
  <c r="G997" i="4"/>
  <c r="E998" i="4"/>
  <c r="F998" i="4"/>
  <c r="G998" i="4"/>
  <c r="E1003" i="4"/>
  <c r="E1004" i="4"/>
  <c r="C1005" i="4"/>
  <c r="D1005" i="4"/>
  <c r="E1005" i="4"/>
  <c r="F1005" i="4"/>
  <c r="G1005" i="4"/>
  <c r="E1006" i="4"/>
  <c r="F1006" i="4"/>
  <c r="G1006" i="4"/>
  <c r="E1007" i="4"/>
  <c r="F1007" i="4"/>
  <c r="G1007" i="4"/>
  <c r="E1012" i="4"/>
  <c r="E1013" i="4"/>
  <c r="C1014" i="4"/>
  <c r="D1014" i="4"/>
  <c r="E1014" i="4"/>
  <c r="F1014" i="4"/>
  <c r="G1014" i="4"/>
  <c r="E1015" i="4"/>
  <c r="F1015" i="4"/>
  <c r="G1015" i="4"/>
  <c r="E1016" i="4"/>
  <c r="F1016" i="4"/>
  <c r="G1016" i="4"/>
  <c r="E1021" i="4"/>
  <c r="E1022" i="4"/>
  <c r="C1023" i="4"/>
  <c r="D1023" i="4"/>
  <c r="E1023" i="4"/>
  <c r="F1023" i="4"/>
  <c r="G1023" i="4"/>
  <c r="E1024" i="4"/>
  <c r="F1024" i="4"/>
  <c r="G1024" i="4"/>
  <c r="E1025" i="4"/>
  <c r="F1025" i="4"/>
  <c r="G1025" i="4"/>
  <c r="E1030" i="4"/>
  <c r="E1031" i="4"/>
  <c r="C1032" i="4"/>
  <c r="D1032" i="4"/>
  <c r="E1032" i="4"/>
  <c r="F1032" i="4"/>
  <c r="G1032" i="4"/>
  <c r="E1033" i="4"/>
  <c r="F1033" i="4"/>
  <c r="G1033" i="4"/>
  <c r="E1034" i="4"/>
  <c r="F1034" i="4"/>
  <c r="G1034" i="4"/>
  <c r="E1039" i="4"/>
  <c r="E1040" i="4"/>
  <c r="C1041" i="4"/>
  <c r="D1041" i="4"/>
  <c r="E1041" i="4"/>
  <c r="F1041" i="4"/>
  <c r="G1041" i="4"/>
  <c r="E1042" i="4"/>
  <c r="F1042" i="4"/>
  <c r="G1042" i="4"/>
  <c r="E1043" i="4"/>
  <c r="F1043" i="4"/>
  <c r="G1043" i="4"/>
  <c r="E1048" i="4"/>
  <c r="E1049" i="4"/>
  <c r="C1050" i="4"/>
  <c r="D1050" i="4"/>
  <c r="E1050" i="4"/>
  <c r="F1050" i="4"/>
  <c r="G1050" i="4"/>
  <c r="E1051" i="4"/>
  <c r="F1051" i="4"/>
  <c r="G1051" i="4"/>
  <c r="E1052" i="4"/>
  <c r="F1052" i="4"/>
  <c r="G1052" i="4"/>
  <c r="E1057" i="4"/>
  <c r="E1058" i="4"/>
  <c r="C1059" i="4"/>
  <c r="D1059" i="4"/>
  <c r="E1059" i="4"/>
  <c r="F1059" i="4"/>
  <c r="G1059" i="4"/>
  <c r="E1060" i="4"/>
  <c r="F1060" i="4"/>
  <c r="G1060" i="4"/>
  <c r="E1061" i="4"/>
  <c r="F1061" i="4"/>
  <c r="G1061" i="4"/>
  <c r="E1066" i="4"/>
  <c r="E1067" i="4"/>
  <c r="C1068" i="4"/>
  <c r="D1068" i="4"/>
  <c r="E1068" i="4"/>
  <c r="F1068" i="4"/>
  <c r="G1068" i="4"/>
  <c r="E1069" i="4"/>
  <c r="F1069" i="4"/>
  <c r="G1069" i="4"/>
  <c r="E1070" i="4"/>
  <c r="F1070" i="4"/>
  <c r="G1070" i="4"/>
  <c r="E1075" i="4"/>
  <c r="E1076" i="4"/>
  <c r="C1077" i="4"/>
  <c r="D1077" i="4"/>
  <c r="E1077" i="4"/>
  <c r="F1077" i="4"/>
  <c r="G1077" i="4"/>
  <c r="E1078" i="4"/>
  <c r="F1078" i="4"/>
  <c r="G1078" i="4"/>
  <c r="E1079" i="4"/>
  <c r="F1079" i="4"/>
  <c r="G1079" i="4"/>
  <c r="E1084" i="4"/>
  <c r="E1085" i="4"/>
  <c r="C1086" i="4"/>
  <c r="D1086" i="4"/>
  <c r="E1086" i="4"/>
  <c r="F1086" i="4"/>
  <c r="G1086" i="4"/>
  <c r="E1087" i="4"/>
  <c r="F1087" i="4"/>
  <c r="G1087" i="4"/>
  <c r="E1088" i="4"/>
  <c r="F1088" i="4"/>
  <c r="G1088" i="4"/>
  <c r="E1093" i="4"/>
  <c r="E1094" i="4"/>
  <c r="C1095" i="4"/>
  <c r="D1095" i="4"/>
  <c r="E1095" i="4"/>
  <c r="F1095" i="4"/>
  <c r="G1095" i="4"/>
  <c r="E1096" i="4"/>
  <c r="F1096" i="4"/>
  <c r="G1096" i="4"/>
  <c r="E1097" i="4"/>
  <c r="F1097" i="4"/>
  <c r="G1097" i="4"/>
  <c r="E1102" i="4"/>
  <c r="E1103" i="4"/>
  <c r="C1104" i="4"/>
  <c r="D1104" i="4"/>
  <c r="E1104" i="4"/>
  <c r="F1104" i="4"/>
  <c r="G1104" i="4"/>
  <c r="E1105" i="4"/>
  <c r="F1105" i="4"/>
  <c r="G1105" i="4"/>
  <c r="E1106" i="4"/>
  <c r="F1106" i="4"/>
  <c r="G1106" i="4"/>
  <c r="E1111" i="4"/>
  <c r="E1112" i="4"/>
  <c r="C1113" i="4"/>
  <c r="D1113" i="4"/>
  <c r="E1113" i="4"/>
  <c r="F1113" i="4"/>
  <c r="G1113" i="4"/>
  <c r="E1114" i="4"/>
  <c r="F1114" i="4"/>
  <c r="G1114" i="4"/>
  <c r="E1115" i="4"/>
  <c r="F1115" i="4"/>
  <c r="G1115" i="4"/>
  <c r="E1120" i="4"/>
  <c r="E1121" i="4"/>
  <c r="C1122" i="4"/>
  <c r="D1122" i="4"/>
  <c r="E1122" i="4"/>
  <c r="F1122" i="4"/>
  <c r="G1122" i="4"/>
  <c r="E1123" i="4"/>
  <c r="F1123" i="4"/>
  <c r="G1123" i="4"/>
  <c r="E1124" i="4"/>
  <c r="F1124" i="4"/>
  <c r="G1124" i="4"/>
  <c r="E1129" i="4"/>
  <c r="E1130" i="4"/>
  <c r="C1131" i="4"/>
  <c r="D1131" i="4"/>
  <c r="E1131" i="4"/>
  <c r="F1131" i="4"/>
  <c r="G1131" i="4"/>
  <c r="E1132" i="4"/>
  <c r="F1132" i="4"/>
  <c r="G1132" i="4"/>
  <c r="E1133" i="4"/>
  <c r="F1133" i="4"/>
  <c r="G1133" i="4"/>
  <c r="E1138" i="4"/>
  <c r="E1139" i="4"/>
  <c r="C1140" i="4"/>
  <c r="D1140" i="4"/>
  <c r="E1140" i="4"/>
  <c r="F1140" i="4"/>
  <c r="G1140" i="4"/>
  <c r="E1141" i="4"/>
  <c r="F1141" i="4"/>
  <c r="G1141" i="4"/>
  <c r="E1142" i="4"/>
  <c r="F1142" i="4"/>
  <c r="G1142" i="4"/>
  <c r="E1147" i="4"/>
  <c r="E1148" i="4"/>
  <c r="C1149" i="4"/>
  <c r="D1149" i="4"/>
  <c r="E1149" i="4"/>
  <c r="F1149" i="4"/>
  <c r="G1149" i="4"/>
  <c r="E1150" i="4"/>
  <c r="F1150" i="4"/>
  <c r="G1150" i="4"/>
  <c r="E1151" i="4"/>
  <c r="F1151" i="4"/>
  <c r="G1151" i="4"/>
  <c r="E1156" i="4"/>
  <c r="E1157" i="4"/>
  <c r="C1158" i="4"/>
  <c r="D1158" i="4"/>
  <c r="E1158" i="4"/>
  <c r="F1158" i="4"/>
  <c r="G1158" i="4"/>
  <c r="E1159" i="4"/>
  <c r="F1159" i="4"/>
  <c r="G1159" i="4"/>
  <c r="E1160" i="4"/>
  <c r="F1160" i="4"/>
  <c r="G1160" i="4"/>
  <c r="E1165" i="4"/>
  <c r="E1166" i="4"/>
  <c r="C1167" i="4"/>
  <c r="D1167" i="4"/>
  <c r="E1167" i="4"/>
  <c r="F1167" i="4"/>
  <c r="G1167" i="4"/>
  <c r="E1168" i="4"/>
  <c r="F1168" i="4"/>
  <c r="G1168" i="4"/>
  <c r="E1169" i="4"/>
  <c r="F1169" i="4"/>
  <c r="G1169" i="4"/>
  <c r="E1174" i="4"/>
  <c r="E1175" i="4"/>
  <c r="C1176" i="4"/>
  <c r="D1176" i="4"/>
  <c r="E1176" i="4"/>
  <c r="F1176" i="4"/>
  <c r="G1176" i="4"/>
  <c r="E1177" i="4"/>
  <c r="F1177" i="4"/>
  <c r="G1177" i="4"/>
  <c r="E1178" i="4"/>
  <c r="F1178" i="4"/>
  <c r="G1178" i="4"/>
  <c r="E1183" i="4"/>
  <c r="E1184" i="4"/>
  <c r="C1185" i="4"/>
  <c r="D1185" i="4"/>
  <c r="E1185" i="4"/>
  <c r="F1185" i="4"/>
  <c r="G1185" i="4"/>
  <c r="E1186" i="4"/>
  <c r="F1186" i="4"/>
  <c r="G1186" i="4"/>
  <c r="E1187" i="4"/>
  <c r="F1187" i="4"/>
  <c r="G1187" i="4"/>
  <c r="E1192" i="4"/>
  <c r="E1193" i="4"/>
  <c r="C1194" i="4"/>
  <c r="D1194" i="4"/>
  <c r="E1194" i="4"/>
  <c r="F1194" i="4"/>
  <c r="G1194" i="4"/>
  <c r="E1195" i="4"/>
  <c r="F1195" i="4"/>
  <c r="G1195" i="4"/>
  <c r="E1196" i="4"/>
  <c r="F1196" i="4"/>
  <c r="G1196" i="4"/>
  <c r="E1201" i="4"/>
  <c r="E1202" i="4"/>
  <c r="C1203" i="4"/>
  <c r="D1203" i="4"/>
  <c r="E1203" i="4"/>
  <c r="F1203" i="4"/>
  <c r="G1203" i="4"/>
  <c r="E1204" i="4"/>
  <c r="F1204" i="4"/>
  <c r="G1204" i="4"/>
  <c r="E1205" i="4"/>
  <c r="F1205" i="4"/>
  <c r="G1205" i="4"/>
  <c r="E1210" i="4"/>
  <c r="E1211" i="4"/>
  <c r="C1212" i="4"/>
  <c r="D1212" i="4"/>
  <c r="E1212" i="4"/>
  <c r="F1212" i="4"/>
  <c r="G1212" i="4"/>
  <c r="E1213" i="4"/>
  <c r="F1213" i="4"/>
  <c r="G1213" i="4"/>
  <c r="E1214" i="4"/>
  <c r="F1214" i="4"/>
  <c r="G1214" i="4"/>
  <c r="E1219" i="4"/>
  <c r="E1220" i="4"/>
  <c r="C1221" i="4"/>
  <c r="D1221" i="4"/>
  <c r="E1221" i="4"/>
  <c r="F1221" i="4"/>
  <c r="G1221" i="4"/>
  <c r="E1222" i="4"/>
  <c r="F1222" i="4"/>
  <c r="G1222" i="4"/>
  <c r="E1223" i="4"/>
  <c r="F1223" i="4"/>
  <c r="G1223" i="4"/>
  <c r="E1228" i="4"/>
  <c r="E1229" i="4"/>
  <c r="C1230" i="4"/>
  <c r="D1230" i="4"/>
  <c r="E1230" i="4"/>
  <c r="F1230" i="4"/>
  <c r="G1230" i="4"/>
  <c r="E1231" i="4"/>
  <c r="F1231" i="4"/>
  <c r="G1231" i="4"/>
  <c r="E1232" i="4"/>
  <c r="F1232" i="4"/>
  <c r="G1232" i="4"/>
  <c r="E1237" i="4"/>
  <c r="E1238" i="4"/>
  <c r="C1239" i="4"/>
  <c r="D1239" i="4"/>
  <c r="E1239" i="4"/>
  <c r="F1239" i="4"/>
  <c r="G1239" i="4"/>
  <c r="E1240" i="4"/>
  <c r="F1240" i="4"/>
  <c r="G1240" i="4"/>
  <c r="E1241" i="4"/>
  <c r="F1241" i="4"/>
  <c r="G1241" i="4"/>
  <c r="E1246" i="4"/>
  <c r="E1247" i="4"/>
  <c r="C1248" i="4"/>
  <c r="D1248" i="4"/>
  <c r="E1248" i="4"/>
  <c r="F1248" i="4"/>
  <c r="G1248" i="4"/>
  <c r="E1249" i="4"/>
  <c r="F1249" i="4"/>
  <c r="G1249" i="4"/>
  <c r="E1250" i="4"/>
  <c r="F1250" i="4"/>
  <c r="G1250" i="4"/>
  <c r="E1255" i="4"/>
  <c r="E1256" i="4"/>
  <c r="C1257" i="4"/>
  <c r="D1257" i="4"/>
  <c r="E1257" i="4"/>
  <c r="F1257" i="4"/>
  <c r="G1257" i="4"/>
  <c r="E1258" i="4"/>
  <c r="F1258" i="4"/>
  <c r="G1258" i="4"/>
  <c r="E1259" i="4"/>
  <c r="F1259" i="4"/>
  <c r="G1259" i="4"/>
  <c r="E1264" i="4"/>
  <c r="E1265" i="4"/>
  <c r="C1266" i="4"/>
  <c r="D1266" i="4"/>
  <c r="E1266" i="4"/>
  <c r="F1266" i="4"/>
  <c r="G1266" i="4"/>
  <c r="E1267" i="4"/>
  <c r="F1267" i="4"/>
  <c r="G1267" i="4"/>
  <c r="E1268" i="4"/>
  <c r="F1268" i="4"/>
  <c r="G1268" i="4"/>
  <c r="E1273" i="4"/>
  <c r="E1274" i="4"/>
  <c r="C1275" i="4"/>
  <c r="D1275" i="4"/>
  <c r="E1275" i="4"/>
  <c r="F1275" i="4"/>
  <c r="G1275" i="4"/>
  <c r="E1276" i="4"/>
  <c r="F1276" i="4"/>
  <c r="G1276" i="4"/>
  <c r="E1277" i="4"/>
  <c r="F1277" i="4"/>
  <c r="G1277" i="4"/>
  <c r="E1282" i="4"/>
  <c r="E1283" i="4"/>
  <c r="C1284" i="4"/>
  <c r="D1284" i="4"/>
  <c r="E1284" i="4"/>
  <c r="F1284" i="4"/>
  <c r="G1284" i="4"/>
  <c r="E1285" i="4"/>
  <c r="F1285" i="4"/>
  <c r="G1285" i="4"/>
  <c r="E1286" i="4"/>
  <c r="F1286" i="4"/>
  <c r="G1286" i="4"/>
  <c r="E1291" i="4"/>
  <c r="E1292" i="4"/>
  <c r="C1293" i="4"/>
  <c r="D1293" i="4"/>
  <c r="E1293" i="4"/>
  <c r="F1293" i="4"/>
  <c r="G1293" i="4"/>
  <c r="E1294" i="4"/>
  <c r="F1294" i="4"/>
  <c r="G1294" i="4"/>
  <c r="E1295" i="4"/>
  <c r="F1295" i="4"/>
  <c r="G1295" i="4"/>
  <c r="E1300" i="4"/>
  <c r="E1301" i="4"/>
  <c r="C1302" i="4"/>
  <c r="D1302" i="4"/>
  <c r="E1302" i="4"/>
  <c r="F1302" i="4"/>
  <c r="G1302" i="4"/>
  <c r="E1303" i="4"/>
  <c r="F1303" i="4"/>
  <c r="G1303" i="4"/>
  <c r="E1304" i="4"/>
  <c r="F1304" i="4"/>
  <c r="G1304" i="4"/>
  <c r="E1309" i="4"/>
  <c r="E1310" i="4"/>
  <c r="C1311" i="4"/>
  <c r="D1311" i="4"/>
  <c r="E1311" i="4"/>
  <c r="F1311" i="4"/>
  <c r="G1311" i="4"/>
  <c r="E1312" i="4"/>
  <c r="F1312" i="4"/>
  <c r="G1312" i="4"/>
  <c r="E1313" i="4"/>
  <c r="F1313" i="4"/>
  <c r="G1313" i="4"/>
  <c r="E1318" i="4"/>
  <c r="E1319" i="4"/>
  <c r="C1320" i="4"/>
  <c r="D1320" i="4"/>
  <c r="E1320" i="4"/>
  <c r="F1320" i="4"/>
  <c r="G1320" i="4"/>
  <c r="E1321" i="4"/>
  <c r="F1321" i="4"/>
  <c r="G1321" i="4"/>
  <c r="E1322" i="4"/>
  <c r="F1322" i="4"/>
  <c r="G1322" i="4"/>
  <c r="E1327" i="4"/>
  <c r="E1328" i="4"/>
  <c r="C1329" i="4"/>
  <c r="D1329" i="4"/>
  <c r="E1329" i="4"/>
  <c r="F1329" i="4"/>
  <c r="G1329" i="4"/>
  <c r="E1330" i="4"/>
  <c r="F1330" i="4"/>
  <c r="G1330" i="4"/>
  <c r="E1331" i="4"/>
  <c r="F1331" i="4"/>
  <c r="G1331" i="4"/>
  <c r="E1336" i="4"/>
  <c r="E1337" i="4"/>
  <c r="C1338" i="4"/>
  <c r="D1338" i="4"/>
  <c r="E1338" i="4"/>
  <c r="F1338" i="4"/>
  <c r="G1338" i="4"/>
  <c r="E1339" i="4"/>
  <c r="F1339" i="4"/>
  <c r="G1339" i="4"/>
  <c r="E1340" i="4"/>
  <c r="F1340" i="4"/>
  <c r="G1340" i="4"/>
  <c r="E1345" i="4"/>
  <c r="E1346" i="4"/>
  <c r="C1347" i="4"/>
  <c r="D1347" i="4"/>
  <c r="E1347" i="4"/>
  <c r="F1347" i="4"/>
  <c r="G1347" i="4"/>
  <c r="E1348" i="4"/>
  <c r="F1348" i="4"/>
  <c r="G1348" i="4"/>
  <c r="E1349" i="4"/>
  <c r="F1349" i="4"/>
  <c r="G1349" i="4"/>
  <c r="E1354" i="4"/>
  <c r="E1355" i="4"/>
  <c r="C1356" i="4"/>
  <c r="D1356" i="4"/>
  <c r="E1356" i="4"/>
  <c r="F1356" i="4"/>
  <c r="G1356" i="4"/>
  <c r="E1357" i="4"/>
  <c r="F1357" i="4"/>
  <c r="G1357" i="4"/>
  <c r="E1358" i="4"/>
  <c r="F1358" i="4"/>
  <c r="G1358" i="4"/>
  <c r="E1363" i="4"/>
  <c r="E1364" i="4"/>
  <c r="C1365" i="4"/>
  <c r="D1365" i="4"/>
  <c r="E1365" i="4"/>
  <c r="F1365" i="4"/>
  <c r="G1365" i="4"/>
  <c r="E1366" i="4"/>
  <c r="F1366" i="4"/>
  <c r="G1366" i="4"/>
  <c r="E1367" i="4"/>
  <c r="F1367" i="4"/>
  <c r="G1367" i="4"/>
  <c r="E1372" i="4"/>
  <c r="E1373" i="4"/>
  <c r="C1374" i="4"/>
  <c r="D1374" i="4"/>
  <c r="E1374" i="4"/>
  <c r="F1374" i="4"/>
  <c r="G1374" i="4"/>
  <c r="E1375" i="4"/>
  <c r="F1375" i="4"/>
  <c r="G1375" i="4"/>
  <c r="E1376" i="4"/>
  <c r="F1376" i="4"/>
  <c r="G1376" i="4"/>
  <c r="E1381" i="4"/>
  <c r="E1382" i="4"/>
  <c r="C1383" i="4"/>
  <c r="D1383" i="4"/>
  <c r="E1383" i="4"/>
  <c r="F1383" i="4"/>
  <c r="G1383" i="4"/>
  <c r="E1384" i="4"/>
  <c r="F1384" i="4"/>
  <c r="G1384" i="4"/>
  <c r="E1385" i="4"/>
  <c r="F1385" i="4"/>
  <c r="G1385" i="4"/>
  <c r="E1390" i="4"/>
  <c r="E1391" i="4"/>
  <c r="C1392" i="4"/>
  <c r="D1392" i="4"/>
  <c r="E1392" i="4"/>
  <c r="F1392" i="4"/>
  <c r="G1392" i="4"/>
  <c r="E1393" i="4"/>
  <c r="F1393" i="4"/>
  <c r="G1393" i="4"/>
  <c r="E1394" i="4"/>
  <c r="F1394" i="4"/>
  <c r="G1394" i="4"/>
  <c r="E1399" i="4"/>
  <c r="E1400" i="4"/>
  <c r="C1401" i="4"/>
  <c r="D1401" i="4"/>
  <c r="E1401" i="4"/>
  <c r="F1401" i="4"/>
  <c r="G1401" i="4"/>
  <c r="E1402" i="4"/>
  <c r="F1402" i="4"/>
  <c r="G1402" i="4"/>
  <c r="E1403" i="4"/>
  <c r="F1403" i="4"/>
  <c r="G1403" i="4"/>
  <c r="E1408" i="4"/>
  <c r="E1409" i="4"/>
  <c r="C1410" i="4"/>
  <c r="D1410" i="4"/>
  <c r="E1410" i="4"/>
  <c r="F1410" i="4"/>
  <c r="G1410" i="4"/>
  <c r="E1411" i="4"/>
  <c r="F1411" i="4"/>
  <c r="G1411" i="4"/>
  <c r="E1412" i="4"/>
  <c r="F1412" i="4"/>
  <c r="G1412" i="4"/>
  <c r="E1417" i="4"/>
  <c r="E1418" i="4"/>
  <c r="C1419" i="4"/>
  <c r="D1419" i="4"/>
  <c r="E1419" i="4"/>
  <c r="F1419" i="4"/>
  <c r="G1419" i="4"/>
  <c r="E1420" i="4"/>
  <c r="F1420" i="4"/>
  <c r="G1420" i="4"/>
  <c r="E1421" i="4"/>
  <c r="F1421" i="4"/>
  <c r="G1421" i="4"/>
  <c r="E1426" i="4"/>
  <c r="E1427" i="4"/>
  <c r="C1428" i="4"/>
  <c r="D1428" i="4"/>
  <c r="E1428" i="4"/>
  <c r="F1428" i="4"/>
  <c r="G1428" i="4"/>
  <c r="E1429" i="4"/>
  <c r="F1429" i="4"/>
  <c r="G1429" i="4"/>
  <c r="E1430" i="4"/>
  <c r="F1430" i="4"/>
  <c r="G1430" i="4"/>
  <c r="E1435" i="4"/>
  <c r="E1436" i="4"/>
  <c r="C1437" i="4"/>
  <c r="D1437" i="4"/>
  <c r="E1437" i="4"/>
  <c r="F1437" i="4"/>
  <c r="G1437" i="4"/>
  <c r="E1438" i="4"/>
  <c r="F1438" i="4"/>
  <c r="G1438" i="4"/>
  <c r="E1439" i="4"/>
  <c r="F1439" i="4"/>
  <c r="G1439" i="4"/>
  <c r="E1444" i="4"/>
  <c r="E1445" i="4"/>
  <c r="C1446" i="4"/>
  <c r="D1446" i="4"/>
  <c r="E1446" i="4"/>
  <c r="F1446" i="4"/>
  <c r="G1446" i="4"/>
  <c r="E1447" i="4"/>
  <c r="F1447" i="4"/>
  <c r="G1447" i="4"/>
  <c r="E1448" i="4"/>
  <c r="F1448" i="4"/>
  <c r="G1448" i="4"/>
  <c r="E1453" i="4"/>
  <c r="E1454" i="4"/>
  <c r="C1455" i="4"/>
  <c r="D1455" i="4"/>
  <c r="E1455" i="4"/>
  <c r="F1455" i="4"/>
  <c r="G1455" i="4"/>
  <c r="E1456" i="4"/>
  <c r="F1456" i="4"/>
  <c r="G1456" i="4"/>
  <c r="E1457" i="4"/>
  <c r="F1457" i="4"/>
  <c r="G1457" i="4"/>
  <c r="E1462" i="4"/>
  <c r="E1463" i="4"/>
  <c r="C1464" i="4"/>
  <c r="D1464" i="4"/>
  <c r="E1464" i="4"/>
  <c r="F1464" i="4"/>
  <c r="G1464" i="4"/>
  <c r="E1465" i="4"/>
  <c r="F1465" i="4"/>
  <c r="G1465" i="4"/>
  <c r="E1466" i="4"/>
  <c r="F1466" i="4"/>
  <c r="G1466" i="4"/>
  <c r="E1471" i="4"/>
  <c r="E1472" i="4"/>
  <c r="C1473" i="4"/>
  <c r="D1473" i="4"/>
  <c r="E1473" i="4"/>
  <c r="F1473" i="4"/>
  <c r="G1473" i="4"/>
  <c r="E1474" i="4"/>
  <c r="F1474" i="4"/>
  <c r="G1474" i="4"/>
  <c r="E1475" i="4"/>
  <c r="F1475" i="4"/>
  <c r="G1475" i="4"/>
  <c r="E1480" i="4"/>
  <c r="E1481" i="4"/>
  <c r="C1482" i="4"/>
  <c r="D1482" i="4"/>
  <c r="E1482" i="4"/>
  <c r="F1482" i="4"/>
  <c r="G1482" i="4"/>
  <c r="E1483" i="4"/>
  <c r="F1483" i="4"/>
  <c r="G1483" i="4"/>
  <c r="E1484" i="4"/>
  <c r="F1484" i="4"/>
  <c r="G1484" i="4"/>
  <c r="E1489" i="4"/>
  <c r="E1490" i="4"/>
  <c r="C1491" i="4"/>
  <c r="D1491" i="4"/>
  <c r="E1491" i="4"/>
  <c r="F1491" i="4"/>
  <c r="G1491" i="4"/>
  <c r="E1492" i="4"/>
  <c r="F1492" i="4"/>
  <c r="G1492" i="4"/>
  <c r="E1493" i="4"/>
  <c r="F1493" i="4"/>
  <c r="G1493" i="4"/>
  <c r="E1498" i="4"/>
  <c r="E1499" i="4"/>
  <c r="C1500" i="4"/>
  <c r="D1500" i="4"/>
  <c r="E1500" i="4"/>
  <c r="F1500" i="4"/>
  <c r="G1500" i="4"/>
  <c r="E1501" i="4"/>
  <c r="F1501" i="4"/>
  <c r="G1501" i="4"/>
  <c r="E1502" i="4"/>
  <c r="F1502" i="4"/>
  <c r="G1502" i="4"/>
  <c r="E1507" i="4"/>
  <c r="E1508" i="4"/>
  <c r="C1509" i="4"/>
  <c r="D1509" i="4"/>
  <c r="E1509" i="4"/>
  <c r="F1509" i="4"/>
  <c r="G1509" i="4"/>
  <c r="E1510" i="4"/>
  <c r="F1510" i="4"/>
  <c r="G1510" i="4"/>
  <c r="E1511" i="4"/>
  <c r="F1511" i="4"/>
  <c r="G1511" i="4"/>
  <c r="E1516" i="4"/>
  <c r="E1517" i="4"/>
  <c r="C1518" i="4"/>
  <c r="D1518" i="4"/>
  <c r="E1518" i="4"/>
  <c r="F1518" i="4"/>
  <c r="G1518" i="4"/>
  <c r="E1519" i="4"/>
  <c r="F1519" i="4"/>
  <c r="G1519" i="4"/>
  <c r="E1520" i="4"/>
  <c r="F1520" i="4"/>
  <c r="G1520" i="4"/>
  <c r="E1525" i="4"/>
  <c r="E1526" i="4"/>
  <c r="C1527" i="4"/>
  <c r="D1527" i="4"/>
  <c r="E1527" i="4"/>
  <c r="F1527" i="4"/>
  <c r="G1527" i="4"/>
  <c r="E1528" i="4"/>
  <c r="F1528" i="4"/>
  <c r="G1528" i="4"/>
  <c r="E1529" i="4"/>
  <c r="F1529" i="4"/>
  <c r="G1529" i="4"/>
  <c r="E1534" i="4"/>
  <c r="E1535" i="4"/>
  <c r="C1536" i="4"/>
  <c r="D1536" i="4"/>
  <c r="E1536" i="4"/>
  <c r="F1536" i="4"/>
  <c r="G1536" i="4"/>
  <c r="E1537" i="4"/>
  <c r="F1537" i="4"/>
  <c r="G1537" i="4"/>
  <c r="E1538" i="4"/>
  <c r="F1538" i="4"/>
  <c r="G1538" i="4"/>
  <c r="E1543" i="4"/>
  <c r="E1544" i="4"/>
  <c r="C1545" i="4"/>
  <c r="D1545" i="4"/>
  <c r="E1545" i="4"/>
  <c r="F1545" i="4"/>
  <c r="G1545" i="4"/>
  <c r="E1546" i="4"/>
  <c r="F1546" i="4"/>
  <c r="G1546" i="4"/>
  <c r="E1547" i="4"/>
  <c r="F1547" i="4"/>
  <c r="G1547" i="4"/>
  <c r="E1552" i="4"/>
  <c r="E1553" i="4"/>
  <c r="C1554" i="4"/>
  <c r="D1554" i="4"/>
  <c r="E1554" i="4"/>
  <c r="F1554" i="4"/>
  <c r="G1554" i="4"/>
  <c r="E1555" i="4"/>
  <c r="F1555" i="4"/>
  <c r="G1555" i="4"/>
  <c r="E1556" i="4"/>
  <c r="F1556" i="4"/>
  <c r="G1556" i="4"/>
  <c r="E1561" i="4"/>
  <c r="E1562" i="4"/>
  <c r="C1563" i="4"/>
  <c r="D1563" i="4"/>
  <c r="E1563" i="4"/>
  <c r="F1563" i="4"/>
  <c r="G1563" i="4"/>
  <c r="E1564" i="4"/>
  <c r="F1564" i="4"/>
  <c r="G1564" i="4"/>
  <c r="E1565" i="4"/>
  <c r="F1565" i="4"/>
  <c r="G1565" i="4"/>
  <c r="E1570" i="4"/>
  <c r="E1571" i="4"/>
  <c r="C1572" i="4"/>
  <c r="D1572" i="4"/>
  <c r="E1572" i="4"/>
  <c r="F1572" i="4"/>
  <c r="G1572" i="4"/>
  <c r="E1573" i="4"/>
  <c r="F1573" i="4"/>
  <c r="G1573" i="4"/>
  <c r="E1574" i="4"/>
  <c r="F1574" i="4"/>
  <c r="G1574" i="4"/>
  <c r="E1579" i="4"/>
  <c r="E1580" i="4"/>
  <c r="C1581" i="4"/>
  <c r="D1581" i="4"/>
  <c r="E1581" i="4"/>
  <c r="F1581" i="4"/>
  <c r="G1581" i="4"/>
  <c r="E1582" i="4"/>
  <c r="F1582" i="4"/>
  <c r="G1582" i="4"/>
  <c r="E1583" i="4"/>
  <c r="F1583" i="4"/>
  <c r="G1583" i="4"/>
  <c r="E1588" i="4"/>
  <c r="E1589" i="4"/>
  <c r="C1590" i="4"/>
  <c r="D1590" i="4"/>
  <c r="E1590" i="4"/>
  <c r="F1590" i="4"/>
  <c r="G1590" i="4"/>
  <c r="E1591" i="4"/>
  <c r="F1591" i="4"/>
  <c r="G1591" i="4"/>
  <c r="E1592" i="4"/>
  <c r="F1592" i="4"/>
  <c r="G1592" i="4"/>
  <c r="E1597" i="4"/>
  <c r="E1598" i="4"/>
  <c r="C1599" i="4"/>
  <c r="D1599" i="4"/>
  <c r="E1599" i="4"/>
  <c r="F1599" i="4"/>
  <c r="G1599" i="4"/>
  <c r="E1600" i="4"/>
  <c r="F1600" i="4"/>
  <c r="G1600" i="4"/>
  <c r="E1601" i="4"/>
  <c r="F1601" i="4"/>
  <c r="G1601" i="4"/>
  <c r="E1606" i="4"/>
  <c r="E1607" i="4"/>
  <c r="C1608" i="4"/>
  <c r="D1608" i="4"/>
  <c r="E1608" i="4"/>
  <c r="F1608" i="4"/>
  <c r="G1608" i="4"/>
  <c r="E1609" i="4"/>
  <c r="F1609" i="4"/>
  <c r="G1609" i="4"/>
  <c r="E1610" i="4"/>
  <c r="F1610" i="4"/>
  <c r="G1610" i="4"/>
  <c r="E1615" i="4"/>
  <c r="E1616" i="4"/>
  <c r="C1617" i="4"/>
  <c r="D1617" i="4"/>
  <c r="E1617" i="4"/>
  <c r="F1617" i="4"/>
  <c r="G1617" i="4"/>
  <c r="E1618" i="4"/>
  <c r="F1618" i="4"/>
  <c r="G1618" i="4"/>
  <c r="E1619" i="4"/>
  <c r="F1619" i="4"/>
  <c r="G1619" i="4"/>
  <c r="E1624" i="4"/>
  <c r="E1625" i="4"/>
  <c r="C1626" i="4"/>
  <c r="D1626" i="4"/>
  <c r="E1626" i="4"/>
  <c r="F1626" i="4"/>
  <c r="G1626" i="4"/>
  <c r="E1627" i="4"/>
  <c r="F1627" i="4"/>
  <c r="G1627" i="4"/>
  <c r="E1628" i="4"/>
  <c r="F1628" i="4"/>
  <c r="G1628" i="4"/>
  <c r="E1633" i="4"/>
  <c r="E1634" i="4"/>
  <c r="C1635" i="4"/>
  <c r="D1635" i="4"/>
  <c r="E1635" i="4"/>
  <c r="F1635" i="4"/>
  <c r="G1635" i="4"/>
  <c r="E1636" i="4"/>
  <c r="F1636" i="4"/>
  <c r="G1636" i="4"/>
  <c r="E1637" i="4"/>
  <c r="F1637" i="4"/>
  <c r="G1637" i="4"/>
  <c r="E1642" i="4"/>
  <c r="E1643" i="4"/>
  <c r="C1644" i="4"/>
  <c r="D1644" i="4"/>
  <c r="E1644" i="4"/>
  <c r="F1644" i="4"/>
  <c r="G1644" i="4"/>
  <c r="E1645" i="4"/>
  <c r="F1645" i="4"/>
  <c r="G1645" i="4"/>
  <c r="E1646" i="4"/>
  <c r="F1646" i="4"/>
  <c r="G1646" i="4"/>
  <c r="E1651" i="4"/>
  <c r="E1652" i="4"/>
  <c r="C1653" i="4"/>
  <c r="D1653" i="4"/>
  <c r="E1653" i="4"/>
  <c r="F1653" i="4"/>
  <c r="G1653" i="4"/>
  <c r="E1654" i="4"/>
  <c r="F1654" i="4"/>
  <c r="G1654" i="4"/>
  <c r="E1655" i="4"/>
  <c r="F1655" i="4"/>
  <c r="G1655" i="4"/>
  <c r="E1660" i="4"/>
  <c r="E1661" i="4"/>
  <c r="C1662" i="4"/>
  <c r="D1662" i="4"/>
  <c r="E1662" i="4"/>
  <c r="F1662" i="4"/>
  <c r="G1662" i="4"/>
  <c r="E1663" i="4"/>
  <c r="F1663" i="4"/>
  <c r="G1663" i="4"/>
  <c r="E1664" i="4"/>
  <c r="F1664" i="4"/>
  <c r="G1664" i="4"/>
  <c r="E1669" i="4"/>
  <c r="E1670" i="4"/>
  <c r="C1671" i="4"/>
  <c r="D1671" i="4"/>
  <c r="E1671" i="4"/>
  <c r="F1671" i="4"/>
  <c r="G1671" i="4"/>
  <c r="E1672" i="4"/>
  <c r="F1672" i="4"/>
  <c r="G1672" i="4"/>
  <c r="E1673" i="4"/>
  <c r="F1673" i="4"/>
  <c r="G1673" i="4"/>
  <c r="E1678" i="4"/>
  <c r="E1679" i="4"/>
  <c r="C1680" i="4"/>
  <c r="D1680" i="4"/>
  <c r="E1680" i="4"/>
  <c r="F1680" i="4"/>
  <c r="G1680" i="4"/>
  <c r="E1681" i="4"/>
  <c r="F1681" i="4"/>
  <c r="G1681" i="4"/>
  <c r="E1682" i="4"/>
  <c r="F1682" i="4"/>
  <c r="G1682" i="4"/>
  <c r="E1687" i="4"/>
  <c r="E1688" i="4"/>
  <c r="C1689" i="4"/>
  <c r="D1689" i="4"/>
  <c r="E1689" i="4"/>
  <c r="F1689" i="4"/>
  <c r="G1689" i="4"/>
  <c r="E1690" i="4"/>
  <c r="F1690" i="4"/>
  <c r="G1690" i="4"/>
  <c r="E1691" i="4"/>
  <c r="F1691" i="4"/>
  <c r="G1691" i="4"/>
  <c r="E1696" i="4"/>
  <c r="E1697" i="4"/>
  <c r="C1698" i="4"/>
  <c r="D1698" i="4"/>
  <c r="E1698" i="4"/>
  <c r="F1698" i="4"/>
  <c r="G1698" i="4"/>
  <c r="E1699" i="4"/>
  <c r="F1699" i="4"/>
  <c r="G1699" i="4"/>
  <c r="E1700" i="4"/>
  <c r="F1700" i="4"/>
  <c r="G1700" i="4"/>
  <c r="E1705" i="4"/>
  <c r="E1706" i="4"/>
  <c r="C1707" i="4"/>
  <c r="D1707" i="4"/>
  <c r="E1707" i="4"/>
  <c r="F1707" i="4"/>
  <c r="G1707" i="4"/>
  <c r="E1708" i="4"/>
  <c r="F1708" i="4"/>
  <c r="G1708" i="4"/>
  <c r="E1709" i="4"/>
  <c r="F1709" i="4"/>
  <c r="G1709" i="4"/>
  <c r="E1714" i="4"/>
  <c r="E1715" i="4"/>
  <c r="C1716" i="4"/>
  <c r="D1716" i="4"/>
  <c r="E1716" i="4"/>
  <c r="F1716" i="4"/>
  <c r="G1716" i="4"/>
  <c r="E1717" i="4"/>
  <c r="F1717" i="4"/>
  <c r="G1717" i="4"/>
  <c r="E1718" i="4"/>
  <c r="F1718" i="4"/>
  <c r="G1718" i="4"/>
  <c r="E1723" i="4"/>
  <c r="E1724" i="4"/>
  <c r="C1725" i="4"/>
  <c r="D1725" i="4"/>
  <c r="E1725" i="4"/>
  <c r="F1725" i="4"/>
  <c r="G1725" i="4"/>
  <c r="E1726" i="4"/>
  <c r="F1726" i="4"/>
  <c r="G1726" i="4"/>
  <c r="E1727" i="4"/>
  <c r="F1727" i="4"/>
  <c r="G1727" i="4"/>
  <c r="E1732" i="4"/>
  <c r="E1733" i="4"/>
  <c r="C1734" i="4"/>
  <c r="D1734" i="4"/>
  <c r="E1734" i="4"/>
  <c r="F1734" i="4"/>
  <c r="G1734" i="4"/>
  <c r="E1735" i="4"/>
  <c r="F1735" i="4"/>
  <c r="G1735" i="4"/>
  <c r="E1736" i="4"/>
  <c r="F1736" i="4"/>
  <c r="G1736" i="4"/>
  <c r="E1741" i="4"/>
  <c r="E1742" i="4"/>
  <c r="C1743" i="4"/>
  <c r="D1743" i="4"/>
  <c r="E1743" i="4"/>
  <c r="F1743" i="4"/>
  <c r="G1743" i="4"/>
  <c r="E1744" i="4"/>
  <c r="F1744" i="4"/>
  <c r="G1744" i="4"/>
  <c r="E1745" i="4"/>
  <c r="F1745" i="4"/>
  <c r="G1745" i="4"/>
  <c r="E1750" i="4"/>
  <c r="E1751" i="4"/>
  <c r="C1752" i="4"/>
  <c r="D1752" i="4"/>
  <c r="E1752" i="4"/>
  <c r="F1752" i="4"/>
  <c r="G1752" i="4"/>
  <c r="E1753" i="4"/>
  <c r="F1753" i="4"/>
  <c r="G1753" i="4"/>
  <c r="E1754" i="4"/>
  <c r="F1754" i="4"/>
  <c r="G1754" i="4"/>
  <c r="E1759" i="4"/>
  <c r="E1760" i="4"/>
  <c r="C1761" i="4"/>
  <c r="D1761" i="4"/>
  <c r="E1761" i="4"/>
  <c r="F1761" i="4"/>
  <c r="G1761" i="4"/>
  <c r="E1762" i="4"/>
  <c r="F1762" i="4"/>
  <c r="G1762" i="4"/>
  <c r="E1763" i="4"/>
  <c r="F1763" i="4"/>
  <c r="G1763" i="4"/>
  <c r="E1768" i="4"/>
  <c r="E1769" i="4"/>
  <c r="C1770" i="4"/>
  <c r="D1770" i="4"/>
  <c r="E1770" i="4"/>
  <c r="F1770" i="4"/>
  <c r="G1770" i="4"/>
  <c r="E1771" i="4"/>
  <c r="F1771" i="4"/>
  <c r="G1771" i="4"/>
  <c r="E1772" i="4"/>
  <c r="F1772" i="4"/>
  <c r="G1772" i="4"/>
  <c r="E1777" i="4"/>
  <c r="E1778" i="4"/>
  <c r="C1779" i="4"/>
  <c r="D1779" i="4"/>
  <c r="E1779" i="4"/>
  <c r="F1779" i="4"/>
  <c r="G1779" i="4"/>
  <c r="E1780" i="4"/>
  <c r="F1780" i="4"/>
  <c r="G1780" i="4"/>
  <c r="E1781" i="4"/>
  <c r="F1781" i="4"/>
  <c r="G1781" i="4"/>
  <c r="E1786" i="4"/>
  <c r="E1787" i="4"/>
  <c r="C1788" i="4"/>
  <c r="D1788" i="4"/>
  <c r="E1788" i="4"/>
  <c r="F1788" i="4"/>
  <c r="G1788" i="4"/>
  <c r="E1789" i="4"/>
  <c r="F1789" i="4"/>
  <c r="G1789" i="4"/>
  <c r="E1790" i="4"/>
  <c r="F1790" i="4"/>
  <c r="G1790" i="4"/>
  <c r="E1795" i="4"/>
  <c r="E1796" i="4"/>
  <c r="C1797" i="4"/>
  <c r="D1797" i="4"/>
  <c r="E1797" i="4"/>
  <c r="F1797" i="4"/>
  <c r="G1797" i="4"/>
  <c r="E1798" i="4"/>
  <c r="F1798" i="4"/>
  <c r="G1798" i="4"/>
  <c r="E1799" i="4"/>
  <c r="F1799" i="4"/>
  <c r="G1799" i="4"/>
  <c r="E1804" i="4"/>
  <c r="E1805" i="4"/>
  <c r="C1806" i="4"/>
  <c r="D1806" i="4"/>
  <c r="E1806" i="4"/>
  <c r="F1806" i="4"/>
  <c r="G1806" i="4"/>
  <c r="E1807" i="4"/>
  <c r="F1807" i="4"/>
  <c r="G1807" i="4"/>
  <c r="E1808" i="4"/>
  <c r="F1808" i="4"/>
  <c r="G1808" i="4"/>
  <c r="E1813" i="4"/>
  <c r="E1814" i="4"/>
  <c r="C1815" i="4"/>
  <c r="D1815" i="4"/>
  <c r="E1815" i="4"/>
  <c r="F1815" i="4"/>
  <c r="G1815" i="4"/>
  <c r="E1816" i="4"/>
  <c r="F1816" i="4"/>
  <c r="G1816" i="4"/>
  <c r="E1817" i="4"/>
  <c r="F1817" i="4"/>
  <c r="G1817" i="4"/>
  <c r="E1822" i="4"/>
  <c r="E1823" i="4"/>
  <c r="C1824" i="4"/>
  <c r="D1824" i="4"/>
  <c r="E1824" i="4"/>
  <c r="F1824" i="4"/>
  <c r="G1824" i="4"/>
  <c r="E1825" i="4"/>
  <c r="F1825" i="4"/>
  <c r="G1825" i="4"/>
  <c r="E1826" i="4"/>
  <c r="F1826" i="4"/>
  <c r="G1826" i="4"/>
  <c r="E1831" i="4"/>
  <c r="E1832" i="4"/>
  <c r="C1833" i="4"/>
  <c r="D1833" i="4"/>
  <c r="E1833" i="4"/>
  <c r="F1833" i="4"/>
  <c r="G1833" i="4"/>
  <c r="E1834" i="4"/>
  <c r="F1834" i="4"/>
  <c r="G1834" i="4"/>
  <c r="E1835" i="4"/>
  <c r="F1835" i="4"/>
  <c r="G1835" i="4"/>
  <c r="E1840" i="4"/>
  <c r="E1841" i="4"/>
  <c r="C1842" i="4"/>
  <c r="D1842" i="4"/>
  <c r="E1842" i="4"/>
  <c r="F1842" i="4"/>
  <c r="G1842" i="4"/>
  <c r="E1843" i="4"/>
  <c r="F1843" i="4"/>
  <c r="G1843" i="4"/>
  <c r="E1844" i="4"/>
  <c r="F1844" i="4"/>
  <c r="G1844" i="4"/>
  <c r="E1849" i="4"/>
  <c r="E1850" i="4"/>
  <c r="C1851" i="4"/>
  <c r="D1851" i="4"/>
  <c r="E1851" i="4"/>
  <c r="F1851" i="4"/>
  <c r="G1851" i="4"/>
  <c r="E1852" i="4"/>
  <c r="F1852" i="4"/>
  <c r="G1852" i="4"/>
  <c r="E1853" i="4"/>
  <c r="F1853" i="4"/>
  <c r="G1853" i="4"/>
  <c r="E1858" i="4"/>
  <c r="E1859" i="4"/>
  <c r="C1860" i="4"/>
  <c r="D1860" i="4"/>
  <c r="E1860" i="4"/>
  <c r="F1860" i="4"/>
  <c r="G1860" i="4"/>
  <c r="E1861" i="4"/>
  <c r="F1861" i="4"/>
  <c r="G1861" i="4"/>
  <c r="E1862" i="4"/>
  <c r="F1862" i="4"/>
  <c r="G1862" i="4"/>
  <c r="E1867" i="4"/>
  <c r="E1868" i="4"/>
  <c r="C1869" i="4"/>
  <c r="D1869" i="4"/>
  <c r="E1869" i="4"/>
  <c r="F1869" i="4"/>
  <c r="G1869" i="4"/>
  <c r="E1870" i="4"/>
  <c r="F1870" i="4"/>
  <c r="G1870" i="4"/>
  <c r="E1871" i="4"/>
  <c r="F1871" i="4"/>
  <c r="G1871" i="4"/>
  <c r="E1876" i="4"/>
  <c r="E1877" i="4"/>
  <c r="C1878" i="4"/>
  <c r="D1878" i="4"/>
  <c r="E1878" i="4"/>
  <c r="F1878" i="4"/>
  <c r="G1878" i="4"/>
  <c r="E1879" i="4"/>
  <c r="F1879" i="4"/>
  <c r="G1879" i="4"/>
  <c r="E1880" i="4"/>
  <c r="F1880" i="4"/>
  <c r="G1880" i="4"/>
  <c r="E1885" i="4"/>
  <c r="E1886" i="4"/>
  <c r="C1887" i="4"/>
  <c r="D1887" i="4"/>
  <c r="E1887" i="4"/>
  <c r="F1887" i="4"/>
  <c r="G1887" i="4"/>
  <c r="E1888" i="4"/>
  <c r="F1888" i="4"/>
  <c r="G1888" i="4"/>
  <c r="E1889" i="4"/>
  <c r="F1889" i="4"/>
  <c r="G1889" i="4"/>
  <c r="E1894" i="4"/>
  <c r="E1895" i="4"/>
  <c r="C1896" i="4"/>
  <c r="D1896" i="4"/>
  <c r="E1896" i="4"/>
  <c r="F1896" i="4"/>
  <c r="G1896" i="4"/>
  <c r="E1897" i="4"/>
  <c r="F1897" i="4"/>
  <c r="G1897" i="4"/>
  <c r="E1898" i="4"/>
  <c r="F1898" i="4"/>
  <c r="G1898" i="4"/>
  <c r="E1903" i="4"/>
  <c r="E1904" i="4"/>
  <c r="C1905" i="4"/>
  <c r="D1905" i="4"/>
  <c r="E1905" i="4"/>
  <c r="F1905" i="4"/>
  <c r="G1905" i="4"/>
  <c r="E1906" i="4"/>
  <c r="F1906" i="4"/>
  <c r="G1906" i="4"/>
  <c r="E1907" i="4"/>
  <c r="F1907" i="4"/>
  <c r="G1907" i="4"/>
  <c r="E1912" i="4"/>
  <c r="E1913" i="4"/>
  <c r="C1914" i="4"/>
  <c r="D1914" i="4"/>
  <c r="E1914" i="4"/>
  <c r="F1914" i="4"/>
  <c r="G1914" i="4"/>
  <c r="E1915" i="4"/>
  <c r="F1915" i="4"/>
  <c r="G1915" i="4"/>
  <c r="E1916" i="4"/>
  <c r="F1916" i="4"/>
  <c r="G1916" i="4"/>
  <c r="E1921" i="4"/>
  <c r="E1922" i="4"/>
  <c r="C1923" i="4"/>
  <c r="D1923" i="4"/>
  <c r="E1923" i="4"/>
  <c r="F1923" i="4"/>
  <c r="G1923" i="4"/>
  <c r="E1924" i="4"/>
  <c r="F1924" i="4"/>
  <c r="G1924" i="4"/>
  <c r="E1925" i="4"/>
  <c r="F1925" i="4"/>
  <c r="G1925" i="4"/>
  <c r="E1930" i="4"/>
  <c r="E1931" i="4"/>
  <c r="C1932" i="4"/>
  <c r="D1932" i="4"/>
  <c r="E1932" i="4"/>
  <c r="F1932" i="4"/>
  <c r="G1932" i="4"/>
  <c r="E1933" i="4"/>
  <c r="F1933" i="4"/>
  <c r="G1933" i="4"/>
  <c r="E1934" i="4"/>
  <c r="F1934" i="4"/>
  <c r="G1934" i="4"/>
  <c r="E1939" i="4"/>
  <c r="E1940" i="4"/>
  <c r="C1941" i="4"/>
  <c r="D1941" i="4"/>
  <c r="E1941" i="4"/>
  <c r="F1941" i="4"/>
  <c r="G1941" i="4"/>
  <c r="E1942" i="4"/>
  <c r="F1942" i="4"/>
  <c r="G1942" i="4"/>
  <c r="E1943" i="4"/>
  <c r="F1943" i="4"/>
  <c r="G1943" i="4"/>
  <c r="E1948" i="4"/>
  <c r="E1949" i="4"/>
  <c r="C1950" i="4"/>
  <c r="D1950" i="4"/>
  <c r="E1950" i="4"/>
  <c r="F1950" i="4"/>
  <c r="G1950" i="4"/>
  <c r="E1951" i="4"/>
  <c r="F1951" i="4"/>
  <c r="G1951" i="4"/>
  <c r="E1952" i="4"/>
  <c r="F1952" i="4"/>
  <c r="G1952" i="4"/>
  <c r="E1957" i="4"/>
  <c r="E1958" i="4"/>
  <c r="C1959" i="4"/>
  <c r="D1959" i="4"/>
  <c r="E1959" i="4"/>
  <c r="F1959" i="4"/>
  <c r="G1959" i="4"/>
  <c r="E1960" i="4"/>
  <c r="F1960" i="4"/>
  <c r="G1960" i="4"/>
  <c r="E1961" i="4"/>
  <c r="F1961" i="4"/>
  <c r="G1961" i="4"/>
  <c r="E1966" i="4"/>
  <c r="E1967" i="4"/>
  <c r="C1968" i="4"/>
  <c r="D1968" i="4"/>
  <c r="E1968" i="4"/>
  <c r="F1968" i="4"/>
  <c r="G1968" i="4"/>
  <c r="E1969" i="4"/>
  <c r="F1969" i="4"/>
  <c r="G1969" i="4"/>
  <c r="E1970" i="4"/>
  <c r="F1970" i="4"/>
  <c r="G1970" i="4"/>
  <c r="E1975" i="4"/>
  <c r="E1976" i="4"/>
  <c r="C1977" i="4"/>
  <c r="D1977" i="4"/>
  <c r="E1977" i="4"/>
  <c r="F1977" i="4"/>
  <c r="G1977" i="4"/>
  <c r="E1978" i="4"/>
  <c r="F1978" i="4"/>
  <c r="G1978" i="4"/>
  <c r="E1979" i="4"/>
  <c r="F1979" i="4"/>
  <c r="G1979" i="4"/>
  <c r="E1984" i="4"/>
  <c r="E1985" i="4"/>
  <c r="C1986" i="4"/>
  <c r="D1986" i="4"/>
  <c r="E1986" i="4"/>
  <c r="F1986" i="4"/>
  <c r="G1986" i="4"/>
  <c r="E1987" i="4"/>
  <c r="F1987" i="4"/>
  <c r="G1987" i="4"/>
  <c r="E1988" i="4"/>
  <c r="F1988" i="4"/>
  <c r="G1988" i="4"/>
  <c r="E1993" i="4"/>
  <c r="E1994" i="4"/>
  <c r="C1995" i="4"/>
  <c r="D1995" i="4"/>
  <c r="E1995" i="4"/>
  <c r="F1995" i="4"/>
  <c r="G1995" i="4"/>
  <c r="E1996" i="4"/>
  <c r="F1996" i="4"/>
  <c r="G1996" i="4"/>
  <c r="E1997" i="4"/>
  <c r="F1997" i="4"/>
  <c r="G1997" i="4"/>
  <c r="E2002" i="4"/>
  <c r="E2003" i="4"/>
  <c r="C2004" i="4"/>
  <c r="D2004" i="4"/>
  <c r="E2004" i="4"/>
  <c r="F2004" i="4"/>
  <c r="G2004" i="4"/>
  <c r="E2005" i="4"/>
  <c r="F2005" i="4"/>
  <c r="G2005" i="4"/>
  <c r="E2006" i="4"/>
  <c r="F2006" i="4"/>
  <c r="G2006" i="4"/>
  <c r="E2011" i="4"/>
  <c r="E2012" i="4"/>
  <c r="C2013" i="4"/>
  <c r="D2013" i="4"/>
  <c r="E2013" i="4"/>
  <c r="F2013" i="4"/>
  <c r="G2013" i="4"/>
  <c r="E2014" i="4"/>
  <c r="F2014" i="4"/>
  <c r="G2014" i="4"/>
  <c r="E2015" i="4"/>
  <c r="F2015" i="4"/>
  <c r="G2015" i="4"/>
  <c r="E2020" i="4"/>
  <c r="E2021" i="4"/>
  <c r="C2022" i="4"/>
  <c r="D2022" i="4"/>
  <c r="E2022" i="4"/>
  <c r="F2022" i="4"/>
  <c r="G2022" i="4"/>
  <c r="E2023" i="4"/>
  <c r="F2023" i="4"/>
  <c r="G2023" i="4"/>
  <c r="E2024" i="4"/>
  <c r="F2024" i="4"/>
  <c r="G2024" i="4"/>
  <c r="E2029" i="4"/>
  <c r="E2030" i="4"/>
  <c r="C2031" i="4"/>
  <c r="D2031" i="4"/>
  <c r="E2031" i="4"/>
  <c r="F2031" i="4"/>
  <c r="G2031" i="4"/>
  <c r="E2032" i="4"/>
  <c r="F2032" i="4"/>
  <c r="G2032" i="4"/>
  <c r="E2033" i="4"/>
  <c r="F2033" i="4"/>
  <c r="G2033" i="4"/>
  <c r="E2038" i="4"/>
  <c r="E2039" i="4"/>
  <c r="C2040" i="4"/>
  <c r="D2040" i="4"/>
  <c r="E2040" i="4"/>
  <c r="F2040" i="4"/>
  <c r="G2040" i="4"/>
  <c r="E2041" i="4"/>
  <c r="F2041" i="4"/>
  <c r="G2041" i="4"/>
  <c r="E2042" i="4"/>
  <c r="F2042" i="4"/>
  <c r="G2042" i="4"/>
  <c r="E2047" i="4"/>
  <c r="E2048" i="4"/>
  <c r="C2049" i="4"/>
  <c r="D2049" i="4"/>
  <c r="E2049" i="4"/>
  <c r="F2049" i="4"/>
  <c r="G2049" i="4"/>
  <c r="E2050" i="4"/>
  <c r="F2050" i="4"/>
  <c r="G2050" i="4"/>
  <c r="E2051" i="4"/>
  <c r="F2051" i="4"/>
  <c r="G2051" i="4"/>
  <c r="E2056" i="4"/>
  <c r="E2057" i="4"/>
  <c r="C2058" i="4"/>
  <c r="D2058" i="4"/>
  <c r="E2058" i="4"/>
  <c r="F2058" i="4"/>
  <c r="G2058" i="4"/>
  <c r="E2059" i="4"/>
  <c r="F2059" i="4"/>
  <c r="G2059" i="4"/>
  <c r="E2060" i="4"/>
  <c r="F2060" i="4"/>
  <c r="G2060" i="4"/>
  <c r="E2065" i="4"/>
  <c r="E2066" i="4"/>
  <c r="C2067" i="4"/>
  <c r="D2067" i="4"/>
  <c r="E2067" i="4"/>
  <c r="F2067" i="4"/>
  <c r="G2067" i="4"/>
  <c r="E2068" i="4"/>
  <c r="F2068" i="4"/>
  <c r="G2068" i="4"/>
  <c r="E2069" i="4"/>
  <c r="F2069" i="4"/>
  <c r="G2069" i="4"/>
  <c r="E2074" i="4"/>
  <c r="E2075" i="4"/>
  <c r="C2076" i="4"/>
  <c r="D2076" i="4"/>
  <c r="E2076" i="4"/>
  <c r="F2076" i="4"/>
  <c r="G2076" i="4"/>
  <c r="E2077" i="4"/>
  <c r="F2077" i="4"/>
  <c r="G2077" i="4"/>
  <c r="E2078" i="4"/>
  <c r="F2078" i="4"/>
  <c r="G2078" i="4"/>
  <c r="E2083" i="4"/>
  <c r="E2084" i="4"/>
  <c r="C2085" i="4"/>
  <c r="D2085" i="4"/>
  <c r="E2085" i="4"/>
  <c r="F2085" i="4"/>
  <c r="G2085" i="4"/>
  <c r="E2086" i="4"/>
  <c r="F2086" i="4"/>
  <c r="G2086" i="4"/>
  <c r="E2087" i="4"/>
  <c r="F2087" i="4"/>
  <c r="G2087" i="4"/>
  <c r="E2092" i="4"/>
  <c r="E2093" i="4"/>
  <c r="C2094" i="4"/>
  <c r="D2094" i="4"/>
  <c r="E2094" i="4"/>
  <c r="F2094" i="4"/>
  <c r="G2094" i="4"/>
  <c r="E2095" i="4"/>
  <c r="F2095" i="4"/>
  <c r="G2095" i="4"/>
  <c r="E2096" i="4"/>
  <c r="F2096" i="4"/>
  <c r="G2096" i="4"/>
  <c r="E2101" i="4"/>
  <c r="E2102" i="4"/>
  <c r="C2103" i="4"/>
  <c r="D2103" i="4"/>
  <c r="E2103" i="4"/>
  <c r="F2103" i="4"/>
  <c r="G2103" i="4"/>
  <c r="E2104" i="4"/>
  <c r="F2104" i="4"/>
  <c r="G2104" i="4"/>
  <c r="E2105" i="4"/>
  <c r="F2105" i="4"/>
  <c r="G2105" i="4"/>
  <c r="E2110" i="4"/>
  <c r="E2111" i="4"/>
  <c r="C2112" i="4"/>
  <c r="D2112" i="4"/>
  <c r="E2112" i="4"/>
  <c r="F2112" i="4"/>
  <c r="G2112" i="4"/>
  <c r="E2113" i="4"/>
  <c r="F2113" i="4"/>
  <c r="G2113" i="4"/>
  <c r="E2114" i="4"/>
  <c r="F2114" i="4"/>
  <c r="G2114" i="4"/>
  <c r="E2119" i="4"/>
  <c r="E2120" i="4"/>
  <c r="C2121" i="4"/>
  <c r="D2121" i="4"/>
  <c r="E2121" i="4"/>
  <c r="F2121" i="4"/>
  <c r="G2121" i="4"/>
  <c r="E2122" i="4"/>
  <c r="F2122" i="4"/>
  <c r="G2122" i="4"/>
  <c r="E2123" i="4"/>
  <c r="F2123" i="4"/>
  <c r="G2123" i="4"/>
  <c r="E2128" i="4"/>
  <c r="E2129" i="4"/>
  <c r="C2130" i="4"/>
  <c r="D2130" i="4"/>
  <c r="E2130" i="4"/>
  <c r="F2130" i="4"/>
  <c r="G2130" i="4"/>
  <c r="E2131" i="4"/>
  <c r="F2131" i="4"/>
  <c r="G2131" i="4"/>
  <c r="E2132" i="4"/>
  <c r="F2132" i="4"/>
  <c r="G2132" i="4"/>
  <c r="E2137" i="4"/>
  <c r="E2138" i="4"/>
  <c r="C2139" i="4"/>
  <c r="D2139" i="4"/>
  <c r="E2139" i="4"/>
  <c r="F2139" i="4"/>
  <c r="G2139" i="4"/>
  <c r="E2140" i="4"/>
  <c r="F2140" i="4"/>
  <c r="G2140" i="4"/>
  <c r="E2141" i="4"/>
  <c r="F2141" i="4"/>
  <c r="G2141" i="4"/>
  <c r="E2146" i="4"/>
  <c r="E2147" i="4"/>
  <c r="C2148" i="4"/>
  <c r="D2148" i="4"/>
  <c r="E2148" i="4"/>
  <c r="F2148" i="4"/>
  <c r="G2148" i="4"/>
  <c r="E2149" i="4"/>
  <c r="F2149" i="4"/>
  <c r="G2149" i="4"/>
  <c r="E2150" i="4"/>
  <c r="F2150" i="4"/>
  <c r="G2150" i="4"/>
  <c r="E2155" i="4"/>
  <c r="E2156" i="4"/>
  <c r="C2157" i="4"/>
  <c r="D2157" i="4"/>
  <c r="E2157" i="4"/>
  <c r="F2157" i="4"/>
  <c r="G2157" i="4"/>
  <c r="E2158" i="4"/>
  <c r="F2158" i="4"/>
  <c r="G2158" i="4"/>
  <c r="E2159" i="4"/>
  <c r="F2159" i="4"/>
  <c r="G2159" i="4"/>
  <c r="E2164" i="4"/>
  <c r="E2165" i="4"/>
  <c r="C2166" i="4"/>
  <c r="D2166" i="4"/>
  <c r="E2166" i="4"/>
  <c r="F2166" i="4"/>
  <c r="G2166" i="4"/>
  <c r="E2167" i="4"/>
  <c r="F2167" i="4"/>
  <c r="G2167" i="4"/>
  <c r="E2168" i="4"/>
  <c r="F2168" i="4"/>
  <c r="G2168" i="4"/>
  <c r="E2173" i="4"/>
  <c r="E2174" i="4"/>
  <c r="C2175" i="4"/>
  <c r="D2175" i="4"/>
  <c r="E2175" i="4"/>
  <c r="F2175" i="4"/>
  <c r="G2175" i="4"/>
  <c r="E2176" i="4"/>
  <c r="F2176" i="4"/>
  <c r="G2176" i="4"/>
  <c r="E2177" i="4"/>
  <c r="F2177" i="4"/>
  <c r="G2177" i="4"/>
  <c r="E2182" i="4"/>
  <c r="E2183" i="4"/>
  <c r="C2184" i="4"/>
  <c r="D2184" i="4"/>
  <c r="E2184" i="4"/>
  <c r="F2184" i="4"/>
  <c r="G2184" i="4"/>
  <c r="E2185" i="4"/>
  <c r="F2185" i="4"/>
  <c r="G2185" i="4"/>
  <c r="E2186" i="4"/>
  <c r="F2186" i="4"/>
  <c r="G2186" i="4"/>
  <c r="E2191" i="4"/>
  <c r="E2192" i="4"/>
  <c r="C2193" i="4"/>
  <c r="D2193" i="4"/>
  <c r="E2193" i="4"/>
  <c r="F2193" i="4"/>
  <c r="G2193" i="4"/>
  <c r="E2194" i="4"/>
  <c r="F2194" i="4"/>
  <c r="G2194" i="4"/>
  <c r="E2195" i="4"/>
  <c r="F2195" i="4"/>
  <c r="G2195" i="4"/>
  <c r="E2200" i="4"/>
  <c r="E2201" i="4"/>
  <c r="C2202" i="4"/>
  <c r="D2202" i="4"/>
  <c r="E2202" i="4"/>
  <c r="F2202" i="4"/>
  <c r="G2202" i="4"/>
  <c r="E2203" i="4"/>
  <c r="F2203" i="4"/>
  <c r="G2203" i="4"/>
  <c r="E2204" i="4"/>
  <c r="F2204" i="4"/>
  <c r="G2204" i="4"/>
  <c r="E2209" i="4"/>
  <c r="E2210" i="4"/>
  <c r="C2211" i="4"/>
  <c r="D2211" i="4"/>
  <c r="E2211" i="4"/>
  <c r="F2211" i="4"/>
  <c r="G2211" i="4"/>
  <c r="E2212" i="4"/>
  <c r="F2212" i="4"/>
  <c r="G2212" i="4"/>
  <c r="E2213" i="4"/>
  <c r="F2213" i="4"/>
  <c r="G2213" i="4"/>
  <c r="E2218" i="4"/>
  <c r="E2219" i="4"/>
  <c r="C2220" i="4"/>
  <c r="D2220" i="4"/>
  <c r="E2220" i="4"/>
  <c r="F2220" i="4"/>
  <c r="G2220" i="4"/>
  <c r="E2221" i="4"/>
  <c r="F2221" i="4"/>
  <c r="G2221" i="4"/>
  <c r="E2222" i="4"/>
  <c r="F2222" i="4"/>
  <c r="G2222" i="4"/>
  <c r="E2227" i="4"/>
  <c r="E2228" i="4"/>
  <c r="C2229" i="4"/>
  <c r="D2229" i="4"/>
  <c r="E2229" i="4"/>
  <c r="F2229" i="4"/>
  <c r="G2229" i="4"/>
  <c r="E2230" i="4"/>
  <c r="F2230" i="4"/>
  <c r="G2230" i="4"/>
  <c r="E2231" i="4"/>
  <c r="F2231" i="4"/>
  <c r="G2231" i="4"/>
  <c r="E2236" i="4"/>
  <c r="E2237" i="4"/>
  <c r="C2238" i="4"/>
  <c r="D2238" i="4"/>
  <c r="E2238" i="4"/>
  <c r="F2238" i="4"/>
  <c r="G2238" i="4"/>
  <c r="E2239" i="4"/>
  <c r="F2239" i="4"/>
  <c r="G2239" i="4"/>
  <c r="E2240" i="4"/>
  <c r="F2240" i="4"/>
  <c r="G2240" i="4"/>
  <c r="E2245" i="4"/>
  <c r="E2246" i="4"/>
  <c r="C2247" i="4"/>
  <c r="D2247" i="4"/>
  <c r="E2247" i="4"/>
  <c r="F2247" i="4"/>
  <c r="G2247" i="4"/>
  <c r="E2248" i="4"/>
  <c r="F2248" i="4"/>
  <c r="G2248" i="4"/>
  <c r="E2249" i="4"/>
  <c r="F2249" i="4"/>
  <c r="G2249" i="4"/>
  <c r="F4" i="4"/>
  <c r="G4" i="4"/>
  <c r="C3" i="4"/>
  <c r="G3" i="4"/>
  <c r="F3" i="4"/>
  <c r="D8" i="4"/>
  <c r="C8" i="4"/>
  <c r="C7" i="4"/>
  <c r="D7" i="4"/>
  <c r="F5" i="4"/>
  <c r="G5" i="4"/>
  <c r="G6" i="4"/>
  <c r="F6" i="4"/>
  <c r="E8" i="4"/>
  <c r="E7" i="4"/>
  <c r="C11" i="5" a="1"/>
  <c r="C11" i="5" s="1"/>
  <c r="G8" i="4"/>
  <c r="F8" i="4"/>
  <c r="G7" i="4"/>
  <c r="F7" i="4"/>
  <c r="E6" i="4"/>
  <c r="D6" i="4"/>
  <c r="C6" i="4"/>
  <c r="E5" i="4"/>
  <c r="D5" i="4"/>
  <c r="C5" i="4"/>
  <c r="E4" i="4"/>
  <c r="D4" i="4"/>
  <c r="C4" i="4"/>
  <c r="E3" i="4"/>
  <c r="D3" i="4"/>
  <c r="C13" i="5"/>
  <c r="D13" i="5"/>
  <c r="D14" i="5"/>
  <c r="E14" i="5"/>
  <c r="D15" i="5"/>
  <c r="E15" i="5"/>
  <c r="E21" i="5"/>
  <c r="E22" i="5"/>
  <c r="E28" i="5"/>
  <c r="E29" i="5"/>
  <c r="E35" i="5"/>
  <c r="E36" i="5"/>
  <c r="E42" i="5"/>
  <c r="E43" i="5"/>
  <c r="E49" i="5"/>
  <c r="E50" i="5"/>
  <c r="E56" i="5"/>
  <c r="E57" i="5"/>
  <c r="E63" i="5"/>
  <c r="E64" i="5"/>
  <c r="E70" i="5"/>
  <c r="E71" i="5"/>
  <c r="E77" i="5"/>
  <c r="E78" i="5"/>
  <c r="E84" i="5"/>
  <c r="E85" i="5"/>
  <c r="E91" i="5"/>
  <c r="E92" i="5"/>
  <c r="E98" i="5"/>
  <c r="E99" i="5"/>
  <c r="E105" i="5"/>
  <c r="E106" i="5"/>
  <c r="E112" i="5"/>
  <c r="E113" i="5"/>
  <c r="E119" i="5"/>
  <c r="E120" i="5"/>
  <c r="E126" i="5"/>
  <c r="E127" i="5"/>
  <c r="E133" i="5"/>
  <c r="E134" i="5"/>
  <c r="E140" i="5"/>
  <c r="E141" i="5"/>
  <c r="E147" i="5"/>
  <c r="E148" i="5"/>
  <c r="E154" i="5"/>
  <c r="E155" i="5"/>
  <c r="E161" i="5"/>
  <c r="E162" i="5"/>
  <c r="E168" i="5"/>
  <c r="E169" i="5"/>
  <c r="E175" i="5"/>
  <c r="E176" i="5"/>
  <c r="E182" i="5"/>
  <c r="E183" i="5"/>
  <c r="E189" i="5"/>
  <c r="E190" i="5"/>
  <c r="E196" i="5"/>
  <c r="E197" i="5"/>
  <c r="E203" i="5"/>
  <c r="E204" i="5"/>
  <c r="E210" i="5"/>
  <c r="E211" i="5"/>
  <c r="E217" i="5"/>
  <c r="E218" i="5"/>
  <c r="E224" i="5"/>
  <c r="E225" i="5"/>
  <c r="E231" i="5"/>
  <c r="E232" i="5"/>
  <c r="E238" i="5"/>
  <c r="E239" i="5"/>
  <c r="E245" i="5"/>
  <c r="E246" i="5"/>
  <c r="E252" i="5"/>
  <c r="E253" i="5"/>
  <c r="E259" i="5"/>
  <c r="E260" i="5"/>
  <c r="E266" i="5"/>
  <c r="E267" i="5"/>
  <c r="E273" i="5"/>
  <c r="E274" i="5"/>
  <c r="E280" i="5"/>
  <c r="E281" i="5"/>
  <c r="E287" i="5"/>
  <c r="E288" i="5"/>
  <c r="E294" i="5"/>
  <c r="E295" i="5"/>
  <c r="E301" i="5"/>
  <c r="E302" i="5"/>
  <c r="E308" i="5"/>
  <c r="E309" i="5"/>
  <c r="E315" i="5"/>
  <c r="E316" i="5"/>
  <c r="E322" i="5"/>
  <c r="E323" i="5"/>
  <c r="E329" i="5"/>
  <c r="E330" i="5"/>
  <c r="E336" i="5"/>
  <c r="E337" i="5"/>
  <c r="E343" i="5"/>
  <c r="E344" i="5"/>
  <c r="E350" i="5"/>
  <c r="E351" i="5"/>
  <c r="E357" i="5"/>
  <c r="E358" i="5"/>
  <c r="E364" i="5"/>
  <c r="E365" i="5"/>
  <c r="E371" i="5"/>
  <c r="E372" i="5"/>
  <c r="E378" i="5"/>
  <c r="E379" i="5"/>
  <c r="E385" i="5"/>
  <c r="E386" i="5"/>
  <c r="E392" i="5"/>
  <c r="E393" i="5"/>
  <c r="E399" i="5"/>
  <c r="E400" i="5"/>
  <c r="E406" i="5"/>
  <c r="E407" i="5"/>
  <c r="E413" i="5"/>
  <c r="E414" i="5"/>
  <c r="E420" i="5"/>
  <c r="E421" i="5"/>
  <c r="E427" i="5"/>
  <c r="E428" i="5"/>
  <c r="E434" i="5"/>
  <c r="E435" i="5"/>
  <c r="E441" i="5"/>
  <c r="E442" i="5"/>
  <c r="E448" i="5"/>
  <c r="E449" i="5"/>
  <c r="E455" i="5"/>
  <c r="E456" i="5"/>
  <c r="E462" i="5"/>
  <c r="E463" i="5"/>
  <c r="E469" i="5"/>
  <c r="E470" i="5"/>
  <c r="E476" i="5"/>
  <c r="E477" i="5"/>
  <c r="E483" i="5"/>
  <c r="E484" i="5"/>
  <c r="E490" i="5"/>
  <c r="E491" i="5"/>
  <c r="E497" i="5"/>
  <c r="E498" i="5"/>
  <c r="E504" i="5"/>
  <c r="E505" i="5"/>
  <c r="E511" i="5"/>
  <c r="E512" i="5"/>
  <c r="E518" i="5"/>
  <c r="E519" i="5"/>
  <c r="E525" i="5"/>
  <c r="E526" i="5"/>
  <c r="E532" i="5"/>
  <c r="E533" i="5"/>
  <c r="E539" i="5"/>
  <c r="E540" i="5"/>
  <c r="E546" i="5"/>
  <c r="E547" i="5"/>
  <c r="E553" i="5"/>
  <c r="E554" i="5"/>
  <c r="E560" i="5"/>
  <c r="E561" i="5"/>
  <c r="E567" i="5"/>
  <c r="E568" i="5"/>
  <c r="E574" i="5"/>
  <c r="E575" i="5"/>
  <c r="E581" i="5"/>
  <c r="E582" i="5"/>
  <c r="E588" i="5"/>
  <c r="E589" i="5"/>
  <c r="E595" i="5"/>
  <c r="E596" i="5"/>
  <c r="E602" i="5"/>
  <c r="E603" i="5"/>
  <c r="E609" i="5"/>
  <c r="E610" i="5"/>
  <c r="E616" i="5"/>
  <c r="E617" i="5"/>
  <c r="E623" i="5"/>
  <c r="E624" i="5"/>
  <c r="E630" i="5"/>
  <c r="E631" i="5"/>
  <c r="E637" i="5"/>
  <c r="E638" i="5"/>
  <c r="E644" i="5"/>
  <c r="E645" i="5"/>
  <c r="E651" i="5"/>
  <c r="E652" i="5"/>
  <c r="E658" i="5"/>
  <c r="E659" i="5"/>
  <c r="E665" i="5"/>
  <c r="E666" i="5"/>
  <c r="E672" i="5"/>
  <c r="E673" i="5"/>
  <c r="E679" i="5"/>
  <c r="E680" i="5"/>
  <c r="E686" i="5"/>
  <c r="E687" i="5"/>
  <c r="E693" i="5"/>
  <c r="E694" i="5"/>
  <c r="E700" i="5"/>
  <c r="E701" i="5"/>
  <c r="E707" i="5"/>
  <c r="E708" i="5"/>
  <c r="E714" i="5"/>
  <c r="E715" i="5"/>
  <c r="E721" i="5"/>
  <c r="E722" i="5"/>
  <c r="E728" i="5"/>
  <c r="E729" i="5"/>
  <c r="E735" i="5"/>
  <c r="E736" i="5"/>
  <c r="E742" i="5"/>
  <c r="E743" i="5"/>
  <c r="E749" i="5"/>
  <c r="E750" i="5"/>
  <c r="E756" i="5"/>
  <c r="E757" i="5"/>
  <c r="E763" i="5"/>
  <c r="E764" i="5"/>
  <c r="E770" i="5"/>
  <c r="E771" i="5"/>
  <c r="E777" i="5"/>
  <c r="E778" i="5"/>
  <c r="E784" i="5"/>
  <c r="E785" i="5"/>
  <c r="E791" i="5"/>
  <c r="E792" i="5"/>
  <c r="E798" i="5"/>
  <c r="E799" i="5"/>
  <c r="E805" i="5"/>
  <c r="E806" i="5"/>
  <c r="E812" i="5"/>
  <c r="E813" i="5"/>
  <c r="E819" i="5"/>
  <c r="E820" i="5"/>
  <c r="E826" i="5"/>
  <c r="E827" i="5"/>
  <c r="E833" i="5"/>
  <c r="E834" i="5"/>
  <c r="E840" i="5"/>
  <c r="E841" i="5"/>
  <c r="E847" i="5"/>
  <c r="E848" i="5"/>
  <c r="E854" i="5"/>
  <c r="E855" i="5"/>
  <c r="E861" i="5"/>
  <c r="E862" i="5"/>
  <c r="E868" i="5"/>
  <c r="E869" i="5"/>
  <c r="E875" i="5"/>
  <c r="E876" i="5"/>
  <c r="C10" i="5"/>
  <c r="C9" i="5" a="1"/>
  <c r="C9" i="5" s="1"/>
  <c r="E8" i="5"/>
  <c r="D8" i="5"/>
  <c r="C8" i="5"/>
  <c r="E7" i="5"/>
  <c r="D7" i="5"/>
  <c r="C7" i="5"/>
  <c r="E6" i="5"/>
  <c r="D6" i="5"/>
  <c r="C6" i="5"/>
  <c r="E5" i="5"/>
  <c r="D5" i="5"/>
  <c r="C5" i="5"/>
  <c r="G5" i="5" s="1"/>
  <c r="C5" i="1"/>
  <c r="E17" i="1"/>
  <c r="E18" i="1"/>
  <c r="E27" i="1"/>
  <c r="E28" i="1"/>
  <c r="E37" i="1"/>
  <c r="E38" i="1"/>
  <c r="E47" i="1"/>
  <c r="E48" i="1"/>
  <c r="E57" i="1"/>
  <c r="E58" i="1"/>
  <c r="E67" i="1"/>
  <c r="E68" i="1"/>
  <c r="E8" i="1"/>
  <c r="C10" i="1" a="1"/>
  <c r="C10" i="1" s="1"/>
  <c r="D8" i="1"/>
  <c r="C8" i="1"/>
  <c r="E7" i="1"/>
  <c r="D7" i="1"/>
  <c r="C7" i="1"/>
  <c r="E6" i="1"/>
  <c r="D6" i="1"/>
  <c r="C6" i="1"/>
  <c r="E5" i="1"/>
  <c r="D5" i="1"/>
  <c r="G5" i="1" s="1"/>
  <c r="F877" i="5"/>
  <c r="A873" i="5"/>
  <c r="F870" i="5"/>
  <c r="A866" i="5"/>
  <c r="F863" i="5"/>
  <c r="A859" i="5"/>
  <c r="F856" i="5"/>
  <c r="A852" i="5"/>
  <c r="F849" i="5"/>
  <c r="A845" i="5"/>
  <c r="F842" i="5"/>
  <c r="A838" i="5"/>
  <c r="F835" i="5"/>
  <c r="A831" i="5"/>
  <c r="F828" i="5"/>
  <c r="A824" i="5"/>
  <c r="F821" i="5"/>
  <c r="A817" i="5"/>
  <c r="F814" i="5"/>
  <c r="A810" i="5"/>
  <c r="F807" i="5"/>
  <c r="A803" i="5"/>
  <c r="F800" i="5"/>
  <c r="A796" i="5"/>
  <c r="F793" i="5"/>
  <c r="A789" i="5"/>
  <c r="F786" i="5"/>
  <c r="A782" i="5"/>
  <c r="F779" i="5"/>
  <c r="A775" i="5"/>
  <c r="F772" i="5"/>
  <c r="A768" i="5"/>
  <c r="F765" i="5"/>
  <c r="A761" i="5"/>
  <c r="F758" i="5"/>
  <c r="A754" i="5"/>
  <c r="F751" i="5"/>
  <c r="A747" i="5"/>
  <c r="F744" i="5"/>
  <c r="A740" i="5"/>
  <c r="F737" i="5"/>
  <c r="A733" i="5"/>
  <c r="F730" i="5"/>
  <c r="A726" i="5"/>
  <c r="F723" i="5"/>
  <c r="A719" i="5"/>
  <c r="F716" i="5"/>
  <c r="A712" i="5"/>
  <c r="F709" i="5"/>
  <c r="A705" i="5"/>
  <c r="F702" i="5"/>
  <c r="A698" i="5"/>
  <c r="F695" i="5"/>
  <c r="A691" i="5"/>
  <c r="F688" i="5"/>
  <c r="A684" i="5"/>
  <c r="F681" i="5"/>
  <c r="A677" i="5"/>
  <c r="F674" i="5"/>
  <c r="A670" i="5"/>
  <c r="F667" i="5"/>
  <c r="A663" i="5"/>
  <c r="F660" i="5"/>
  <c r="A656" i="5"/>
  <c r="F653" i="5"/>
  <c r="A649" i="5"/>
  <c r="F646" i="5"/>
  <c r="A642" i="5"/>
  <c r="F639" i="5"/>
  <c r="A635" i="5"/>
  <c r="F632" i="5"/>
  <c r="A628" i="5"/>
  <c r="F625" i="5"/>
  <c r="A621" i="5"/>
  <c r="F618" i="5"/>
  <c r="A614" i="5"/>
  <c r="F611" i="5"/>
  <c r="A607" i="5"/>
  <c r="F604" i="5"/>
  <c r="A600" i="5"/>
  <c r="F597" i="5"/>
  <c r="A593" i="5"/>
  <c r="F590" i="5"/>
  <c r="A586" i="5"/>
  <c r="F583" i="5"/>
  <c r="A579" i="5"/>
  <c r="F576" i="5"/>
  <c r="A572" i="5"/>
  <c r="F569" i="5"/>
  <c r="A565" i="5"/>
  <c r="F562" i="5"/>
  <c r="A558" i="5"/>
  <c r="F555" i="5"/>
  <c r="A551" i="5"/>
  <c r="F548" i="5"/>
  <c r="A544" i="5"/>
  <c r="F541" i="5"/>
  <c r="A537" i="5"/>
  <c r="F534" i="5"/>
  <c r="A530" i="5"/>
  <c r="F527" i="5"/>
  <c r="A523" i="5"/>
  <c r="F520" i="5"/>
  <c r="A516" i="5"/>
  <c r="F513" i="5"/>
  <c r="A509" i="5"/>
  <c r="F506" i="5"/>
  <c r="A502" i="5"/>
  <c r="F499" i="5"/>
  <c r="A495" i="5"/>
  <c r="F492" i="5"/>
  <c r="A488" i="5"/>
  <c r="F485" i="5"/>
  <c r="A481" i="5"/>
  <c r="F478" i="5"/>
  <c r="A474" i="5"/>
  <c r="F471" i="5"/>
  <c r="A467" i="5"/>
  <c r="F464" i="5"/>
  <c r="A460" i="5"/>
  <c r="F457" i="5"/>
  <c r="A453" i="5"/>
  <c r="F450" i="5"/>
  <c r="A446" i="5"/>
  <c r="F443" i="5"/>
  <c r="A439" i="5"/>
  <c r="F436" i="5"/>
  <c r="A432" i="5"/>
  <c r="F429" i="5"/>
  <c r="A425" i="5"/>
  <c r="F422" i="5"/>
  <c r="A418" i="5"/>
  <c r="F415" i="5"/>
  <c r="A411" i="5"/>
  <c r="F408" i="5"/>
  <c r="A404" i="5"/>
  <c r="F401" i="5"/>
  <c r="A397" i="5"/>
  <c r="F394" i="5"/>
  <c r="A390" i="5"/>
  <c r="F387" i="5"/>
  <c r="A383" i="5"/>
  <c r="F380" i="5"/>
  <c r="A376" i="5"/>
  <c r="F373" i="5"/>
  <c r="A369" i="5"/>
  <c r="F366" i="5"/>
  <c r="A362" i="5"/>
  <c r="F359" i="5"/>
  <c r="A355" i="5"/>
  <c r="F352" i="5"/>
  <c r="A348" i="5"/>
  <c r="F345" i="5"/>
  <c r="A341" i="5"/>
  <c r="F338" i="5"/>
  <c r="A334" i="5"/>
  <c r="F331" i="5"/>
  <c r="A327" i="5"/>
  <c r="F324" i="5"/>
  <c r="A320" i="5"/>
  <c r="F317" i="5"/>
  <c r="A313" i="5"/>
  <c r="F310" i="5"/>
  <c r="A306" i="5"/>
  <c r="F303" i="5"/>
  <c r="A299" i="5"/>
  <c r="F296" i="5"/>
  <c r="A292" i="5"/>
  <c r="F289" i="5"/>
  <c r="A285" i="5"/>
  <c r="F282" i="5"/>
  <c r="A278" i="5"/>
  <c r="F275" i="5"/>
  <c r="A271" i="5"/>
  <c r="F268" i="5"/>
  <c r="A264" i="5"/>
  <c r="F261" i="5"/>
  <c r="A257" i="5"/>
  <c r="F254" i="5"/>
  <c r="A250" i="5"/>
  <c r="F247" i="5"/>
  <c r="A243" i="5"/>
  <c r="F240" i="5"/>
  <c r="A236" i="5"/>
  <c r="F233" i="5"/>
  <c r="A229" i="5"/>
  <c r="F226" i="5"/>
  <c r="A222" i="5"/>
  <c r="F219" i="5"/>
  <c r="A215" i="5"/>
  <c r="F212" i="5"/>
  <c r="A208" i="5"/>
  <c r="F205" i="5"/>
  <c r="A201" i="5"/>
  <c r="F198" i="5"/>
  <c r="A194" i="5"/>
  <c r="F191" i="5"/>
  <c r="A187" i="5"/>
  <c r="F184" i="5"/>
  <c r="A180" i="5"/>
  <c r="F177" i="5"/>
  <c r="A173" i="5"/>
  <c r="F170" i="5"/>
  <c r="A166" i="5"/>
  <c r="F163" i="5"/>
  <c r="A159" i="5"/>
  <c r="F156" i="5"/>
  <c r="A152" i="5"/>
  <c r="F149" i="5"/>
  <c r="A145" i="5"/>
  <c r="F142" i="5"/>
  <c r="A138" i="5"/>
  <c r="F135" i="5"/>
  <c r="A131" i="5"/>
  <c r="F128" i="5"/>
  <c r="A124" i="5"/>
  <c r="F121" i="5"/>
  <c r="A117" i="5"/>
  <c r="F114" i="5"/>
  <c r="A110" i="5"/>
  <c r="F107" i="5"/>
  <c r="A103" i="5"/>
  <c r="F100" i="5"/>
  <c r="A96" i="5"/>
  <c r="F93" i="5"/>
  <c r="A89" i="5"/>
  <c r="F86" i="5"/>
  <c r="A82" i="5"/>
  <c r="F79" i="5"/>
  <c r="A75" i="5"/>
  <c r="F72" i="5"/>
  <c r="A68" i="5"/>
  <c r="F65" i="5"/>
  <c r="A61" i="5"/>
  <c r="F58" i="5"/>
  <c r="A54" i="5"/>
  <c r="F51" i="5"/>
  <c r="A47" i="5"/>
  <c r="F44" i="5"/>
  <c r="A40" i="5"/>
  <c r="F37" i="5"/>
  <c r="A33" i="5"/>
  <c r="F30" i="5"/>
  <c r="A26" i="5"/>
  <c r="F23" i="5"/>
  <c r="A19" i="5"/>
  <c r="F16" i="5"/>
  <c r="A12" i="5"/>
  <c r="F9" i="5"/>
  <c r="A75" i="1"/>
  <c r="A65" i="1"/>
  <c r="A55" i="1"/>
  <c r="A45" i="1"/>
  <c r="A35" i="1"/>
  <c r="A25" i="1"/>
  <c r="A15" i="1"/>
  <c r="D36" i="6" l="1"/>
  <c r="C30" i="6"/>
  <c r="D33" i="6"/>
  <c r="D31" i="6"/>
  <c r="F32" i="6"/>
  <c r="E31" i="6"/>
  <c r="C32" i="6"/>
  <c r="C33" i="6"/>
  <c r="D32" i="6"/>
  <c r="C35" i="6"/>
  <c r="G33" i="6"/>
  <c r="C19" i="4"/>
  <c r="C20" i="4" s="1" a="1"/>
  <c r="C9" i="4" a="1"/>
  <c r="C9" i="4" s="1"/>
  <c r="C12" i="5"/>
  <c r="D12" i="5"/>
  <c r="E12" i="5"/>
  <c r="E13" i="5"/>
  <c r="C14" i="5"/>
  <c r="C15" i="5"/>
  <c r="J3" i="4"/>
  <c r="C14" i="1"/>
  <c r="E14" i="1"/>
  <c r="C16" i="1" s="1"/>
  <c r="D14" i="1"/>
  <c r="C38" i="6" l="1" a="1"/>
  <c r="C38" i="6" s="1"/>
  <c r="C43" i="6" s="1" a="1"/>
  <c r="C43" i="6" s="1"/>
  <c r="C44" i="6" s="1" a="1"/>
  <c r="C31" i="6"/>
  <c r="F31" i="6"/>
  <c r="G31" i="6"/>
  <c r="G32" i="6"/>
  <c r="D35" i="6"/>
  <c r="F33" i="6"/>
  <c r="C36" i="6"/>
  <c r="D18" i="1"/>
  <c r="D16" i="1"/>
  <c r="D17" i="1"/>
  <c r="C15" i="1"/>
  <c r="G15" i="1" s="1"/>
  <c r="D15" i="1"/>
  <c r="C18" i="1"/>
  <c r="E15" i="1"/>
  <c r="E16" i="1"/>
  <c r="C20" i="1" s="1" a="1"/>
  <c r="C20" i="1" s="1"/>
  <c r="C23" i="1" s="1" a="1"/>
  <c r="C17" i="1"/>
  <c r="G23" i="4"/>
  <c r="C20" i="4"/>
  <c r="D21" i="4"/>
  <c r="C25" i="4"/>
  <c r="E21" i="4"/>
  <c r="C22" i="4"/>
  <c r="D22" i="4"/>
  <c r="F22" i="4"/>
  <c r="C23" i="4"/>
  <c r="D23" i="4"/>
  <c r="D26" i="4"/>
  <c r="C10" i="4"/>
  <c r="C11" i="4" s="1" a="1"/>
  <c r="C16" i="5" a="1"/>
  <c r="C16" i="5" s="1"/>
  <c r="G12" i="5"/>
  <c r="D50" i="6" l="1"/>
  <c r="D46" i="6"/>
  <c r="E45" i="6"/>
  <c r="C46" i="6"/>
  <c r="F46" i="6"/>
  <c r="C47" i="6"/>
  <c r="C49" i="6"/>
  <c r="C44" i="6"/>
  <c r="D47" i="6"/>
  <c r="G47" i="6"/>
  <c r="I31" i="6"/>
  <c r="C23" i="1"/>
  <c r="C24" i="1" s="1"/>
  <c r="E24" i="1"/>
  <c r="C26" i="1" s="1"/>
  <c r="D24" i="1"/>
  <c r="F23" i="4"/>
  <c r="C21" i="4"/>
  <c r="F21" i="4"/>
  <c r="G21" i="4"/>
  <c r="G22" i="4"/>
  <c r="D25" i="4"/>
  <c r="C26" i="4"/>
  <c r="C11" i="4"/>
  <c r="C17" i="5"/>
  <c r="C18" i="5" s="1" a="1"/>
  <c r="C18" i="5" s="1"/>
  <c r="D49" i="6" l="1"/>
  <c r="C50" i="6"/>
  <c r="C45" i="6"/>
  <c r="F45" i="6"/>
  <c r="G45" i="6"/>
  <c r="G46" i="6"/>
  <c r="C52" i="6" s="1" a="1"/>
  <c r="C52" i="6" s="1"/>
  <c r="C57" i="6" s="1" a="1"/>
  <c r="C57" i="6" s="1"/>
  <c r="C58" i="6" s="1" a="1"/>
  <c r="F47" i="6"/>
  <c r="D45" i="6"/>
  <c r="D26" i="1"/>
  <c r="C30" i="1" s="1" a="1"/>
  <c r="C30" i="1" s="1"/>
  <c r="C33" i="1" s="1" a="1"/>
  <c r="D28" i="1"/>
  <c r="D27" i="1"/>
  <c r="E25" i="1"/>
  <c r="E26" i="1"/>
  <c r="C28" i="1"/>
  <c r="D25" i="1"/>
  <c r="C27" i="1"/>
  <c r="C25" i="1"/>
  <c r="G25" i="1" s="1"/>
  <c r="C27" i="4" a="1"/>
  <c r="C27" i="4" s="1"/>
  <c r="J21" i="4"/>
  <c r="D22" i="5"/>
  <c r="D21" i="5"/>
  <c r="D20" i="5"/>
  <c r="C20" i="5"/>
  <c r="C19" i="5"/>
  <c r="D19" i="5"/>
  <c r="E19" i="5"/>
  <c r="E20" i="5"/>
  <c r="C21" i="5"/>
  <c r="C22" i="5"/>
  <c r="C63" i="6" l="1"/>
  <c r="E59" i="6"/>
  <c r="C58" i="6"/>
  <c r="D60" i="6"/>
  <c r="C61" i="6"/>
  <c r="D59" i="6"/>
  <c r="C60" i="6"/>
  <c r="F60" i="6"/>
  <c r="D61" i="6"/>
  <c r="G61" i="6"/>
  <c r="D64" i="6"/>
  <c r="I45" i="6"/>
  <c r="E34" i="1"/>
  <c r="C33" i="1"/>
  <c r="C34" i="1" s="1"/>
  <c r="D34" i="1"/>
  <c r="C28" i="4"/>
  <c r="C29" i="4" s="1" a="1"/>
  <c r="C23" i="5" a="1"/>
  <c r="C23" i="5" s="1"/>
  <c r="C35" i="1"/>
  <c r="D35" i="1"/>
  <c r="E35" i="1"/>
  <c r="C38" i="1"/>
  <c r="E36" i="1"/>
  <c r="C37" i="1"/>
  <c r="D36" i="1"/>
  <c r="D37" i="1"/>
  <c r="D38" i="1"/>
  <c r="C36" i="1"/>
  <c r="C40" i="1" s="1" a="1"/>
  <c r="C40" i="1" s="1"/>
  <c r="D63" i="6" l="1"/>
  <c r="F59" i="6"/>
  <c r="C59" i="6"/>
  <c r="G59" i="6"/>
  <c r="G60" i="6"/>
  <c r="C66" i="6" s="1" a="1"/>
  <c r="C66" i="6" s="1"/>
  <c r="C71" i="6" s="1" a="1"/>
  <c r="C71" i="6" s="1"/>
  <c r="C72" i="6" s="1" a="1"/>
  <c r="C64" i="6"/>
  <c r="F61" i="6"/>
  <c r="C32" i="4"/>
  <c r="G32" i="4"/>
  <c r="C34" i="4"/>
  <c r="C29" i="4"/>
  <c r="D30" i="4"/>
  <c r="C31" i="4"/>
  <c r="D31" i="4"/>
  <c r="D35" i="4"/>
  <c r="F31" i="4"/>
  <c r="D32" i="4"/>
  <c r="E30" i="4"/>
  <c r="G19" i="5"/>
  <c r="C24" i="5" s="1"/>
  <c r="C25" i="5" s="1" a="1"/>
  <c r="G35" i="1"/>
  <c r="C43" i="1" a="1"/>
  <c r="G75" i="6" l="1"/>
  <c r="D74" i="6"/>
  <c r="E73" i="6"/>
  <c r="C74" i="6"/>
  <c r="F74" i="6"/>
  <c r="C77" i="6"/>
  <c r="C75" i="6"/>
  <c r="D78" i="6"/>
  <c r="C72" i="6"/>
  <c r="I59" i="6"/>
  <c r="G31" i="4"/>
  <c r="F32" i="4"/>
  <c r="D34" i="4"/>
  <c r="C30" i="4"/>
  <c r="C35" i="4"/>
  <c r="F30" i="4"/>
  <c r="G30" i="4"/>
  <c r="C25" i="5"/>
  <c r="C27" i="5"/>
  <c r="D28" i="5"/>
  <c r="D27" i="5"/>
  <c r="D29" i="5"/>
  <c r="C43" i="1"/>
  <c r="C44" i="1" s="1"/>
  <c r="D44" i="1"/>
  <c r="E44" i="1"/>
  <c r="F75" i="6" l="1"/>
  <c r="C73" i="6"/>
  <c r="G74" i="6"/>
  <c r="C80" i="6" s="1" a="1"/>
  <c r="C80" i="6" s="1"/>
  <c r="C85" i="6" s="1" a="1"/>
  <c r="C85" i="6" s="1"/>
  <c r="C86" i="6" s="1" a="1"/>
  <c r="F73" i="6"/>
  <c r="G73" i="6"/>
  <c r="D77" i="6"/>
  <c r="C78" i="6"/>
  <c r="D73" i="6"/>
  <c r="D75" i="6"/>
  <c r="C36" i="4" a="1"/>
  <c r="C36" i="4" s="1"/>
  <c r="J30" i="4"/>
  <c r="C26" i="5"/>
  <c r="D26" i="5"/>
  <c r="E26" i="5"/>
  <c r="C28" i="5"/>
  <c r="C29" i="5"/>
  <c r="E27" i="5"/>
  <c r="C46" i="1"/>
  <c r="D48" i="1"/>
  <c r="D47" i="1"/>
  <c r="D46" i="1"/>
  <c r="C48" i="1"/>
  <c r="C45" i="1"/>
  <c r="D45" i="1"/>
  <c r="E45" i="1"/>
  <c r="E46" i="1"/>
  <c r="C47" i="1"/>
  <c r="D88" i="6" l="1"/>
  <c r="F88" i="6"/>
  <c r="C89" i="6"/>
  <c r="C86" i="6"/>
  <c r="D87" i="6"/>
  <c r="E87" i="6"/>
  <c r="C88" i="6"/>
  <c r="C91" i="6"/>
  <c r="D92" i="6"/>
  <c r="G89" i="6"/>
  <c r="I73" i="6"/>
  <c r="C37" i="4"/>
  <c r="C38" i="4" s="1" a="1"/>
  <c r="C30" i="5" a="1"/>
  <c r="C30" i="5" s="1"/>
  <c r="G45" i="1"/>
  <c r="C50" i="1" a="1"/>
  <c r="C50" i="1" s="1"/>
  <c r="C53" i="1" s="1" a="1"/>
  <c r="G88" i="6" l="1"/>
  <c r="C94" i="6" s="1" a="1"/>
  <c r="C94" i="6" s="1"/>
  <c r="C99" i="6" s="1" a="1"/>
  <c r="C99" i="6" s="1"/>
  <c r="C100" i="6" s="1" a="1"/>
  <c r="C87" i="6"/>
  <c r="G87" i="6"/>
  <c r="F87" i="6"/>
  <c r="D91" i="6"/>
  <c r="F89" i="6"/>
  <c r="C92" i="6"/>
  <c r="D89" i="6"/>
  <c r="C40" i="4"/>
  <c r="D40" i="4"/>
  <c r="D44" i="4"/>
  <c r="C41" i="4"/>
  <c r="G41" i="4"/>
  <c r="C43" i="4"/>
  <c r="E39" i="4"/>
  <c r="F40" i="4"/>
  <c r="C38" i="4"/>
  <c r="G26" i="5"/>
  <c r="C31" i="5" s="1"/>
  <c r="C32" i="5" s="1" a="1"/>
  <c r="C53" i="1"/>
  <c r="C54" i="1" s="1"/>
  <c r="E54" i="1"/>
  <c r="D54" i="1"/>
  <c r="E101" i="6" l="1"/>
  <c r="D102" i="6"/>
  <c r="C102" i="6"/>
  <c r="F102" i="6"/>
  <c r="C103" i="6"/>
  <c r="C100" i="6"/>
  <c r="D101" i="6"/>
  <c r="D103" i="6"/>
  <c r="C105" i="6"/>
  <c r="D106" i="6"/>
  <c r="G103" i="6"/>
  <c r="I87" i="6"/>
  <c r="F41" i="4"/>
  <c r="F39" i="4"/>
  <c r="G39" i="4"/>
  <c r="C44" i="4"/>
  <c r="D43" i="4"/>
  <c r="G40" i="4"/>
  <c r="C39" i="4"/>
  <c r="D39" i="4"/>
  <c r="D41" i="4"/>
  <c r="C34" i="5"/>
  <c r="C32" i="5"/>
  <c r="D34" i="5"/>
  <c r="D35" i="5"/>
  <c r="D36" i="5"/>
  <c r="D56" i="1"/>
  <c r="D57" i="1"/>
  <c r="D58" i="1"/>
  <c r="C56" i="1"/>
  <c r="C55" i="1"/>
  <c r="D55" i="1"/>
  <c r="E56" i="1"/>
  <c r="C58" i="1"/>
  <c r="E55" i="1"/>
  <c r="C57" i="1"/>
  <c r="F101" i="6" l="1"/>
  <c r="G101" i="6"/>
  <c r="G102" i="6"/>
  <c r="C101" i="6"/>
  <c r="I101" i="6" s="1"/>
  <c r="F103" i="6"/>
  <c r="D105" i="6"/>
  <c r="C106" i="6"/>
  <c r="C108" i="6" a="1"/>
  <c r="C108" i="6" s="1"/>
  <c r="C113" i="6" s="1" a="1"/>
  <c r="C113" i="6" s="1"/>
  <c r="C114" i="6" s="1" a="1"/>
  <c r="C45" i="4" a="1"/>
  <c r="C45" i="4" s="1"/>
  <c r="J39" i="4"/>
  <c r="C46" i="4" s="1"/>
  <c r="C47" i="4" s="1" a="1"/>
  <c r="E33" i="5"/>
  <c r="C36" i="5"/>
  <c r="D33" i="5"/>
  <c r="E34" i="5"/>
  <c r="C35" i="5"/>
  <c r="C33" i="5"/>
  <c r="C37" i="5" s="1" a="1"/>
  <c r="C37" i="5" s="1"/>
  <c r="G55" i="1"/>
  <c r="C60" i="1" a="1"/>
  <c r="C60" i="1" s="1"/>
  <c r="C63" i="1" s="1" a="1"/>
  <c r="E115" i="6" l="1"/>
  <c r="C114" i="6"/>
  <c r="D115" i="6"/>
  <c r="G117" i="6"/>
  <c r="C116" i="6"/>
  <c r="D116" i="6"/>
  <c r="F116" i="6"/>
  <c r="C117" i="6"/>
  <c r="D117" i="6"/>
  <c r="D120" i="6"/>
  <c r="C119" i="6"/>
  <c r="E48" i="4"/>
  <c r="C50" i="4"/>
  <c r="D53" i="4"/>
  <c r="D49" i="4"/>
  <c r="F49" i="4"/>
  <c r="C49" i="4"/>
  <c r="C47" i="4"/>
  <c r="D48" i="4"/>
  <c r="G50" i="4"/>
  <c r="C52" i="4"/>
  <c r="G33" i="5"/>
  <c r="C38" i="5" s="1"/>
  <c r="C39" i="5" s="1" a="1"/>
  <c r="C63" i="1"/>
  <c r="C64" i="1" s="1"/>
  <c r="D64" i="1"/>
  <c r="E64" i="1"/>
  <c r="C115" i="6" l="1"/>
  <c r="F117" i="6"/>
  <c r="G116" i="6"/>
  <c r="C122" i="6" s="1" a="1"/>
  <c r="C122" i="6" s="1"/>
  <c r="C127" i="6" s="1" a="1"/>
  <c r="C127" i="6" s="1"/>
  <c r="C128" i="6" s="1" a="1"/>
  <c r="C120" i="6"/>
  <c r="D119" i="6"/>
  <c r="G115" i="6"/>
  <c r="F115" i="6"/>
  <c r="F48" i="4"/>
  <c r="G49" i="4"/>
  <c r="C53" i="4"/>
  <c r="D52" i="4"/>
  <c r="G48" i="4"/>
  <c r="F50" i="4"/>
  <c r="C48" i="4"/>
  <c r="D50" i="4"/>
  <c r="C39" i="5"/>
  <c r="D41" i="5"/>
  <c r="D43" i="5"/>
  <c r="C41" i="5"/>
  <c r="D42" i="5"/>
  <c r="C66" i="1"/>
  <c r="D66" i="1"/>
  <c r="D67" i="1"/>
  <c r="D68" i="1"/>
  <c r="E65" i="1"/>
  <c r="E66" i="1"/>
  <c r="C67" i="1"/>
  <c r="C68" i="1"/>
  <c r="D65" i="1"/>
  <c r="C65" i="1"/>
  <c r="G65" i="1" s="1"/>
  <c r="D134" i="6" l="1"/>
  <c r="F130" i="6"/>
  <c r="C130" i="6"/>
  <c r="G131" i="6"/>
  <c r="D130" i="6"/>
  <c r="C131" i="6"/>
  <c r="C128" i="6"/>
  <c r="D129" i="6"/>
  <c r="E129" i="6"/>
  <c r="C133" i="6"/>
  <c r="I115" i="6"/>
  <c r="C54" i="4" a="1"/>
  <c r="C54" i="4" s="1"/>
  <c r="J48" i="4"/>
  <c r="E41" i="5"/>
  <c r="C40" i="5"/>
  <c r="D40" i="5"/>
  <c r="C42" i="5"/>
  <c r="C43" i="5"/>
  <c r="E40" i="5"/>
  <c r="C70" i="1" a="1"/>
  <c r="C70" i="1" s="1"/>
  <c r="C73" i="1" s="1" a="1"/>
  <c r="C134" i="6" l="1"/>
  <c r="G130" i="6"/>
  <c r="F131" i="6"/>
  <c r="F129" i="6"/>
  <c r="G129" i="6"/>
  <c r="D133" i="6"/>
  <c r="C129" i="6"/>
  <c r="I129" i="6" s="1"/>
  <c r="D131" i="6"/>
  <c r="C136" i="6" a="1"/>
  <c r="C136" i="6" s="1"/>
  <c r="C141" i="6" s="1" a="1"/>
  <c r="C141" i="6" s="1"/>
  <c r="C142" i="6" s="1" a="1"/>
  <c r="C55" i="4"/>
  <c r="C56" i="4" s="1" a="1"/>
  <c r="C44" i="5" a="1"/>
  <c r="C44" i="5" s="1"/>
  <c r="C73" i="1"/>
  <c r="C74" i="1" s="1"/>
  <c r="E74" i="1"/>
  <c r="D74" i="1"/>
  <c r="C147" i="6" l="1"/>
  <c r="D144" i="6"/>
  <c r="F144" i="6"/>
  <c r="C145" i="6"/>
  <c r="G145" i="6"/>
  <c r="D148" i="6"/>
  <c r="C142" i="6"/>
  <c r="D143" i="6"/>
  <c r="E143" i="6"/>
  <c r="C144" i="6"/>
  <c r="C56" i="4"/>
  <c r="F58" i="4"/>
  <c r="G59" i="4"/>
  <c r="D57" i="4"/>
  <c r="C58" i="4"/>
  <c r="D58" i="4"/>
  <c r="D59" i="4"/>
  <c r="D62" i="4"/>
  <c r="C59" i="4"/>
  <c r="E57" i="4"/>
  <c r="C61" i="4"/>
  <c r="G40" i="5"/>
  <c r="C45" i="5" s="1"/>
  <c r="C46" i="5" s="1" a="1"/>
  <c r="E75" i="1"/>
  <c r="C75" i="1"/>
  <c r="D75" i="1"/>
  <c r="D147" i="6" l="1"/>
  <c r="G143" i="6"/>
  <c r="G144" i="6"/>
  <c r="C150" i="6" s="1" a="1"/>
  <c r="C150" i="6" s="1"/>
  <c r="C155" i="6" s="1" a="1"/>
  <c r="C155" i="6" s="1"/>
  <c r="C156" i="6" s="1" a="1"/>
  <c r="F145" i="6"/>
  <c r="C148" i="6"/>
  <c r="C143" i="6"/>
  <c r="F143" i="6"/>
  <c r="D145" i="6"/>
  <c r="G58" i="4"/>
  <c r="C57" i="4"/>
  <c r="F59" i="4"/>
  <c r="C62" i="4"/>
  <c r="G57" i="4"/>
  <c r="F57" i="4"/>
  <c r="D61" i="4"/>
  <c r="D48" i="5"/>
  <c r="C46" i="5"/>
  <c r="D50" i="5"/>
  <c r="C48" i="5"/>
  <c r="D49" i="5"/>
  <c r="G75" i="1"/>
  <c r="G159" i="6" l="1"/>
  <c r="C156" i="6"/>
  <c r="C158" i="6"/>
  <c r="D158" i="6"/>
  <c r="F158" i="6"/>
  <c r="D159" i="6"/>
  <c r="C159" i="6"/>
  <c r="D162" i="6"/>
  <c r="E157" i="6"/>
  <c r="D157" i="6"/>
  <c r="C161" i="6"/>
  <c r="I143" i="6"/>
  <c r="C63" i="4" a="1"/>
  <c r="C63" i="4" s="1"/>
  <c r="J57" i="4"/>
  <c r="C64" i="4" s="1"/>
  <c r="C65" i="4" s="1" a="1"/>
  <c r="E48" i="5"/>
  <c r="C50" i="5"/>
  <c r="C47" i="5"/>
  <c r="D47" i="5"/>
  <c r="E47" i="5"/>
  <c r="G47" i="5" s="1"/>
  <c r="C49" i="5"/>
  <c r="F159" i="6" l="1"/>
  <c r="C157" i="6"/>
  <c r="G158" i="6"/>
  <c r="C164" i="6" s="1" a="1"/>
  <c r="C164" i="6" s="1"/>
  <c r="C169" i="6" s="1" a="1"/>
  <c r="C169" i="6" s="1"/>
  <c r="C170" i="6" s="1" a="1"/>
  <c r="C162" i="6"/>
  <c r="F157" i="6"/>
  <c r="G157" i="6"/>
  <c r="D161" i="6"/>
  <c r="D71" i="4"/>
  <c r="C67" i="4"/>
  <c r="D67" i="4"/>
  <c r="C65" i="4"/>
  <c r="D66" i="4"/>
  <c r="E66" i="4"/>
  <c r="C70" i="4"/>
  <c r="F67" i="4"/>
  <c r="C68" i="4"/>
  <c r="D68" i="4"/>
  <c r="G68" i="4"/>
  <c r="C51" i="5" a="1"/>
  <c r="C51" i="5" s="1"/>
  <c r="F172" i="6" l="1"/>
  <c r="C173" i="6"/>
  <c r="D176" i="6"/>
  <c r="C172" i="6"/>
  <c r="D172" i="6"/>
  <c r="G173" i="6"/>
  <c r="C175" i="6"/>
  <c r="C170" i="6"/>
  <c r="D171" i="6"/>
  <c r="E171" i="6"/>
  <c r="I157" i="6"/>
  <c r="C71" i="4"/>
  <c r="C66" i="4"/>
  <c r="F66" i="4"/>
  <c r="G66" i="4"/>
  <c r="D70" i="4"/>
  <c r="G67" i="4"/>
  <c r="F68" i="4"/>
  <c r="C52" i="5"/>
  <c r="C53" i="5" s="1" a="1"/>
  <c r="G172" i="6" l="1"/>
  <c r="F173" i="6"/>
  <c r="C176" i="6"/>
  <c r="D175" i="6"/>
  <c r="C171" i="6"/>
  <c r="F171" i="6"/>
  <c r="G171" i="6"/>
  <c r="C178" i="6" a="1"/>
  <c r="C178" i="6" s="1"/>
  <c r="C183" i="6" s="1" a="1"/>
  <c r="C183" i="6" s="1"/>
  <c r="C184" i="6" s="1" a="1"/>
  <c r="D173" i="6"/>
  <c r="J66" i="4"/>
  <c r="C72" i="4" a="1"/>
  <c r="C72" i="4" s="1"/>
  <c r="D57" i="5"/>
  <c r="D56" i="5"/>
  <c r="D55" i="5"/>
  <c r="C53" i="5"/>
  <c r="C55" i="5"/>
  <c r="F186" i="6" l="1"/>
  <c r="C186" i="6"/>
  <c r="D186" i="6"/>
  <c r="C189" i="6"/>
  <c r="G187" i="6"/>
  <c r="D190" i="6"/>
  <c r="E185" i="6"/>
  <c r="C187" i="6"/>
  <c r="C184" i="6"/>
  <c r="D185" i="6"/>
  <c r="I171" i="6"/>
  <c r="C73" i="4"/>
  <c r="C74" i="4" s="1" a="1"/>
  <c r="C56" i="5"/>
  <c r="C54" i="5"/>
  <c r="D54" i="5"/>
  <c r="C57" i="5"/>
  <c r="E54" i="5"/>
  <c r="E55" i="5"/>
  <c r="G185" i="6" l="1"/>
  <c r="D189" i="6"/>
  <c r="F187" i="6"/>
  <c r="F185" i="6"/>
  <c r="G186" i="6"/>
  <c r="C190" i="6"/>
  <c r="C185" i="6"/>
  <c r="I185" i="6" s="1"/>
  <c r="D187" i="6"/>
  <c r="C192" i="6" a="1"/>
  <c r="C192" i="6" s="1"/>
  <c r="C197" i="6" s="1" a="1"/>
  <c r="C197" i="6" s="1"/>
  <c r="C198" i="6" s="1" a="1"/>
  <c r="E75" i="4"/>
  <c r="C74" i="4"/>
  <c r="D80" i="4"/>
  <c r="C77" i="4"/>
  <c r="D77" i="4"/>
  <c r="G77" i="4"/>
  <c r="C79" i="4"/>
  <c r="C76" i="4"/>
  <c r="D76" i="4"/>
  <c r="F76" i="4"/>
  <c r="C58" i="5" a="1"/>
  <c r="C58" i="5" s="1"/>
  <c r="G54" i="5"/>
  <c r="C59" i="5" s="1"/>
  <c r="C60" i="5" s="1" a="1"/>
  <c r="C198" i="6" l="1"/>
  <c r="D199" i="6"/>
  <c r="E199" i="6"/>
  <c r="G201" i="6"/>
  <c r="C203" i="6"/>
  <c r="C200" i="6"/>
  <c r="D200" i="6"/>
  <c r="F200" i="6"/>
  <c r="D204" i="6"/>
  <c r="C201" i="6"/>
  <c r="D201" i="6"/>
  <c r="D79" i="4"/>
  <c r="F75" i="4"/>
  <c r="G75" i="4"/>
  <c r="C75" i="4"/>
  <c r="C80" i="4"/>
  <c r="G76" i="4"/>
  <c r="F77" i="4"/>
  <c r="D75" i="4"/>
  <c r="D64" i="5"/>
  <c r="D63" i="5"/>
  <c r="C62" i="5"/>
  <c r="D62" i="5"/>
  <c r="C60" i="5"/>
  <c r="C199" i="6" l="1"/>
  <c r="G199" i="6"/>
  <c r="F199" i="6"/>
  <c r="D203" i="6"/>
  <c r="C204" i="6"/>
  <c r="G200" i="6"/>
  <c r="C206" i="6" s="1" a="1"/>
  <c r="C206" i="6" s="1"/>
  <c r="C211" i="6" s="1" a="1"/>
  <c r="C211" i="6" s="1"/>
  <c r="C212" i="6" s="1" a="1"/>
  <c r="F201" i="6"/>
  <c r="J75" i="4"/>
  <c r="C81" i="4" a="1"/>
  <c r="C81" i="4" s="1"/>
  <c r="C63" i="5"/>
  <c r="E61" i="5"/>
  <c r="E62" i="5"/>
  <c r="C61" i="5"/>
  <c r="D61" i="5"/>
  <c r="C64" i="5"/>
  <c r="D218" i="6" l="1"/>
  <c r="C212" i="6"/>
  <c r="C215" i="6"/>
  <c r="D215" i="6"/>
  <c r="C217" i="6"/>
  <c r="D213" i="6"/>
  <c r="E213" i="6"/>
  <c r="G215" i="6"/>
  <c r="F214" i="6"/>
  <c r="C214" i="6"/>
  <c r="D214" i="6"/>
  <c r="I199" i="6"/>
  <c r="C82" i="4"/>
  <c r="C83" i="4" s="1" a="1"/>
  <c r="C65" i="5" a="1"/>
  <c r="C65" i="5" s="1"/>
  <c r="G61" i="5"/>
  <c r="C218" i="6" l="1"/>
  <c r="D217" i="6"/>
  <c r="F213" i="6"/>
  <c r="G213" i="6"/>
  <c r="F215" i="6"/>
  <c r="G214" i="6"/>
  <c r="C220" i="6" s="1" a="1"/>
  <c r="C220" i="6" s="1"/>
  <c r="C225" i="6" s="1" a="1"/>
  <c r="C225" i="6" s="1"/>
  <c r="C226" i="6" s="1" a="1"/>
  <c r="C213" i="6"/>
  <c r="I213" i="6" s="1"/>
  <c r="E84" i="4"/>
  <c r="C85" i="4"/>
  <c r="D85" i="4"/>
  <c r="G86" i="4"/>
  <c r="F85" i="4"/>
  <c r="C86" i="4"/>
  <c r="C88" i="4"/>
  <c r="D89" i="4"/>
  <c r="C83" i="4"/>
  <c r="D86" i="4"/>
  <c r="C66" i="5"/>
  <c r="C67" i="5" s="1" a="1"/>
  <c r="C231" i="6" l="1"/>
  <c r="C228" i="6"/>
  <c r="D228" i="6"/>
  <c r="D232" i="6"/>
  <c r="E227" i="6"/>
  <c r="C226" i="6"/>
  <c r="G229" i="6"/>
  <c r="F228" i="6"/>
  <c r="C229" i="6"/>
  <c r="D229" i="6"/>
  <c r="C84" i="4"/>
  <c r="F86" i="4"/>
  <c r="G84" i="4"/>
  <c r="F84" i="4"/>
  <c r="G85" i="4"/>
  <c r="D88" i="4"/>
  <c r="C89" i="4"/>
  <c r="D84" i="4"/>
  <c r="D70" i="5"/>
  <c r="D71" i="5"/>
  <c r="C69" i="5"/>
  <c r="D69" i="5"/>
  <c r="C67" i="5"/>
  <c r="C232" i="6" l="1"/>
  <c r="D231" i="6"/>
  <c r="F227" i="6"/>
  <c r="G227" i="6"/>
  <c r="C227" i="6"/>
  <c r="F229" i="6"/>
  <c r="G228" i="6"/>
  <c r="D227" i="6"/>
  <c r="C234" i="6" a="1"/>
  <c r="C234" i="6" s="1"/>
  <c r="C239" i="6" s="1" a="1"/>
  <c r="C239" i="6" s="1"/>
  <c r="C240" i="6" s="1" a="1"/>
  <c r="J84" i="4"/>
  <c r="C90" i="4" a="1"/>
  <c r="C90" i="4" s="1"/>
  <c r="E69" i="5"/>
  <c r="C70" i="5"/>
  <c r="C71" i="5"/>
  <c r="E68" i="5"/>
  <c r="C68" i="5"/>
  <c r="D68" i="5"/>
  <c r="C245" i="6" l="1"/>
  <c r="E241" i="6"/>
  <c r="D246" i="6"/>
  <c r="C242" i="6"/>
  <c r="D242" i="6"/>
  <c r="F242" i="6"/>
  <c r="C243" i="6"/>
  <c r="D243" i="6"/>
  <c r="C240" i="6"/>
  <c r="G243" i="6"/>
  <c r="I227" i="6"/>
  <c r="C91" i="4"/>
  <c r="C92" i="4" s="1" a="1"/>
  <c r="C72" i="5" a="1"/>
  <c r="C72" i="5" s="1"/>
  <c r="G68" i="5"/>
  <c r="C73" i="5" s="1"/>
  <c r="C74" i="5" s="1" a="1"/>
  <c r="C246" i="6" l="1"/>
  <c r="D245" i="6"/>
  <c r="F241" i="6"/>
  <c r="G241" i="6"/>
  <c r="G242" i="6"/>
  <c r="C241" i="6"/>
  <c r="F243" i="6"/>
  <c r="C248" i="6" s="1" a="1"/>
  <c r="C248" i="6" s="1"/>
  <c r="C253" i="6" s="1" a="1"/>
  <c r="C253" i="6" s="1"/>
  <c r="C254" i="6" s="1" a="1"/>
  <c r="D241" i="6"/>
  <c r="G95" i="4"/>
  <c r="C92" i="4"/>
  <c r="C94" i="4"/>
  <c r="F94" i="4"/>
  <c r="C97" i="4"/>
  <c r="D94" i="4"/>
  <c r="D93" i="4"/>
  <c r="E93" i="4"/>
  <c r="C95" i="4"/>
  <c r="D95" i="4"/>
  <c r="D98" i="4"/>
  <c r="D78" i="5"/>
  <c r="D77" i="5"/>
  <c r="C76" i="5"/>
  <c r="D76" i="5"/>
  <c r="C74" i="5"/>
  <c r="C257" i="6" l="1"/>
  <c r="G257" i="6"/>
  <c r="C259" i="6"/>
  <c r="D260" i="6"/>
  <c r="E255" i="6"/>
  <c r="C254" i="6"/>
  <c r="D255" i="6" s="1"/>
  <c r="C256" i="6"/>
  <c r="D256" i="6"/>
  <c r="F256" i="6"/>
  <c r="I241" i="6"/>
  <c r="F95" i="4"/>
  <c r="G94" i="4"/>
  <c r="D97" i="4"/>
  <c r="C93" i="4"/>
  <c r="F93" i="4"/>
  <c r="G93" i="4"/>
  <c r="C98" i="4"/>
  <c r="C78" i="5"/>
  <c r="C77" i="5"/>
  <c r="E76" i="5"/>
  <c r="E75" i="5"/>
  <c r="C75" i="5"/>
  <c r="D75" i="5"/>
  <c r="F257" i="6" l="1"/>
  <c r="D259" i="6"/>
  <c r="C260" i="6"/>
  <c r="F255" i="6"/>
  <c r="G255" i="6"/>
  <c r="C255" i="6"/>
  <c r="I255" i="6" s="1"/>
  <c r="G256" i="6"/>
  <c r="C262" i="6" s="1" a="1"/>
  <c r="C262" i="6" s="1"/>
  <c r="C267" i="6" s="1" a="1"/>
  <c r="C267" i="6" s="1"/>
  <c r="C268" i="6" s="1" a="1"/>
  <c r="D257" i="6"/>
  <c r="C99" i="4" a="1"/>
  <c r="C99" i="4" s="1"/>
  <c r="J93" i="4"/>
  <c r="C100" i="4" s="1"/>
  <c r="C101" i="4" s="1" a="1"/>
  <c r="C79" i="5" a="1"/>
  <c r="C79" i="5" s="1"/>
  <c r="G75" i="5"/>
  <c r="C80" i="5" s="1"/>
  <c r="C81" i="5" s="1" a="1"/>
  <c r="C270" i="6" l="1"/>
  <c r="C271" i="6"/>
  <c r="D270" i="6"/>
  <c r="F270" i="6"/>
  <c r="D274" i="6"/>
  <c r="C273" i="6"/>
  <c r="E269" i="6"/>
  <c r="C268" i="6"/>
  <c r="G271" i="6"/>
  <c r="C104" i="4"/>
  <c r="C101" i="4"/>
  <c r="C103" i="4"/>
  <c r="D103" i="4"/>
  <c r="G104" i="4"/>
  <c r="D102" i="4"/>
  <c r="E102" i="4"/>
  <c r="D107" i="4"/>
  <c r="C106" i="4"/>
  <c r="F103" i="4"/>
  <c r="D104" i="4"/>
  <c r="D85" i="5"/>
  <c r="C81" i="5"/>
  <c r="C83" i="5"/>
  <c r="D83" i="5"/>
  <c r="D84" i="5"/>
  <c r="G270" i="6" l="1"/>
  <c r="D273" i="6"/>
  <c r="C274" i="6"/>
  <c r="C269" i="6"/>
  <c r="F269" i="6"/>
  <c r="G269" i="6"/>
  <c r="F271" i="6"/>
  <c r="D269" i="6"/>
  <c r="D271" i="6"/>
  <c r="C276" i="6" s="1" a="1"/>
  <c r="C276" i="6" s="1"/>
  <c r="C281" i="6" s="1" a="1"/>
  <c r="C281" i="6" s="1"/>
  <c r="C282" i="6" s="1" a="1"/>
  <c r="G103" i="4"/>
  <c r="C107" i="4"/>
  <c r="F104" i="4"/>
  <c r="F102" i="4"/>
  <c r="C102" i="4"/>
  <c r="D106" i="4"/>
  <c r="G102" i="4"/>
  <c r="C84" i="5"/>
  <c r="C85" i="5"/>
  <c r="C82" i="5"/>
  <c r="D82" i="5"/>
  <c r="E82" i="5"/>
  <c r="E83" i="5"/>
  <c r="E283" i="6" l="1"/>
  <c r="C284" i="6"/>
  <c r="C287" i="6"/>
  <c r="D288" i="6"/>
  <c r="D284" i="6"/>
  <c r="F284" i="6"/>
  <c r="G285" i="6"/>
  <c r="C285" i="6"/>
  <c r="C282" i="6"/>
  <c r="I269" i="6"/>
  <c r="J102" i="4"/>
  <c r="C108" i="4" a="1"/>
  <c r="C108" i="4" s="1"/>
  <c r="C86" i="5" a="1"/>
  <c r="C86" i="5" s="1"/>
  <c r="G82" i="5"/>
  <c r="C87" i="5" s="1"/>
  <c r="C88" i="5" s="1" a="1"/>
  <c r="F283" i="6" l="1"/>
  <c r="G283" i="6"/>
  <c r="D287" i="6"/>
  <c r="C288" i="6"/>
  <c r="C283" i="6"/>
  <c r="G284" i="6"/>
  <c r="F285" i="6"/>
  <c r="D285" i="6"/>
  <c r="C290" i="6" a="1"/>
  <c r="C290" i="6" s="1"/>
  <c r="C295" i="6" s="1" a="1"/>
  <c r="C295" i="6" s="1"/>
  <c r="C296" i="6" s="1" a="1"/>
  <c r="D283" i="6"/>
  <c r="C109" i="4"/>
  <c r="C110" i="4" s="1" a="1"/>
  <c r="D91" i="5"/>
  <c r="D92" i="5"/>
  <c r="C88" i="5"/>
  <c r="C90" i="5"/>
  <c r="D90" i="5"/>
  <c r="C296" i="6" l="1"/>
  <c r="D297" i="6"/>
  <c r="D302" i="6"/>
  <c r="D298" i="6"/>
  <c r="F298" i="6"/>
  <c r="C298" i="6"/>
  <c r="C299" i="6"/>
  <c r="D299" i="6"/>
  <c r="G299" i="6"/>
  <c r="C301" i="6"/>
  <c r="E297" i="6"/>
  <c r="I283" i="6"/>
  <c r="C112" i="4"/>
  <c r="D112" i="4"/>
  <c r="D116" i="4"/>
  <c r="G113" i="4"/>
  <c r="F112" i="4"/>
  <c r="C113" i="4"/>
  <c r="C110" i="4"/>
  <c r="C115" i="4"/>
  <c r="E111" i="4"/>
  <c r="C91" i="5"/>
  <c r="C92" i="5"/>
  <c r="C89" i="5"/>
  <c r="D89" i="5"/>
  <c r="E89" i="5"/>
  <c r="E90" i="5"/>
  <c r="C297" i="6" l="1"/>
  <c r="F299" i="6"/>
  <c r="C302" i="6"/>
  <c r="G298" i="6"/>
  <c r="C304" i="6" s="1" a="1"/>
  <c r="C304" i="6" s="1"/>
  <c r="C309" i="6" s="1" a="1"/>
  <c r="C309" i="6" s="1"/>
  <c r="C310" i="6" s="1" a="1"/>
  <c r="D301" i="6"/>
  <c r="F297" i="6"/>
  <c r="G297" i="6"/>
  <c r="C116" i="4"/>
  <c r="G112" i="4"/>
  <c r="C111" i="4"/>
  <c r="D115" i="4"/>
  <c r="F111" i="4"/>
  <c r="G111" i="4"/>
  <c r="F113" i="4"/>
  <c r="D111" i="4"/>
  <c r="D113" i="4"/>
  <c r="C93" i="5" a="1"/>
  <c r="C93" i="5" s="1"/>
  <c r="G89" i="5"/>
  <c r="C94" i="5" s="1"/>
  <c r="C95" i="5" s="1" a="1"/>
  <c r="D316" i="6" l="1"/>
  <c r="F312" i="6"/>
  <c r="C310" i="6"/>
  <c r="C312" i="6"/>
  <c r="D312" i="6"/>
  <c r="D311" i="6"/>
  <c r="E311" i="6"/>
  <c r="C315" i="6"/>
  <c r="C313" i="6"/>
  <c r="D313" i="6"/>
  <c r="G313" i="6"/>
  <c r="I297" i="6"/>
  <c r="J111" i="4"/>
  <c r="C117" i="4" a="1"/>
  <c r="C117" i="4" s="1"/>
  <c r="D97" i="5"/>
  <c r="D99" i="5"/>
  <c r="C95" i="5"/>
  <c r="D98" i="5"/>
  <c r="C97" i="5"/>
  <c r="C316" i="6" l="1"/>
  <c r="D315" i="6"/>
  <c r="G312" i="6"/>
  <c r="C318" i="6" s="1" a="1"/>
  <c r="C318" i="6" s="1"/>
  <c r="C323" i="6" s="1" a="1"/>
  <c r="C323" i="6" s="1"/>
  <c r="C324" i="6" s="1" a="1"/>
  <c r="C311" i="6"/>
  <c r="I311" i="6" s="1"/>
  <c r="F311" i="6"/>
  <c r="G311" i="6"/>
  <c r="F313" i="6"/>
  <c r="C118" i="4"/>
  <c r="C119" i="4" s="1" a="1"/>
  <c r="C99" i="5"/>
  <c r="C98" i="5"/>
  <c r="C96" i="5"/>
  <c r="D96" i="5"/>
  <c r="E96" i="5"/>
  <c r="E97" i="5"/>
  <c r="C329" i="6" l="1"/>
  <c r="D330" i="6"/>
  <c r="C326" i="6"/>
  <c r="D326" i="6"/>
  <c r="F326" i="6"/>
  <c r="E325" i="6"/>
  <c r="C327" i="6"/>
  <c r="G327" i="6"/>
  <c r="D325" i="6"/>
  <c r="C324" i="6"/>
  <c r="E120" i="4"/>
  <c r="F121" i="4"/>
  <c r="C122" i="4"/>
  <c r="C119" i="4"/>
  <c r="G122" i="4"/>
  <c r="C121" i="4"/>
  <c r="D121" i="4"/>
  <c r="C124" i="4"/>
  <c r="D125" i="4"/>
  <c r="D120" i="4"/>
  <c r="C100" i="5" a="1"/>
  <c r="C100" i="5" s="1"/>
  <c r="G96" i="5"/>
  <c r="C101" i="5" s="1"/>
  <c r="C102" i="5" s="1" a="1"/>
  <c r="D329" i="6" l="1"/>
  <c r="F325" i="6"/>
  <c r="G325" i="6"/>
  <c r="C330" i="6"/>
  <c r="F327" i="6"/>
  <c r="G326" i="6"/>
  <c r="C325" i="6"/>
  <c r="I325" i="6" s="1"/>
  <c r="D327" i="6"/>
  <c r="C332" i="6" a="1"/>
  <c r="C332" i="6" s="1"/>
  <c r="C337" i="6" s="1" a="1"/>
  <c r="C337" i="6" s="1"/>
  <c r="C338" i="6" s="1" a="1"/>
  <c r="F120" i="4"/>
  <c r="C125" i="4"/>
  <c r="C120" i="4"/>
  <c r="G120" i="4"/>
  <c r="G121" i="4"/>
  <c r="D124" i="4"/>
  <c r="F122" i="4"/>
  <c r="D122" i="4"/>
  <c r="D104" i="5"/>
  <c r="C102" i="5"/>
  <c r="C104" i="5"/>
  <c r="D105" i="5"/>
  <c r="D106" i="5"/>
  <c r="G341" i="6" l="1"/>
  <c r="C338" i="6"/>
  <c r="D344" i="6"/>
  <c r="C340" i="6"/>
  <c r="D340" i="6"/>
  <c r="C343" i="6"/>
  <c r="D339" i="6"/>
  <c r="F340" i="6"/>
  <c r="E339" i="6"/>
  <c r="C341" i="6"/>
  <c r="D341" i="6"/>
  <c r="C126" i="4" a="1"/>
  <c r="C126" i="4" s="1"/>
  <c r="J120" i="4"/>
  <c r="C127" i="4" s="1"/>
  <c r="C128" i="4" s="1" a="1"/>
  <c r="E104" i="5"/>
  <c r="C105" i="5"/>
  <c r="E103" i="5"/>
  <c r="C106" i="5"/>
  <c r="C103" i="5"/>
  <c r="D103" i="5"/>
  <c r="F341" i="6" l="1"/>
  <c r="D343" i="6"/>
  <c r="C344" i="6"/>
  <c r="C339" i="6"/>
  <c r="F339" i="6"/>
  <c r="G339" i="6"/>
  <c r="G340" i="6"/>
  <c r="C346" i="6" s="1" a="1"/>
  <c r="C346" i="6" s="1"/>
  <c r="C351" i="6" s="1" a="1"/>
  <c r="C351" i="6" s="1"/>
  <c r="C352" i="6" s="1" a="1"/>
  <c r="C128" i="4"/>
  <c r="G131" i="4"/>
  <c r="D130" i="4"/>
  <c r="D134" i="4"/>
  <c r="D131" i="4"/>
  <c r="C130" i="4"/>
  <c r="F130" i="4"/>
  <c r="C133" i="4"/>
  <c r="D129" i="4"/>
  <c r="E129" i="4"/>
  <c r="C131" i="4"/>
  <c r="C107" i="5" a="1"/>
  <c r="C107" i="5" s="1"/>
  <c r="G103" i="5"/>
  <c r="C108" i="5" s="1"/>
  <c r="C109" i="5" s="1" a="1"/>
  <c r="F354" i="6" l="1"/>
  <c r="C355" i="6"/>
  <c r="D358" i="6"/>
  <c r="C354" i="6"/>
  <c r="E353" i="6"/>
  <c r="D354" i="6"/>
  <c r="G355" i="6"/>
  <c r="C357" i="6"/>
  <c r="C352" i="6"/>
  <c r="D353" i="6"/>
  <c r="I339" i="6"/>
  <c r="D133" i="4"/>
  <c r="F131" i="4"/>
  <c r="C134" i="4"/>
  <c r="G129" i="4"/>
  <c r="G130" i="4"/>
  <c r="C129" i="4"/>
  <c r="F129" i="4"/>
  <c r="C111" i="5"/>
  <c r="D111" i="5"/>
  <c r="C109" i="5"/>
  <c r="D112" i="5"/>
  <c r="D113" i="5"/>
  <c r="G354" i="6" l="1"/>
  <c r="C358" i="6"/>
  <c r="D357" i="6"/>
  <c r="F353" i="6"/>
  <c r="G353" i="6"/>
  <c r="F355" i="6"/>
  <c r="C353" i="6"/>
  <c r="I353" i="6" s="1"/>
  <c r="D355" i="6"/>
  <c r="C360" i="6" s="1" a="1"/>
  <c r="C360" i="6" s="1"/>
  <c r="C365" i="6" s="1" a="1"/>
  <c r="C365" i="6" s="1"/>
  <c r="C366" i="6" s="1" a="1"/>
  <c r="C135" i="4" a="1"/>
  <c r="C135" i="4" s="1"/>
  <c r="J129" i="4"/>
  <c r="C136" i="4" s="1"/>
  <c r="C137" i="4" s="1" a="1"/>
  <c r="E110" i="5"/>
  <c r="C110" i="5"/>
  <c r="D110" i="5"/>
  <c r="E111" i="5"/>
  <c r="C112" i="5"/>
  <c r="C113" i="5"/>
  <c r="C368" i="6" l="1"/>
  <c r="D368" i="6"/>
  <c r="C371" i="6"/>
  <c r="D372" i="6"/>
  <c r="F368" i="6"/>
  <c r="C369" i="6"/>
  <c r="C366" i="6"/>
  <c r="D367" i="6"/>
  <c r="E367" i="6"/>
  <c r="D369" i="6"/>
  <c r="G369" i="6"/>
  <c r="D143" i="4"/>
  <c r="C139" i="4"/>
  <c r="D139" i="4"/>
  <c r="C142" i="4"/>
  <c r="G140" i="4"/>
  <c r="C137" i="4"/>
  <c r="C140" i="4"/>
  <c r="D140" i="4"/>
  <c r="D138" i="4"/>
  <c r="E138" i="4"/>
  <c r="F139" i="4"/>
  <c r="C114" i="5" a="1"/>
  <c r="C114" i="5" s="1"/>
  <c r="G110" i="5"/>
  <c r="C115" i="5" s="1"/>
  <c r="C116" i="5" s="1" a="1"/>
  <c r="F367" i="6" l="1"/>
  <c r="G367" i="6"/>
  <c r="C372" i="6"/>
  <c r="G368" i="6"/>
  <c r="C367" i="6"/>
  <c r="I367" i="6" s="1"/>
  <c r="D371" i="6"/>
  <c r="F369" i="6"/>
  <c r="C374" i="6" a="1"/>
  <c r="C374" i="6" s="1"/>
  <c r="C379" i="6" s="1" a="1"/>
  <c r="C379" i="6" s="1"/>
  <c r="C380" i="6" s="1" a="1"/>
  <c r="C143" i="4"/>
  <c r="F140" i="4"/>
  <c r="C138" i="4"/>
  <c r="D142" i="4"/>
  <c r="G139" i="4"/>
  <c r="F138" i="4"/>
  <c r="G138" i="4"/>
  <c r="C118" i="5"/>
  <c r="D118" i="5"/>
  <c r="C116" i="5"/>
  <c r="D119" i="5"/>
  <c r="D120" i="5"/>
  <c r="C380" i="6" l="1"/>
  <c r="D381" i="6"/>
  <c r="E381" i="6"/>
  <c r="G383" i="6"/>
  <c r="D386" i="6"/>
  <c r="C383" i="6"/>
  <c r="D383" i="6"/>
  <c r="C385" i="6"/>
  <c r="C382" i="6"/>
  <c r="D382" i="6"/>
  <c r="F382" i="6"/>
  <c r="C144" i="4" a="1"/>
  <c r="C144" i="4" s="1"/>
  <c r="J138" i="4"/>
  <c r="C145" i="4" s="1"/>
  <c r="C146" i="4" s="1" a="1"/>
  <c r="E117" i="5"/>
  <c r="D117" i="5"/>
  <c r="E118" i="5"/>
  <c r="C117" i="5"/>
  <c r="C119" i="5"/>
  <c r="C120" i="5"/>
  <c r="C381" i="6" l="1"/>
  <c r="F381" i="6"/>
  <c r="C386" i="6"/>
  <c r="G382" i="6"/>
  <c r="C388" i="6" s="1" a="1"/>
  <c r="C388" i="6" s="1"/>
  <c r="C393" i="6" s="1" a="1"/>
  <c r="C393" i="6" s="1"/>
  <c r="C394" i="6" s="1" a="1"/>
  <c r="D385" i="6"/>
  <c r="F383" i="6"/>
  <c r="G381" i="6"/>
  <c r="C149" i="4"/>
  <c r="C151" i="4"/>
  <c r="C146" i="4"/>
  <c r="D147" i="4"/>
  <c r="C148" i="4"/>
  <c r="D148" i="4"/>
  <c r="E147" i="4"/>
  <c r="F148" i="4"/>
  <c r="D149" i="4"/>
  <c r="G149" i="4"/>
  <c r="D152" i="4"/>
  <c r="C121" i="5" a="1"/>
  <c r="C121" i="5" s="1"/>
  <c r="G117" i="5"/>
  <c r="C122" i="5" s="1"/>
  <c r="C123" i="5" s="1" a="1"/>
  <c r="D400" i="6" l="1"/>
  <c r="C397" i="6"/>
  <c r="E395" i="6"/>
  <c r="C394" i="6"/>
  <c r="G397" i="6"/>
  <c r="D396" i="6"/>
  <c r="F396" i="6"/>
  <c r="D397" i="6"/>
  <c r="C399" i="6"/>
  <c r="C396" i="6"/>
  <c r="I381" i="6"/>
  <c r="D151" i="4"/>
  <c r="C152" i="4"/>
  <c r="G147" i="4"/>
  <c r="C147" i="4"/>
  <c r="F147" i="4"/>
  <c r="G148" i="4"/>
  <c r="F149" i="4"/>
  <c r="D126" i="5"/>
  <c r="D127" i="5"/>
  <c r="C123" i="5"/>
  <c r="C125" i="5"/>
  <c r="D125" i="5"/>
  <c r="C400" i="6" l="1"/>
  <c r="G396" i="6"/>
  <c r="C395" i="6"/>
  <c r="G395" i="6"/>
  <c r="F395" i="6"/>
  <c r="F397" i="6"/>
  <c r="D399" i="6"/>
  <c r="C402" i="6" a="1"/>
  <c r="C402" i="6" s="1"/>
  <c r="C407" i="6" s="1" a="1"/>
  <c r="C407" i="6" s="1"/>
  <c r="C408" i="6" s="1" a="1"/>
  <c r="D395" i="6"/>
  <c r="J147" i="4"/>
  <c r="C153" i="4" a="1"/>
  <c r="C153" i="4" s="1"/>
  <c r="C124" i="5"/>
  <c r="E125" i="5"/>
  <c r="C126" i="5"/>
  <c r="C127" i="5"/>
  <c r="E124" i="5"/>
  <c r="D124" i="5"/>
  <c r="C413" i="6" l="1"/>
  <c r="C410" i="6"/>
  <c r="C408" i="6"/>
  <c r="D409" i="6"/>
  <c r="E409" i="6"/>
  <c r="D411" i="6"/>
  <c r="G411" i="6"/>
  <c r="D410" i="6"/>
  <c r="F410" i="6"/>
  <c r="C411" i="6"/>
  <c r="D414" i="6"/>
  <c r="I395" i="6"/>
  <c r="C154" i="4"/>
  <c r="C155" i="4" s="1" a="1"/>
  <c r="C128" i="5" a="1"/>
  <c r="C128" i="5" s="1"/>
  <c r="G124" i="5"/>
  <c r="C129" i="5" s="1"/>
  <c r="C130" i="5" s="1" a="1"/>
  <c r="D413" i="6" l="1"/>
  <c r="C409" i="6"/>
  <c r="F409" i="6"/>
  <c r="F411" i="6"/>
  <c r="G410" i="6"/>
  <c r="G409" i="6"/>
  <c r="C414" i="6"/>
  <c r="C416" i="6" s="1" a="1"/>
  <c r="C416" i="6" s="1"/>
  <c r="C421" i="6" s="1" a="1"/>
  <c r="C421" i="6" s="1"/>
  <c r="C422" i="6" s="1" a="1"/>
  <c r="G158" i="4"/>
  <c r="C160" i="4"/>
  <c r="E156" i="4"/>
  <c r="C157" i="4"/>
  <c r="D157" i="4"/>
  <c r="D161" i="4"/>
  <c r="C155" i="4"/>
  <c r="F157" i="4"/>
  <c r="C158" i="4"/>
  <c r="D158" i="4"/>
  <c r="D134" i="5"/>
  <c r="C130" i="5"/>
  <c r="C132" i="5"/>
  <c r="D132" i="5"/>
  <c r="D133" i="5"/>
  <c r="G425" i="6" l="1"/>
  <c r="D428" i="6"/>
  <c r="C422" i="6"/>
  <c r="E423" i="6"/>
  <c r="C425" i="6"/>
  <c r="D425" i="6"/>
  <c r="C427" i="6"/>
  <c r="C424" i="6"/>
  <c r="D424" i="6"/>
  <c r="F424" i="6"/>
  <c r="I409" i="6"/>
  <c r="F158" i="4"/>
  <c r="F156" i="4"/>
  <c r="G156" i="4"/>
  <c r="D160" i="4"/>
  <c r="C156" i="4"/>
  <c r="G157" i="4"/>
  <c r="C161" i="4"/>
  <c r="D156" i="4"/>
  <c r="C131" i="5"/>
  <c r="D131" i="5"/>
  <c r="E131" i="5"/>
  <c r="C134" i="5"/>
  <c r="E132" i="5"/>
  <c r="C133" i="5"/>
  <c r="C423" i="6" l="1"/>
  <c r="G423" i="6"/>
  <c r="F423" i="6"/>
  <c r="F425" i="6"/>
  <c r="D427" i="6"/>
  <c r="C428" i="6"/>
  <c r="G424" i="6"/>
  <c r="C430" i="6" s="1" a="1"/>
  <c r="C430" i="6" s="1"/>
  <c r="C435" i="6" s="1" a="1"/>
  <c r="C435" i="6" s="1"/>
  <c r="C436" i="6" s="1" a="1"/>
  <c r="D423" i="6"/>
  <c r="J156" i="4"/>
  <c r="C162" i="4" a="1"/>
  <c r="C162" i="4" s="1"/>
  <c r="C135" i="5" a="1"/>
  <c r="C135" i="5" s="1"/>
  <c r="G131" i="5"/>
  <c r="C136" i="5" s="1"/>
  <c r="C137" i="5" s="1" a="1"/>
  <c r="C439" i="6" l="1"/>
  <c r="G439" i="6"/>
  <c r="D442" i="6"/>
  <c r="C436" i="6"/>
  <c r="E437" i="6"/>
  <c r="D437" i="6"/>
  <c r="F438" i="6"/>
  <c r="C438" i="6"/>
  <c r="D438" i="6"/>
  <c r="C441" i="6"/>
  <c r="I423" i="6"/>
  <c r="C163" i="4"/>
  <c r="C164" i="4" s="1" a="1"/>
  <c r="C137" i="5"/>
  <c r="D141" i="5"/>
  <c r="D140" i="5"/>
  <c r="C139" i="5"/>
  <c r="D139" i="5"/>
  <c r="G438" i="6" l="1"/>
  <c r="C444" i="6" s="1" a="1"/>
  <c r="C444" i="6" s="1"/>
  <c r="C449" i="6" s="1" a="1"/>
  <c r="C449" i="6" s="1"/>
  <c r="C450" i="6" s="1" a="1"/>
  <c r="F439" i="6"/>
  <c r="C437" i="6"/>
  <c r="F437" i="6"/>
  <c r="G437" i="6"/>
  <c r="D441" i="6"/>
  <c r="C442" i="6"/>
  <c r="D439" i="6"/>
  <c r="G167" i="4"/>
  <c r="C167" i="4"/>
  <c r="C166" i="4"/>
  <c r="E165" i="4"/>
  <c r="D170" i="4"/>
  <c r="D166" i="4"/>
  <c r="F166" i="4"/>
  <c r="C169" i="4"/>
  <c r="C164" i="4"/>
  <c r="C138" i="5"/>
  <c r="D138" i="5"/>
  <c r="C140" i="5"/>
  <c r="C141" i="5"/>
  <c r="E138" i="5"/>
  <c r="E139" i="5"/>
  <c r="C452" i="6" l="1"/>
  <c r="D452" i="6"/>
  <c r="F452" i="6"/>
  <c r="C450" i="6"/>
  <c r="E451" i="6"/>
  <c r="G453" i="6"/>
  <c r="D453" i="6"/>
  <c r="C453" i="6"/>
  <c r="D456" i="6"/>
  <c r="C455" i="6"/>
  <c r="I437" i="6"/>
  <c r="F167" i="4"/>
  <c r="G166" i="4"/>
  <c r="C170" i="4"/>
  <c r="D169" i="4"/>
  <c r="F165" i="4"/>
  <c r="G165" i="4"/>
  <c r="C165" i="4"/>
  <c r="D167" i="4"/>
  <c r="D165" i="4"/>
  <c r="C142" i="5" a="1"/>
  <c r="C142" i="5" s="1"/>
  <c r="G138" i="5"/>
  <c r="G452" i="6" l="1"/>
  <c r="D455" i="6"/>
  <c r="C451" i="6"/>
  <c r="F451" i="6"/>
  <c r="F453" i="6"/>
  <c r="G451" i="6"/>
  <c r="C456" i="6"/>
  <c r="D451" i="6"/>
  <c r="C458" i="6" a="1"/>
  <c r="C458" i="6" s="1"/>
  <c r="C463" i="6" s="1" a="1"/>
  <c r="C463" i="6" s="1"/>
  <c r="C464" i="6" s="1" a="1"/>
  <c r="J165" i="4"/>
  <c r="C171" i="4" a="1"/>
  <c r="C171" i="4" s="1"/>
  <c r="C143" i="5"/>
  <c r="C144" i="5" s="1" a="1"/>
  <c r="E465" i="6" l="1"/>
  <c r="C466" i="6"/>
  <c r="C464" i="6"/>
  <c r="D466" i="6"/>
  <c r="F466" i="6"/>
  <c r="C469" i="6"/>
  <c r="D470" i="6"/>
  <c r="C467" i="6"/>
  <c r="D467" i="6"/>
  <c r="G467" i="6"/>
  <c r="I451" i="6"/>
  <c r="C172" i="4"/>
  <c r="C173" i="4" s="1" a="1"/>
  <c r="C144" i="5"/>
  <c r="D147" i="5"/>
  <c r="D148" i="5"/>
  <c r="C146" i="5"/>
  <c r="D146" i="5"/>
  <c r="C465" i="6" l="1"/>
  <c r="F465" i="6"/>
  <c r="G465" i="6"/>
  <c r="G466" i="6"/>
  <c r="C470" i="6"/>
  <c r="D469" i="6"/>
  <c r="F467" i="6"/>
  <c r="C472" i="6" a="1"/>
  <c r="C472" i="6" s="1"/>
  <c r="C477" i="6" s="1" a="1"/>
  <c r="C477" i="6" s="1"/>
  <c r="C478" i="6" s="1" a="1"/>
  <c r="D465" i="6"/>
  <c r="C176" i="4"/>
  <c r="F175" i="4"/>
  <c r="C175" i="4"/>
  <c r="E174" i="4"/>
  <c r="D179" i="4"/>
  <c r="C178" i="4"/>
  <c r="C173" i="4"/>
  <c r="D175" i="4"/>
  <c r="G176" i="4"/>
  <c r="C145" i="5"/>
  <c r="D145" i="5"/>
  <c r="E145" i="5"/>
  <c r="C148" i="5"/>
  <c r="E146" i="5"/>
  <c r="C147" i="5"/>
  <c r="D484" i="6" l="1"/>
  <c r="C478" i="6"/>
  <c r="D481" i="6"/>
  <c r="D479" i="6"/>
  <c r="F480" i="6"/>
  <c r="C481" i="6"/>
  <c r="E479" i="6"/>
  <c r="C480" i="6"/>
  <c r="D480" i="6"/>
  <c r="C483" i="6"/>
  <c r="G481" i="6"/>
  <c r="I465" i="6"/>
  <c r="G175" i="4"/>
  <c r="C179" i="4"/>
  <c r="D178" i="4"/>
  <c r="C174" i="4"/>
  <c r="F174" i="4"/>
  <c r="G174" i="4"/>
  <c r="F176" i="4"/>
  <c r="D174" i="4"/>
  <c r="D176" i="4"/>
  <c r="C149" i="5" a="1"/>
  <c r="C149" i="5" s="1"/>
  <c r="G145" i="5"/>
  <c r="C150" i="5" s="1"/>
  <c r="C151" i="5" s="1" a="1"/>
  <c r="C479" i="6" l="1"/>
  <c r="F479" i="6"/>
  <c r="G479" i="6"/>
  <c r="G480" i="6"/>
  <c r="C486" i="6" s="1" a="1"/>
  <c r="C486" i="6" s="1"/>
  <c r="C491" i="6" s="1" a="1"/>
  <c r="C491" i="6" s="1"/>
  <c r="C492" i="6" s="1" a="1"/>
  <c r="D483" i="6"/>
  <c r="C484" i="6"/>
  <c r="F481" i="6"/>
  <c r="C180" i="4" a="1"/>
  <c r="C180" i="4" s="1"/>
  <c r="J174" i="4"/>
  <c r="C181" i="4" s="1"/>
  <c r="C182" i="4" s="1" a="1"/>
  <c r="C151" i="5"/>
  <c r="D155" i="5"/>
  <c r="C153" i="5"/>
  <c r="D153" i="5"/>
  <c r="D154" i="5"/>
  <c r="D498" i="6" l="1"/>
  <c r="D494" i="6"/>
  <c r="C494" i="6"/>
  <c r="E493" i="6"/>
  <c r="C495" i="6"/>
  <c r="F494" i="6"/>
  <c r="C497" i="6"/>
  <c r="D495" i="6"/>
  <c r="G495" i="6"/>
  <c r="C492" i="6"/>
  <c r="I479" i="6"/>
  <c r="C184" i="4"/>
  <c r="D184" i="4"/>
  <c r="F184" i="4"/>
  <c r="E183" i="4"/>
  <c r="G185" i="4"/>
  <c r="D188" i="4"/>
  <c r="C185" i="4"/>
  <c r="C187" i="4"/>
  <c r="C182" i="4"/>
  <c r="D185" i="4"/>
  <c r="D152" i="5"/>
  <c r="E153" i="5"/>
  <c r="C154" i="5"/>
  <c r="C155" i="5"/>
  <c r="C152" i="5"/>
  <c r="E152" i="5"/>
  <c r="D497" i="6" l="1"/>
  <c r="C498" i="6"/>
  <c r="C493" i="6"/>
  <c r="F493" i="6"/>
  <c r="G493" i="6"/>
  <c r="G494" i="6"/>
  <c r="F495" i="6"/>
  <c r="D493" i="6"/>
  <c r="C500" i="6" a="1"/>
  <c r="C500" i="6" s="1"/>
  <c r="C505" i="6" s="1" a="1"/>
  <c r="C505" i="6" s="1"/>
  <c r="C506" i="6" s="1" a="1"/>
  <c r="D187" i="4"/>
  <c r="F185" i="4"/>
  <c r="C188" i="4"/>
  <c r="G184" i="4"/>
  <c r="F183" i="4"/>
  <c r="G183" i="4"/>
  <c r="C183" i="4"/>
  <c r="D183" i="4"/>
  <c r="C156" i="5" a="1"/>
  <c r="C156" i="5" s="1"/>
  <c r="G152" i="5"/>
  <c r="C157" i="5" s="1"/>
  <c r="C158" i="5" s="1" a="1"/>
  <c r="C511" i="6" l="1"/>
  <c r="E507" i="6"/>
  <c r="C506" i="6"/>
  <c r="C508" i="6"/>
  <c r="F508" i="6"/>
  <c r="D507" i="6"/>
  <c r="D508" i="6"/>
  <c r="C509" i="6"/>
  <c r="D512" i="6"/>
  <c r="D509" i="6"/>
  <c r="G509" i="6"/>
  <c r="I493" i="6"/>
  <c r="J183" i="4"/>
  <c r="C189" i="4" a="1"/>
  <c r="C189" i="4" s="1"/>
  <c r="C160" i="5"/>
  <c r="D160" i="5"/>
  <c r="D162" i="5"/>
  <c r="C158" i="5"/>
  <c r="D161" i="5"/>
  <c r="D511" i="6" l="1"/>
  <c r="F507" i="6"/>
  <c r="C507" i="6"/>
  <c r="I507" i="6" s="1"/>
  <c r="G507" i="6"/>
  <c r="G508" i="6"/>
  <c r="C514" i="6" s="1" a="1"/>
  <c r="C514" i="6" s="1"/>
  <c r="C519" i="6" s="1" a="1"/>
  <c r="C519" i="6" s="1"/>
  <c r="C520" i="6" s="1" a="1"/>
  <c r="C512" i="6"/>
  <c r="F509" i="6"/>
  <c r="C190" i="4"/>
  <c r="C191" i="4" s="1" a="1"/>
  <c r="D159" i="5"/>
  <c r="E159" i="5"/>
  <c r="E160" i="5"/>
  <c r="C161" i="5"/>
  <c r="C159" i="5"/>
  <c r="C162" i="5"/>
  <c r="G523" i="6" l="1"/>
  <c r="E521" i="6"/>
  <c r="C522" i="6"/>
  <c r="D522" i="6"/>
  <c r="F522" i="6"/>
  <c r="C525" i="6"/>
  <c r="C520" i="6"/>
  <c r="D526" i="6"/>
  <c r="C523" i="6"/>
  <c r="E192" i="4"/>
  <c r="C193" i="4"/>
  <c r="D193" i="4"/>
  <c r="G194" i="4"/>
  <c r="C191" i="4"/>
  <c r="C196" i="4"/>
  <c r="D192" i="4"/>
  <c r="D197" i="4"/>
  <c r="F193" i="4"/>
  <c r="C194" i="4"/>
  <c r="D194" i="4"/>
  <c r="C163" i="5" a="1"/>
  <c r="C163" i="5" s="1"/>
  <c r="G159" i="5"/>
  <c r="C164" i="5" s="1"/>
  <c r="C165" i="5" s="1" a="1"/>
  <c r="F523" i="6" l="1"/>
  <c r="C521" i="6"/>
  <c r="G522" i="6"/>
  <c r="F521" i="6"/>
  <c r="G521" i="6"/>
  <c r="D525" i="6"/>
  <c r="C526" i="6"/>
  <c r="C528" i="6" a="1"/>
  <c r="C528" i="6" s="1"/>
  <c r="C533" i="6" s="1" a="1"/>
  <c r="C533" i="6" s="1"/>
  <c r="C534" i="6" s="1" a="1"/>
  <c r="D521" i="6"/>
  <c r="D523" i="6"/>
  <c r="F192" i="4"/>
  <c r="D196" i="4"/>
  <c r="C197" i="4"/>
  <c r="F194" i="4"/>
  <c r="C192" i="4"/>
  <c r="G192" i="4"/>
  <c r="G193" i="4"/>
  <c r="C167" i="5"/>
  <c r="D167" i="5"/>
  <c r="D168" i="5"/>
  <c r="C165" i="5"/>
  <c r="D169" i="5"/>
  <c r="D536" i="6" l="1"/>
  <c r="F536" i="6"/>
  <c r="C537" i="6"/>
  <c r="C536" i="6"/>
  <c r="C534" i="6"/>
  <c r="D535" i="6"/>
  <c r="E535" i="6"/>
  <c r="C539" i="6"/>
  <c r="G537" i="6"/>
  <c r="D540" i="6"/>
  <c r="I521" i="6"/>
  <c r="J192" i="4"/>
  <c r="C198" i="4" a="1"/>
  <c r="C198" i="4" s="1"/>
  <c r="E166" i="5"/>
  <c r="D166" i="5"/>
  <c r="E167" i="5"/>
  <c r="C168" i="5"/>
  <c r="C166" i="5"/>
  <c r="C169" i="5"/>
  <c r="G536" i="6" l="1"/>
  <c r="G535" i="6"/>
  <c r="C535" i="6"/>
  <c r="I535" i="6" s="1"/>
  <c r="F535" i="6"/>
  <c r="D539" i="6"/>
  <c r="F537" i="6"/>
  <c r="C540" i="6"/>
  <c r="D537" i="6"/>
  <c r="C542" i="6" s="1" a="1"/>
  <c r="C542" i="6" s="1"/>
  <c r="C547" i="6" s="1" a="1"/>
  <c r="C547" i="6" s="1"/>
  <c r="C548" i="6" s="1" a="1"/>
  <c r="C199" i="4"/>
  <c r="C200" i="4" s="1" a="1"/>
  <c r="C170" i="5" a="1"/>
  <c r="C170" i="5" s="1"/>
  <c r="G166" i="5"/>
  <c r="E549" i="6" l="1"/>
  <c r="C550" i="6"/>
  <c r="D550" i="6"/>
  <c r="F550" i="6"/>
  <c r="C548" i="6"/>
  <c r="D549" i="6"/>
  <c r="C551" i="6"/>
  <c r="C553" i="6"/>
  <c r="G551" i="6"/>
  <c r="D554" i="6"/>
  <c r="C200" i="4"/>
  <c r="D206" i="4"/>
  <c r="D201" i="4"/>
  <c r="C205" i="4"/>
  <c r="E201" i="4"/>
  <c r="G203" i="4"/>
  <c r="F202" i="4"/>
  <c r="C203" i="4"/>
  <c r="C202" i="4"/>
  <c r="D202" i="4"/>
  <c r="D203" i="4"/>
  <c r="C171" i="5"/>
  <c r="C172" i="5" s="1" a="1"/>
  <c r="F549" i="6" l="1"/>
  <c r="G549" i="6"/>
  <c r="C549" i="6"/>
  <c r="I549" i="6" s="1"/>
  <c r="F551" i="6"/>
  <c r="G550" i="6"/>
  <c r="D553" i="6"/>
  <c r="C554" i="6"/>
  <c r="D551" i="6"/>
  <c r="C556" i="6" a="1"/>
  <c r="C556" i="6" s="1"/>
  <c r="C561" i="6" s="1" a="1"/>
  <c r="C561" i="6" s="1"/>
  <c r="C562" i="6" s="1" a="1"/>
  <c r="G201" i="4"/>
  <c r="D205" i="4"/>
  <c r="C201" i="4"/>
  <c r="F201" i="4"/>
  <c r="F203" i="4"/>
  <c r="G202" i="4"/>
  <c r="C206" i="4"/>
  <c r="C174" i="5"/>
  <c r="D174" i="5"/>
  <c r="D175" i="5"/>
  <c r="D176" i="5"/>
  <c r="C172" i="5"/>
  <c r="C562" i="6" l="1"/>
  <c r="E563" i="6"/>
  <c r="D563" i="6"/>
  <c r="G565" i="6"/>
  <c r="D565" i="6"/>
  <c r="C564" i="6"/>
  <c r="D564" i="6"/>
  <c r="C565" i="6"/>
  <c r="F564" i="6"/>
  <c r="D568" i="6"/>
  <c r="C567" i="6"/>
  <c r="C207" i="4" a="1"/>
  <c r="C207" i="4" s="1"/>
  <c r="J201" i="4"/>
  <c r="C208" i="4" s="1"/>
  <c r="C209" i="4" s="1" a="1"/>
  <c r="C176" i="5"/>
  <c r="C175" i="5"/>
  <c r="E174" i="5"/>
  <c r="C173" i="5"/>
  <c r="D173" i="5"/>
  <c r="E173" i="5"/>
  <c r="C563" i="6" l="1"/>
  <c r="F565" i="6"/>
  <c r="G564" i="6"/>
  <c r="C570" i="6" s="1" a="1"/>
  <c r="C570" i="6" s="1"/>
  <c r="C575" i="6" s="1" a="1"/>
  <c r="C575" i="6" s="1"/>
  <c r="C576" i="6" s="1" a="1"/>
  <c r="C568" i="6"/>
  <c r="G563" i="6"/>
  <c r="F563" i="6"/>
  <c r="D567" i="6"/>
  <c r="D215" i="4"/>
  <c r="E210" i="4"/>
  <c r="C214" i="4"/>
  <c r="D211" i="4"/>
  <c r="F211" i="4"/>
  <c r="C209" i="4"/>
  <c r="C211" i="4"/>
  <c r="D212" i="4"/>
  <c r="C212" i="4"/>
  <c r="G212" i="4"/>
  <c r="C177" i="5" a="1"/>
  <c r="C177" i="5" s="1"/>
  <c r="G173" i="5"/>
  <c r="C178" i="5" s="1"/>
  <c r="C179" i="5" s="1" a="1"/>
  <c r="D582" i="6" l="1"/>
  <c r="F578" i="6"/>
  <c r="C578" i="6"/>
  <c r="D578" i="6"/>
  <c r="C579" i="6"/>
  <c r="G579" i="6"/>
  <c r="C581" i="6"/>
  <c r="C576" i="6"/>
  <c r="E577" i="6"/>
  <c r="I563" i="6"/>
  <c r="C215" i="4"/>
  <c r="C210" i="4"/>
  <c r="G210" i="4"/>
  <c r="F212" i="4"/>
  <c r="F210" i="4"/>
  <c r="G211" i="4"/>
  <c r="D214" i="4"/>
  <c r="D210" i="4"/>
  <c r="D183" i="5"/>
  <c r="C181" i="5"/>
  <c r="D182" i="5"/>
  <c r="C179" i="5"/>
  <c r="D181" i="5"/>
  <c r="C582" i="6" l="1"/>
  <c r="G578" i="6"/>
  <c r="F579" i="6"/>
  <c r="D581" i="6"/>
  <c r="C577" i="6"/>
  <c r="F577" i="6"/>
  <c r="G577" i="6"/>
  <c r="D577" i="6"/>
  <c r="D579" i="6"/>
  <c r="C584" i="6" a="1"/>
  <c r="C584" i="6" s="1"/>
  <c r="C589" i="6" s="1" a="1"/>
  <c r="C589" i="6" s="1"/>
  <c r="C590" i="6" s="1" a="1"/>
  <c r="J210" i="4"/>
  <c r="C216" i="4" a="1"/>
  <c r="C216" i="4" s="1"/>
  <c r="C183" i="5"/>
  <c r="C180" i="5"/>
  <c r="D180" i="5"/>
  <c r="E180" i="5"/>
  <c r="E181" i="5"/>
  <c r="C182" i="5"/>
  <c r="C595" i="6" l="1"/>
  <c r="D592" i="6"/>
  <c r="G593" i="6"/>
  <c r="F592" i="6"/>
  <c r="C593" i="6"/>
  <c r="D596" i="6"/>
  <c r="C590" i="6"/>
  <c r="D591" i="6"/>
  <c r="E591" i="6"/>
  <c r="C592" i="6"/>
  <c r="I577" i="6"/>
  <c r="C217" i="4"/>
  <c r="C218" i="4" s="1" a="1"/>
  <c r="C184" i="5" a="1"/>
  <c r="C184" i="5" s="1"/>
  <c r="G180" i="5"/>
  <c r="D595" i="6" l="1"/>
  <c r="G591" i="6"/>
  <c r="G592" i="6"/>
  <c r="F593" i="6"/>
  <c r="C596" i="6"/>
  <c r="C591" i="6"/>
  <c r="F591" i="6"/>
  <c r="D593" i="6"/>
  <c r="C598" i="6" s="1" a="1"/>
  <c r="C598" i="6" s="1"/>
  <c r="C603" i="6" s="1" a="1"/>
  <c r="C603" i="6" s="1"/>
  <c r="C604" i="6" s="1" a="1"/>
  <c r="C218" i="4"/>
  <c r="C223" i="4"/>
  <c r="D220" i="4"/>
  <c r="C221" i="4"/>
  <c r="D221" i="4"/>
  <c r="D219" i="4"/>
  <c r="E219" i="4"/>
  <c r="D224" i="4"/>
  <c r="C220" i="4"/>
  <c r="F220" i="4"/>
  <c r="G221" i="4"/>
  <c r="C185" i="5"/>
  <c r="C186" i="5" s="1" a="1"/>
  <c r="G607" i="6" l="1"/>
  <c r="C604" i="6"/>
  <c r="C606" i="6"/>
  <c r="D606" i="6"/>
  <c r="C607" i="6"/>
  <c r="F606" i="6"/>
  <c r="D607" i="6"/>
  <c r="D610" i="6"/>
  <c r="C609" i="6"/>
  <c r="D605" i="6"/>
  <c r="E605" i="6"/>
  <c r="I591" i="6"/>
  <c r="D223" i="4"/>
  <c r="C219" i="4"/>
  <c r="G219" i="4"/>
  <c r="G220" i="4"/>
  <c r="C224" i="4"/>
  <c r="F219" i="4"/>
  <c r="F221" i="4"/>
  <c r="D189" i="5"/>
  <c r="D188" i="5"/>
  <c r="C186" i="5"/>
  <c r="C188" i="5"/>
  <c r="D190" i="5"/>
  <c r="F607" i="6" l="1"/>
  <c r="C605" i="6"/>
  <c r="G606" i="6"/>
  <c r="C612" i="6" s="1" a="1"/>
  <c r="C612" i="6" s="1"/>
  <c r="C617" i="6" s="1" a="1"/>
  <c r="C617" i="6" s="1"/>
  <c r="C618" i="6" s="1" a="1"/>
  <c r="C610" i="6"/>
  <c r="D609" i="6"/>
  <c r="F605" i="6"/>
  <c r="G605" i="6"/>
  <c r="C225" i="4" a="1"/>
  <c r="C225" i="4" s="1"/>
  <c r="J219" i="4"/>
  <c r="C226" i="4" s="1"/>
  <c r="C227" i="4" s="1" a="1"/>
  <c r="E188" i="5"/>
  <c r="C187" i="5"/>
  <c r="D187" i="5"/>
  <c r="E187" i="5"/>
  <c r="C189" i="5"/>
  <c r="C190" i="5"/>
  <c r="F620" i="6" l="1"/>
  <c r="C621" i="6"/>
  <c r="D624" i="6"/>
  <c r="G621" i="6"/>
  <c r="C620" i="6"/>
  <c r="D620" i="6"/>
  <c r="E619" i="6"/>
  <c r="C618" i="6"/>
  <c r="C623" i="6"/>
  <c r="I605" i="6"/>
  <c r="C229" i="4"/>
  <c r="F229" i="4"/>
  <c r="G230" i="4"/>
  <c r="C227" i="4"/>
  <c r="D233" i="4"/>
  <c r="C230" i="4"/>
  <c r="D228" i="4"/>
  <c r="E228" i="4"/>
  <c r="D229" i="4"/>
  <c r="C232" i="4"/>
  <c r="C191" i="5" a="1"/>
  <c r="C191" i="5" s="1"/>
  <c r="G187" i="5"/>
  <c r="C192" i="5" s="1"/>
  <c r="C193" i="5" s="1" a="1"/>
  <c r="G620" i="6" l="1"/>
  <c r="C626" i="6" s="1" a="1"/>
  <c r="C626" i="6" s="1"/>
  <c r="C631" i="6" s="1" a="1"/>
  <c r="C631" i="6" s="1"/>
  <c r="C632" i="6" s="1" a="1"/>
  <c r="F621" i="6"/>
  <c r="C624" i="6"/>
  <c r="F619" i="6"/>
  <c r="G619" i="6"/>
  <c r="C619" i="6"/>
  <c r="D623" i="6"/>
  <c r="D619" i="6"/>
  <c r="D621" i="6"/>
  <c r="C228" i="4"/>
  <c r="F230" i="4"/>
  <c r="G229" i="4"/>
  <c r="F228" i="4"/>
  <c r="G228" i="4"/>
  <c r="D232" i="4"/>
  <c r="C233" i="4"/>
  <c r="D230" i="4"/>
  <c r="D196" i="5"/>
  <c r="D195" i="5"/>
  <c r="C195" i="5"/>
  <c r="C193" i="5"/>
  <c r="D197" i="5"/>
  <c r="C634" i="6" l="1"/>
  <c r="D634" i="6"/>
  <c r="F634" i="6"/>
  <c r="C637" i="6"/>
  <c r="G635" i="6"/>
  <c r="C635" i="6"/>
  <c r="C632" i="6"/>
  <c r="D635" i="6" s="1"/>
  <c r="D633" i="6"/>
  <c r="E633" i="6"/>
  <c r="D638" i="6"/>
  <c r="I619" i="6"/>
  <c r="C234" i="4" a="1"/>
  <c r="C234" i="4" s="1"/>
  <c r="J228" i="4"/>
  <c r="C235" i="4" s="1"/>
  <c r="C236" i="4" s="1" a="1"/>
  <c r="C197" i="5"/>
  <c r="E194" i="5"/>
  <c r="C194" i="5"/>
  <c r="C196" i="5"/>
  <c r="D194" i="5"/>
  <c r="E195" i="5"/>
  <c r="G633" i="6" l="1"/>
  <c r="D637" i="6"/>
  <c r="F635" i="6"/>
  <c r="G634" i="6"/>
  <c r="F633" i="6"/>
  <c r="C638" i="6"/>
  <c r="C633" i="6"/>
  <c r="I633" i="6" s="1"/>
  <c r="C640" i="6" a="1"/>
  <c r="C640" i="6" s="1"/>
  <c r="C645" i="6" s="1" a="1"/>
  <c r="C645" i="6" s="1"/>
  <c r="C646" i="6" s="1" a="1"/>
  <c r="G239" i="4"/>
  <c r="D242" i="4"/>
  <c r="E237" i="4"/>
  <c r="F238" i="4"/>
  <c r="C238" i="4"/>
  <c r="D238" i="4"/>
  <c r="C236" i="4"/>
  <c r="C239" i="4"/>
  <c r="D239" i="4"/>
  <c r="C241" i="4"/>
  <c r="D237" i="4"/>
  <c r="C198" i="5" a="1"/>
  <c r="C198" i="5" s="1"/>
  <c r="G194" i="5"/>
  <c r="C199" i="5" s="1"/>
  <c r="C200" i="5" s="1" a="1"/>
  <c r="C646" i="6" l="1"/>
  <c r="D647" i="6"/>
  <c r="E647" i="6"/>
  <c r="G649" i="6"/>
  <c r="C651" i="6"/>
  <c r="D652" i="6"/>
  <c r="C648" i="6"/>
  <c r="D648" i="6"/>
  <c r="F648" i="6"/>
  <c r="C649" i="6"/>
  <c r="D649" i="6"/>
  <c r="F239" i="4"/>
  <c r="C242" i="4"/>
  <c r="C237" i="4"/>
  <c r="D241" i="4"/>
  <c r="G238" i="4"/>
  <c r="F237" i="4"/>
  <c r="G237" i="4"/>
  <c r="D203" i="5"/>
  <c r="D204" i="5"/>
  <c r="C200" i="5"/>
  <c r="C202" i="5"/>
  <c r="D202" i="5"/>
  <c r="G647" i="6" l="1"/>
  <c r="C647" i="6"/>
  <c r="F647" i="6"/>
  <c r="D651" i="6"/>
  <c r="C652" i="6"/>
  <c r="G648" i="6"/>
  <c r="C654" i="6" s="1" a="1"/>
  <c r="C654" i="6" s="1"/>
  <c r="C659" i="6" s="1" a="1"/>
  <c r="C659" i="6" s="1"/>
  <c r="C660" i="6" s="1" a="1"/>
  <c r="F649" i="6"/>
  <c r="C243" i="4" a="1"/>
  <c r="C243" i="4" s="1"/>
  <c r="J237" i="4"/>
  <c r="C244" i="4" s="1"/>
  <c r="C245" i="4" s="1" a="1"/>
  <c r="E202" i="5"/>
  <c r="C203" i="5"/>
  <c r="C204" i="5"/>
  <c r="C201" i="5"/>
  <c r="D201" i="5"/>
  <c r="E201" i="5"/>
  <c r="D666" i="6" l="1"/>
  <c r="C660" i="6"/>
  <c r="C663" i="6"/>
  <c r="D663" i="6"/>
  <c r="C665" i="6"/>
  <c r="D661" i="6"/>
  <c r="E661" i="6"/>
  <c r="G663" i="6"/>
  <c r="C662" i="6"/>
  <c r="D662" i="6"/>
  <c r="F662" i="6"/>
  <c r="I647" i="6"/>
  <c r="C248" i="4"/>
  <c r="E246" i="4"/>
  <c r="F247" i="4"/>
  <c r="C250" i="4"/>
  <c r="C245" i="4"/>
  <c r="D246" i="4"/>
  <c r="D251" i="4"/>
  <c r="G248" i="4"/>
  <c r="C247" i="4"/>
  <c r="D247" i="4"/>
  <c r="C205" i="5" a="1"/>
  <c r="C205" i="5" s="1"/>
  <c r="G201" i="5"/>
  <c r="C206" i="5" s="1"/>
  <c r="C207" i="5" s="1" a="1"/>
  <c r="C666" i="6" l="1"/>
  <c r="D665" i="6"/>
  <c r="F661" i="6"/>
  <c r="G661" i="6"/>
  <c r="C661" i="6"/>
  <c r="I661" i="6" s="1"/>
  <c r="F663" i="6"/>
  <c r="G662" i="6"/>
  <c r="C668" i="6" s="1" a="1"/>
  <c r="C668" i="6" s="1"/>
  <c r="C673" i="6" s="1" a="1"/>
  <c r="C673" i="6" s="1"/>
  <c r="C674" i="6" s="1" a="1"/>
  <c r="G247" i="4"/>
  <c r="D250" i="4"/>
  <c r="F246" i="4"/>
  <c r="G246" i="4"/>
  <c r="C246" i="4"/>
  <c r="F248" i="4"/>
  <c r="C251" i="4"/>
  <c r="D248" i="4"/>
  <c r="D210" i="5"/>
  <c r="C207" i="5"/>
  <c r="D211" i="5"/>
  <c r="C209" i="5"/>
  <c r="D209" i="5"/>
  <c r="C679" i="6" l="1"/>
  <c r="C676" i="6"/>
  <c r="D676" i="6"/>
  <c r="D680" i="6"/>
  <c r="E675" i="6"/>
  <c r="F676" i="6"/>
  <c r="C674" i="6"/>
  <c r="C677" i="6"/>
  <c r="D677" i="6"/>
  <c r="G677" i="6"/>
  <c r="J246" i="4"/>
  <c r="C252" i="4" a="1"/>
  <c r="C252" i="4" s="1"/>
  <c r="E209" i="5"/>
  <c r="C210" i="5"/>
  <c r="C208" i="5"/>
  <c r="D208" i="5"/>
  <c r="C211" i="5"/>
  <c r="E208" i="5"/>
  <c r="D679" i="6" l="1"/>
  <c r="C680" i="6"/>
  <c r="F675" i="6"/>
  <c r="G675" i="6"/>
  <c r="G676" i="6"/>
  <c r="C675" i="6"/>
  <c r="F677" i="6"/>
  <c r="D675" i="6"/>
  <c r="C682" i="6" a="1"/>
  <c r="C682" i="6" s="1"/>
  <c r="C687" i="6" s="1" a="1"/>
  <c r="C687" i="6" s="1"/>
  <c r="C688" i="6" s="1" a="1"/>
  <c r="C253" i="4"/>
  <c r="C254" i="4" s="1" a="1"/>
  <c r="C212" i="5" a="1"/>
  <c r="C212" i="5" s="1"/>
  <c r="G208" i="5"/>
  <c r="C213" i="5" s="1"/>
  <c r="C214" i="5" s="1" a="1"/>
  <c r="C693" i="6" l="1"/>
  <c r="E689" i="6"/>
  <c r="D694" i="6"/>
  <c r="C690" i="6"/>
  <c r="G691" i="6"/>
  <c r="C691" i="6"/>
  <c r="F690" i="6"/>
  <c r="C688" i="6"/>
  <c r="D691" i="6" s="1"/>
  <c r="D690" i="6"/>
  <c r="I675" i="6"/>
  <c r="C256" i="4"/>
  <c r="D256" i="4"/>
  <c r="C257" i="4"/>
  <c r="D260" i="4"/>
  <c r="E255" i="4"/>
  <c r="F256" i="4"/>
  <c r="C259" i="4"/>
  <c r="C254" i="4"/>
  <c r="D255" i="4"/>
  <c r="G257" i="4"/>
  <c r="C216" i="5"/>
  <c r="C214" i="5"/>
  <c r="D216" i="5"/>
  <c r="D217" i="5"/>
  <c r="D218" i="5"/>
  <c r="D693" i="6" l="1"/>
  <c r="C694" i="6"/>
  <c r="F689" i="6"/>
  <c r="G689" i="6"/>
  <c r="G690" i="6"/>
  <c r="F691" i="6"/>
  <c r="C689" i="6"/>
  <c r="C696" i="6" a="1"/>
  <c r="C696" i="6" s="1"/>
  <c r="C701" i="6" s="1" a="1"/>
  <c r="C701" i="6" s="1"/>
  <c r="C702" i="6" s="1" a="1"/>
  <c r="D689" i="6"/>
  <c r="D259" i="4"/>
  <c r="C255" i="4"/>
  <c r="G255" i="4"/>
  <c r="G256" i="4"/>
  <c r="F257" i="4"/>
  <c r="C260" i="4"/>
  <c r="F255" i="4"/>
  <c r="D257" i="4"/>
  <c r="C218" i="5"/>
  <c r="C215" i="5"/>
  <c r="D215" i="5"/>
  <c r="E215" i="5"/>
  <c r="E216" i="5"/>
  <c r="C217" i="5"/>
  <c r="C705" i="6" l="1"/>
  <c r="G705" i="6"/>
  <c r="C707" i="6"/>
  <c r="D708" i="6"/>
  <c r="E703" i="6"/>
  <c r="C702" i="6"/>
  <c r="F704" i="6"/>
  <c r="C704" i="6"/>
  <c r="D704" i="6"/>
  <c r="I689" i="6"/>
  <c r="J255" i="4"/>
  <c r="C261" i="4" a="1"/>
  <c r="C261" i="4" s="1"/>
  <c r="C219" i="5" a="1"/>
  <c r="C219" i="5" s="1"/>
  <c r="G215" i="5"/>
  <c r="C220" i="5" s="1"/>
  <c r="C221" i="5" s="1" a="1"/>
  <c r="F705" i="6" l="1"/>
  <c r="C708" i="6"/>
  <c r="D707" i="6"/>
  <c r="F703" i="6"/>
  <c r="G703" i="6"/>
  <c r="C703" i="6"/>
  <c r="G704" i="6"/>
  <c r="C710" i="6" s="1" a="1"/>
  <c r="C710" i="6" s="1"/>
  <c r="C715" i="6" s="1" a="1"/>
  <c r="C715" i="6" s="1"/>
  <c r="C716" i="6" s="1" a="1"/>
  <c r="D703" i="6"/>
  <c r="D705" i="6"/>
  <c r="C262" i="4"/>
  <c r="C263" i="4" s="1" a="1"/>
  <c r="C223" i="5"/>
  <c r="D223" i="5"/>
  <c r="D225" i="5"/>
  <c r="D224" i="5"/>
  <c r="C221" i="5"/>
  <c r="C718" i="6" l="1"/>
  <c r="C719" i="6"/>
  <c r="D718" i="6"/>
  <c r="F718" i="6"/>
  <c r="C721" i="6"/>
  <c r="D722" i="6"/>
  <c r="E717" i="6"/>
  <c r="D719" i="6"/>
  <c r="G719" i="6"/>
  <c r="C716" i="6"/>
  <c r="I703" i="6"/>
  <c r="E264" i="4"/>
  <c r="C268" i="4"/>
  <c r="G266" i="4"/>
  <c r="C263" i="4"/>
  <c r="C266" i="4"/>
  <c r="D269" i="4"/>
  <c r="F265" i="4"/>
  <c r="D266" i="4"/>
  <c r="D264" i="4"/>
  <c r="C265" i="4"/>
  <c r="D265" i="4"/>
  <c r="E223" i="5"/>
  <c r="D222" i="5"/>
  <c r="E222" i="5"/>
  <c r="C224" i="5"/>
  <c r="C225" i="5"/>
  <c r="C222" i="5"/>
  <c r="G718" i="6" l="1"/>
  <c r="D721" i="6"/>
  <c r="C722" i="6"/>
  <c r="C717" i="6"/>
  <c r="F717" i="6"/>
  <c r="F719" i="6"/>
  <c r="G717" i="6"/>
  <c r="D717" i="6"/>
  <c r="C724" i="6" a="1"/>
  <c r="C724" i="6" s="1"/>
  <c r="C729" i="6" s="1" a="1"/>
  <c r="C729" i="6" s="1"/>
  <c r="C730" i="6" s="1" a="1"/>
  <c r="F264" i="4"/>
  <c r="F266" i="4"/>
  <c r="C269" i="4"/>
  <c r="G265" i="4"/>
  <c r="D268" i="4"/>
  <c r="C264" i="4"/>
  <c r="G264" i="4"/>
  <c r="C226" i="5" a="1"/>
  <c r="C226" i="5" s="1"/>
  <c r="G222" i="5"/>
  <c r="C227" i="5" s="1"/>
  <c r="C228" i="5" s="1" a="1"/>
  <c r="E731" i="6" l="1"/>
  <c r="C732" i="6"/>
  <c r="C735" i="6"/>
  <c r="D736" i="6"/>
  <c r="D732" i="6"/>
  <c r="F732" i="6"/>
  <c r="C730" i="6"/>
  <c r="C733" i="6"/>
  <c r="D733" i="6"/>
  <c r="G733" i="6"/>
  <c r="I717" i="6"/>
  <c r="C270" i="4" a="1"/>
  <c r="C270" i="4" s="1"/>
  <c r="J264" i="4"/>
  <c r="C271" i="4" s="1"/>
  <c r="C272" i="4" s="1" a="1"/>
  <c r="D232" i="5"/>
  <c r="C228" i="5"/>
  <c r="C230" i="5"/>
  <c r="D230" i="5"/>
  <c r="D231" i="5"/>
  <c r="F731" i="6" l="1"/>
  <c r="G731" i="6"/>
  <c r="D735" i="6"/>
  <c r="C736" i="6"/>
  <c r="C731" i="6"/>
  <c r="G732" i="6"/>
  <c r="F733" i="6"/>
  <c r="C738" i="6" a="1"/>
  <c r="C738" i="6" s="1"/>
  <c r="C743" i="6" s="1" a="1"/>
  <c r="C743" i="6" s="1"/>
  <c r="C744" i="6" s="1" a="1"/>
  <c r="D731" i="6"/>
  <c r="C272" i="4"/>
  <c r="D275" i="4"/>
  <c r="G275" i="4"/>
  <c r="C274" i="4"/>
  <c r="D274" i="4"/>
  <c r="C277" i="4"/>
  <c r="E273" i="4"/>
  <c r="F274" i="4"/>
  <c r="D278" i="4"/>
  <c r="D273" i="4"/>
  <c r="C275" i="4"/>
  <c r="D229" i="5"/>
  <c r="E230" i="5"/>
  <c r="C231" i="5"/>
  <c r="C229" i="5"/>
  <c r="C232" i="5"/>
  <c r="E229" i="5"/>
  <c r="C744" i="6" l="1"/>
  <c r="D745" i="6"/>
  <c r="D750" i="6"/>
  <c r="D746" i="6"/>
  <c r="F746" i="6"/>
  <c r="D747" i="6"/>
  <c r="C749" i="6"/>
  <c r="G747" i="6"/>
  <c r="E745" i="6"/>
  <c r="C746" i="6"/>
  <c r="C747" i="6"/>
  <c r="I731" i="6"/>
  <c r="F275" i="4"/>
  <c r="C273" i="4"/>
  <c r="D277" i="4"/>
  <c r="F273" i="4"/>
  <c r="G273" i="4"/>
  <c r="G274" i="4"/>
  <c r="C278" i="4"/>
  <c r="C233" i="5" a="1"/>
  <c r="C233" i="5" s="1"/>
  <c r="G229" i="5"/>
  <c r="C745" i="6" l="1"/>
  <c r="F747" i="6"/>
  <c r="C750" i="6"/>
  <c r="G746" i="6"/>
  <c r="C752" i="6" s="1" a="1"/>
  <c r="C752" i="6" s="1"/>
  <c r="C757" i="6" s="1" a="1"/>
  <c r="C757" i="6" s="1"/>
  <c r="C758" i="6" s="1" a="1"/>
  <c r="D749" i="6"/>
  <c r="G745" i="6"/>
  <c r="F745" i="6"/>
  <c r="C279" i="4" a="1"/>
  <c r="C279" i="4" s="1"/>
  <c r="J273" i="4"/>
  <c r="C280" i="4" s="1"/>
  <c r="C281" i="4" s="1" a="1"/>
  <c r="C234" i="5"/>
  <c r="C235" i="5" s="1" a="1"/>
  <c r="D764" i="6" l="1"/>
  <c r="F760" i="6"/>
  <c r="C758" i="6"/>
  <c r="C760" i="6"/>
  <c r="D760" i="6"/>
  <c r="C763" i="6"/>
  <c r="D759" i="6"/>
  <c r="E759" i="6"/>
  <c r="G761" i="6"/>
  <c r="C761" i="6"/>
  <c r="D761" i="6"/>
  <c r="I745" i="6"/>
  <c r="D287" i="4"/>
  <c r="G284" i="4"/>
  <c r="C284" i="4"/>
  <c r="F283" i="4"/>
  <c r="C281" i="4"/>
  <c r="C286" i="4"/>
  <c r="D282" i="4"/>
  <c r="E282" i="4"/>
  <c r="C283" i="4"/>
  <c r="D283" i="4"/>
  <c r="C237" i="5"/>
  <c r="D239" i="5"/>
  <c r="C235" i="5"/>
  <c r="D237" i="5"/>
  <c r="D238" i="5"/>
  <c r="C764" i="6" l="1"/>
  <c r="D763" i="6"/>
  <c r="G760" i="6"/>
  <c r="C766" i="6" s="1" a="1"/>
  <c r="C766" i="6" s="1"/>
  <c r="C771" i="6" s="1" a="1"/>
  <c r="C771" i="6" s="1"/>
  <c r="C772" i="6" s="1" a="1"/>
  <c r="F759" i="6"/>
  <c r="G759" i="6"/>
  <c r="C759" i="6"/>
  <c r="I759" i="6" s="1"/>
  <c r="F761" i="6"/>
  <c r="C287" i="4"/>
  <c r="G283" i="4"/>
  <c r="F284" i="4"/>
  <c r="D286" i="4"/>
  <c r="C282" i="4"/>
  <c r="F282" i="4"/>
  <c r="G282" i="4"/>
  <c r="D284" i="4"/>
  <c r="D236" i="5"/>
  <c r="E236" i="5"/>
  <c r="C239" i="5"/>
  <c r="C236" i="5"/>
  <c r="C238" i="5"/>
  <c r="E237" i="5"/>
  <c r="C777" i="6" l="1"/>
  <c r="D778" i="6"/>
  <c r="C774" i="6"/>
  <c r="D774" i="6"/>
  <c r="F774" i="6"/>
  <c r="G775" i="6"/>
  <c r="C772" i="6"/>
  <c r="D775" i="6" s="1"/>
  <c r="D773" i="6"/>
  <c r="E773" i="6"/>
  <c r="C775" i="6"/>
  <c r="J282" i="4"/>
  <c r="C288" i="4" a="1"/>
  <c r="C288" i="4" s="1"/>
  <c r="C240" i="5" a="1"/>
  <c r="C240" i="5" s="1"/>
  <c r="G236" i="5"/>
  <c r="C241" i="5" s="1"/>
  <c r="C242" i="5" s="1" a="1"/>
  <c r="D777" i="6" l="1"/>
  <c r="F773" i="6"/>
  <c r="G773" i="6"/>
  <c r="C778" i="6"/>
  <c r="F775" i="6"/>
  <c r="C773" i="6"/>
  <c r="I773" i="6" s="1"/>
  <c r="G774" i="6"/>
  <c r="C780" i="6" a="1"/>
  <c r="C780" i="6" s="1"/>
  <c r="C785" i="6" s="1" a="1"/>
  <c r="C785" i="6" s="1"/>
  <c r="C786" i="6" s="1" a="1"/>
  <c r="C289" i="4"/>
  <c r="C290" i="4" s="1" a="1"/>
  <c r="C242" i="5"/>
  <c r="D246" i="5"/>
  <c r="C244" i="5"/>
  <c r="D244" i="5"/>
  <c r="D245" i="5"/>
  <c r="G789" i="6" l="1"/>
  <c r="C786" i="6"/>
  <c r="D792" i="6"/>
  <c r="C788" i="6"/>
  <c r="D788" i="6"/>
  <c r="E787" i="6"/>
  <c r="D787" i="6"/>
  <c r="F788" i="6"/>
  <c r="C791" i="6"/>
  <c r="D789" i="6"/>
  <c r="C789" i="6"/>
  <c r="C295" i="4"/>
  <c r="C290" i="4"/>
  <c r="C292" i="4"/>
  <c r="D292" i="4"/>
  <c r="G293" i="4"/>
  <c r="F292" i="4"/>
  <c r="C293" i="4"/>
  <c r="D293" i="4"/>
  <c r="D296" i="4"/>
  <c r="D291" i="4"/>
  <c r="E291" i="4"/>
  <c r="C246" i="5"/>
  <c r="D243" i="5"/>
  <c r="E243" i="5"/>
  <c r="C245" i="5"/>
  <c r="C243" i="5"/>
  <c r="E244" i="5"/>
  <c r="F789" i="6" l="1"/>
  <c r="D791" i="6"/>
  <c r="C792" i="6"/>
  <c r="C787" i="6"/>
  <c r="G787" i="6"/>
  <c r="F787" i="6"/>
  <c r="G788" i="6"/>
  <c r="C794" i="6" s="1" a="1"/>
  <c r="C794" i="6" s="1"/>
  <c r="C799" i="6" s="1" a="1"/>
  <c r="C799" i="6" s="1"/>
  <c r="C800" i="6" s="1" a="1"/>
  <c r="D295" i="4"/>
  <c r="F293" i="4"/>
  <c r="G292" i="4"/>
  <c r="C291" i="4"/>
  <c r="G291" i="4"/>
  <c r="C296" i="4"/>
  <c r="F291" i="4"/>
  <c r="C247" i="5" a="1"/>
  <c r="C247" i="5" s="1"/>
  <c r="G243" i="5"/>
  <c r="C248" i="5" s="1"/>
  <c r="C249" i="5" s="1" a="1"/>
  <c r="F802" i="6" l="1"/>
  <c r="C803" i="6"/>
  <c r="D806" i="6"/>
  <c r="C802" i="6"/>
  <c r="G803" i="6"/>
  <c r="D802" i="6"/>
  <c r="C805" i="6"/>
  <c r="E801" i="6"/>
  <c r="C800" i="6"/>
  <c r="D801" i="6"/>
  <c r="I787" i="6"/>
  <c r="J291" i="4"/>
  <c r="C297" i="4" a="1"/>
  <c r="C297" i="4" s="1"/>
  <c r="C249" i="5"/>
  <c r="D252" i="5"/>
  <c r="C251" i="5"/>
  <c r="D251" i="5"/>
  <c r="D253" i="5"/>
  <c r="G802" i="6" l="1"/>
  <c r="C806" i="6"/>
  <c r="D805" i="6"/>
  <c r="F801" i="6"/>
  <c r="G801" i="6"/>
  <c r="F803" i="6"/>
  <c r="C801" i="6"/>
  <c r="I801" i="6" s="1"/>
  <c r="D803" i="6"/>
  <c r="C808" i="6" s="1" a="1"/>
  <c r="C808" i="6" s="1"/>
  <c r="C813" i="6" s="1" a="1"/>
  <c r="C813" i="6" s="1"/>
  <c r="C814" i="6" s="1" a="1"/>
  <c r="C298" i="4"/>
  <c r="C299" i="4" s="1" a="1"/>
  <c r="C250" i="5"/>
  <c r="D250" i="5"/>
  <c r="E250" i="5"/>
  <c r="E251" i="5"/>
  <c r="C252" i="5"/>
  <c r="C253" i="5"/>
  <c r="C816" i="6" l="1"/>
  <c r="D816" i="6"/>
  <c r="D820" i="6"/>
  <c r="F816" i="6"/>
  <c r="C817" i="6"/>
  <c r="C819" i="6"/>
  <c r="C814" i="6"/>
  <c r="D815" i="6"/>
  <c r="E815" i="6"/>
  <c r="D817" i="6"/>
  <c r="G817" i="6"/>
  <c r="C302" i="4"/>
  <c r="C304" i="4"/>
  <c r="C299" i="4"/>
  <c r="D300" i="4"/>
  <c r="E300" i="4"/>
  <c r="G302" i="4"/>
  <c r="C301" i="4"/>
  <c r="D305" i="4"/>
  <c r="D301" i="4"/>
  <c r="D302" i="4"/>
  <c r="F301" i="4"/>
  <c r="C254" i="5" a="1"/>
  <c r="C254" i="5" s="1"/>
  <c r="G250" i="5"/>
  <c r="C255" i="5" s="1"/>
  <c r="C256" i="5" s="1" a="1"/>
  <c r="F815" i="6" l="1"/>
  <c r="G815" i="6"/>
  <c r="C820" i="6"/>
  <c r="G816" i="6"/>
  <c r="D819" i="6"/>
  <c r="C815" i="6"/>
  <c r="I815" i="6" s="1"/>
  <c r="F817" i="6"/>
  <c r="C822" i="6" a="1"/>
  <c r="C822" i="6" s="1"/>
  <c r="C827" i="6" s="1" a="1"/>
  <c r="C827" i="6" s="1"/>
  <c r="C828" i="6" s="1" a="1"/>
  <c r="G301" i="4"/>
  <c r="D304" i="4"/>
  <c r="C300" i="4"/>
  <c r="F300" i="4"/>
  <c r="G300" i="4"/>
  <c r="F302" i="4"/>
  <c r="C305" i="4"/>
  <c r="C256" i="5"/>
  <c r="C258" i="5"/>
  <c r="D258" i="5"/>
  <c r="D260" i="5"/>
  <c r="D259" i="5"/>
  <c r="C828" i="6" l="1"/>
  <c r="D829" i="6"/>
  <c r="E829" i="6"/>
  <c r="G831" i="6"/>
  <c r="D834" i="6"/>
  <c r="F830" i="6"/>
  <c r="C831" i="6"/>
  <c r="D831" i="6"/>
  <c r="C833" i="6"/>
  <c r="D830" i="6"/>
  <c r="C830" i="6"/>
  <c r="C306" i="4" a="1"/>
  <c r="C306" i="4" s="1"/>
  <c r="J300" i="4"/>
  <c r="C307" i="4" s="1"/>
  <c r="C308" i="4" s="1" a="1"/>
  <c r="C257" i="5"/>
  <c r="D257" i="5"/>
  <c r="E257" i="5"/>
  <c r="E258" i="5"/>
  <c r="C259" i="5"/>
  <c r="C260" i="5"/>
  <c r="C829" i="6" l="1"/>
  <c r="F829" i="6"/>
  <c r="C834" i="6"/>
  <c r="G830" i="6"/>
  <c r="C836" i="6" s="1" a="1"/>
  <c r="C836" i="6" s="1"/>
  <c r="C841" i="6" s="1" a="1"/>
  <c r="C841" i="6" s="1"/>
  <c r="C842" i="6" s="1" a="1"/>
  <c r="C842" i="6" s="1"/>
  <c r="D833" i="6"/>
  <c r="F831" i="6"/>
  <c r="G829" i="6"/>
  <c r="G311" i="4"/>
  <c r="C310" i="4"/>
  <c r="D310" i="4"/>
  <c r="C311" i="4"/>
  <c r="E309" i="4"/>
  <c r="D314" i="4"/>
  <c r="C313" i="4"/>
  <c r="C308" i="4"/>
  <c r="F310" i="4"/>
  <c r="C261" i="5" a="1"/>
  <c r="C261" i="5" s="1"/>
  <c r="G257" i="5"/>
  <c r="C262" i="5" s="1"/>
  <c r="C263" i="5" s="1" a="1"/>
  <c r="I829" i="6" l="1"/>
  <c r="F311" i="4"/>
  <c r="C309" i="4"/>
  <c r="G309" i="4"/>
  <c r="C314" i="4"/>
  <c r="D313" i="4"/>
  <c r="F309" i="4"/>
  <c r="G310" i="4"/>
  <c r="D311" i="4"/>
  <c r="D309" i="4"/>
  <c r="C263" i="5"/>
  <c r="C265" i="5"/>
  <c r="D265" i="5"/>
  <c r="D266" i="5"/>
  <c r="D267" i="5"/>
  <c r="C315" i="4" l="1" a="1"/>
  <c r="C315" i="4" s="1"/>
  <c r="J309" i="4"/>
  <c r="C316" i="4" s="1"/>
  <c r="C317" i="4" s="1" a="1"/>
  <c r="C264" i="5"/>
  <c r="D264" i="5"/>
  <c r="E264" i="5"/>
  <c r="E265" i="5"/>
  <c r="C267" i="5"/>
  <c r="C266" i="5"/>
  <c r="C320" i="4" l="1"/>
  <c r="E318" i="4"/>
  <c r="C319" i="4"/>
  <c r="G320" i="4"/>
  <c r="C322" i="4"/>
  <c r="F319" i="4"/>
  <c r="D323" i="4"/>
  <c r="D319" i="4"/>
  <c r="C317" i="4"/>
  <c r="C268" i="5" a="1"/>
  <c r="C268" i="5" s="1"/>
  <c r="G264" i="5"/>
  <c r="C269" i="5" s="1"/>
  <c r="C270" i="5" s="1" a="1"/>
  <c r="G319" i="4" l="1"/>
  <c r="G318" i="4"/>
  <c r="F318" i="4"/>
  <c r="C323" i="4"/>
  <c r="F320" i="4"/>
  <c r="D322" i="4"/>
  <c r="C318" i="4"/>
  <c r="D318" i="4"/>
  <c r="D320" i="4"/>
  <c r="C272" i="5"/>
  <c r="D272" i="5"/>
  <c r="D273" i="5"/>
  <c r="C270" i="5"/>
  <c r="D274" i="5"/>
  <c r="J318" i="4" l="1"/>
  <c r="C324" i="4" a="1"/>
  <c r="C324" i="4" s="1"/>
  <c r="C271" i="5"/>
  <c r="E272" i="5"/>
  <c r="C273" i="5"/>
  <c r="D271" i="5"/>
  <c r="E271" i="5"/>
  <c r="C274" i="5"/>
  <c r="C325" i="4" l="1"/>
  <c r="C326" i="4" s="1" a="1"/>
  <c r="C275" i="5" a="1"/>
  <c r="C275" i="5" s="1"/>
  <c r="G271" i="5"/>
  <c r="C276" i="5" s="1"/>
  <c r="C277" i="5" s="1" a="1"/>
  <c r="C328" i="4" l="1"/>
  <c r="D328" i="4"/>
  <c r="E327" i="4"/>
  <c r="D332" i="4"/>
  <c r="F328" i="4"/>
  <c r="C331" i="4"/>
  <c r="C326" i="4"/>
  <c r="C329" i="4"/>
  <c r="D329" i="4"/>
  <c r="D327" i="4"/>
  <c r="G329" i="4"/>
  <c r="D281" i="5"/>
  <c r="C279" i="5"/>
  <c r="D280" i="5"/>
  <c r="D279" i="5"/>
  <c r="C277" i="5"/>
  <c r="F327" i="4" l="1"/>
  <c r="G328" i="4"/>
  <c r="F329" i="4"/>
  <c r="C332" i="4"/>
  <c r="C327" i="4"/>
  <c r="G327" i="4"/>
  <c r="D331" i="4"/>
  <c r="E278" i="5"/>
  <c r="C280" i="5"/>
  <c r="C281" i="5"/>
  <c r="C278" i="5"/>
  <c r="D278" i="5"/>
  <c r="E279" i="5"/>
  <c r="J327" i="4" l="1"/>
  <c r="C333" i="4" a="1"/>
  <c r="C333" i="4" s="1"/>
  <c r="C282" i="5" a="1"/>
  <c r="C282" i="5" s="1"/>
  <c r="G278" i="5"/>
  <c r="C283" i="5" s="1"/>
  <c r="C284" i="5" s="1" a="1"/>
  <c r="C334" i="4" l="1"/>
  <c r="C335" i="4" s="1" a="1"/>
  <c r="D288" i="5"/>
  <c r="C284" i="5"/>
  <c r="C286" i="5"/>
  <c r="D286" i="5"/>
  <c r="D287" i="5"/>
  <c r="E336" i="4" l="1"/>
  <c r="G338" i="4"/>
  <c r="D341" i="4"/>
  <c r="D337" i="4"/>
  <c r="F337" i="4"/>
  <c r="C335" i="4"/>
  <c r="C337" i="4"/>
  <c r="C338" i="4"/>
  <c r="C340" i="4"/>
  <c r="E285" i="5"/>
  <c r="C288" i="5"/>
  <c r="C285" i="5"/>
  <c r="D285" i="5"/>
  <c r="E286" i="5"/>
  <c r="C287" i="5"/>
  <c r="F336" i="4" l="1"/>
  <c r="C336" i="4"/>
  <c r="G337" i="4"/>
  <c r="F338" i="4"/>
  <c r="C341" i="4"/>
  <c r="D340" i="4"/>
  <c r="G336" i="4"/>
  <c r="D338" i="4"/>
  <c r="D336" i="4"/>
  <c r="C289" i="5" a="1"/>
  <c r="C289" i="5" s="1"/>
  <c r="G285" i="5"/>
  <c r="C290" i="5" s="1"/>
  <c r="C291" i="5" s="1" a="1"/>
  <c r="C342" i="4" l="1" a="1"/>
  <c r="C342" i="4" s="1"/>
  <c r="J336" i="4"/>
  <c r="C343" i="4" s="1"/>
  <c r="C344" i="4" s="1" a="1"/>
  <c r="C293" i="5"/>
  <c r="D293" i="5"/>
  <c r="C291" i="5"/>
  <c r="D294" i="5"/>
  <c r="D295" i="5"/>
  <c r="C344" i="4" l="1"/>
  <c r="D345" i="4"/>
  <c r="E345" i="4"/>
  <c r="G347" i="4"/>
  <c r="C347" i="4"/>
  <c r="D347" i="4"/>
  <c r="D350" i="4"/>
  <c r="C346" i="4"/>
  <c r="D346" i="4"/>
  <c r="F346" i="4"/>
  <c r="C349" i="4"/>
  <c r="C292" i="5"/>
  <c r="D292" i="5"/>
  <c r="E292" i="5"/>
  <c r="E293" i="5"/>
  <c r="C294" i="5"/>
  <c r="C295" i="5"/>
  <c r="C345" i="4" l="1"/>
  <c r="G346" i="4"/>
  <c r="F345" i="4"/>
  <c r="F347" i="4"/>
  <c r="D349" i="4"/>
  <c r="C350" i="4"/>
  <c r="G345" i="4"/>
  <c r="C296" i="5" a="1"/>
  <c r="C296" i="5" s="1"/>
  <c r="G292" i="5"/>
  <c r="C297" i="5" s="1"/>
  <c r="C298" i="5" s="1" a="1"/>
  <c r="C351" i="4" l="1" a="1"/>
  <c r="C351" i="4" s="1"/>
  <c r="J345" i="4"/>
  <c r="C352" i="4" s="1"/>
  <c r="C353" i="4" s="1" a="1"/>
  <c r="D302" i="5"/>
  <c r="C300" i="5"/>
  <c r="D300" i="5"/>
  <c r="C298" i="5"/>
  <c r="D301" i="5"/>
  <c r="D359" i="4" l="1"/>
  <c r="F355" i="4"/>
  <c r="C353" i="4"/>
  <c r="C358" i="4"/>
  <c r="C355" i="4"/>
  <c r="E354" i="4"/>
  <c r="D355" i="4"/>
  <c r="C356" i="4"/>
  <c r="G356" i="4"/>
  <c r="D356" i="4"/>
  <c r="C302" i="5"/>
  <c r="E299" i="5"/>
  <c r="E300" i="5"/>
  <c r="C301" i="5"/>
  <c r="C299" i="5"/>
  <c r="D299" i="5"/>
  <c r="C359" i="4" l="1"/>
  <c r="C354" i="4"/>
  <c r="G354" i="4"/>
  <c r="F354" i="4"/>
  <c r="D358" i="4"/>
  <c r="G355" i="4"/>
  <c r="F356" i="4"/>
  <c r="D354" i="4"/>
  <c r="C303" i="5" a="1"/>
  <c r="C303" i="5" s="1"/>
  <c r="G299" i="5"/>
  <c r="C304" i="5" s="1"/>
  <c r="C305" i="5" s="1" a="1"/>
  <c r="C360" i="4" l="1" a="1"/>
  <c r="C360" i="4" s="1"/>
  <c r="J354" i="4"/>
  <c r="C361" i="4" s="1"/>
  <c r="C362" i="4" s="1" a="1"/>
  <c r="C307" i="5"/>
  <c r="D307" i="5"/>
  <c r="C305" i="5"/>
  <c r="D309" i="5"/>
  <c r="D308" i="5"/>
  <c r="F364" i="4" l="1"/>
  <c r="E363" i="4"/>
  <c r="C365" i="4"/>
  <c r="D368" i="4"/>
  <c r="D364" i="4"/>
  <c r="G365" i="4"/>
  <c r="C367" i="4"/>
  <c r="C362" i="4"/>
  <c r="C364" i="4"/>
  <c r="C308" i="5"/>
  <c r="C306" i="5"/>
  <c r="D306" i="5"/>
  <c r="C309" i="5"/>
  <c r="E306" i="5"/>
  <c r="E307" i="5"/>
  <c r="D367" i="4" l="1"/>
  <c r="F363" i="4"/>
  <c r="C368" i="4"/>
  <c r="G364" i="4"/>
  <c r="F365" i="4"/>
  <c r="C363" i="4"/>
  <c r="G363" i="4"/>
  <c r="D365" i="4"/>
  <c r="D363" i="4"/>
  <c r="C310" i="5" a="1"/>
  <c r="C310" i="5" s="1"/>
  <c r="G306" i="5"/>
  <c r="C311" i="5" s="1"/>
  <c r="C312" i="5" s="1" a="1"/>
  <c r="J363" i="4" l="1"/>
  <c r="C369" i="4" a="1"/>
  <c r="C369" i="4" s="1"/>
  <c r="D315" i="5"/>
  <c r="C314" i="5"/>
  <c r="C312" i="5"/>
  <c r="D314" i="5"/>
  <c r="D316" i="5"/>
  <c r="C370" i="4" l="1"/>
  <c r="C371" i="4" s="1" a="1"/>
  <c r="C315" i="5"/>
  <c r="E313" i="5"/>
  <c r="E314" i="5"/>
  <c r="C316" i="5"/>
  <c r="C313" i="5"/>
  <c r="D313" i="5"/>
  <c r="C373" i="4" l="1"/>
  <c r="G374" i="4"/>
  <c r="E372" i="4"/>
  <c r="D377" i="4"/>
  <c r="C374" i="4"/>
  <c r="D373" i="4"/>
  <c r="C371" i="4"/>
  <c r="C376" i="4"/>
  <c r="F373" i="4"/>
  <c r="C317" i="5" a="1"/>
  <c r="C317" i="5" s="1"/>
  <c r="G313" i="5"/>
  <c r="C318" i="5" s="1"/>
  <c r="C319" i="5" s="1" a="1"/>
  <c r="C372" i="4" l="1"/>
  <c r="C377" i="4"/>
  <c r="G373" i="4"/>
  <c r="F372" i="4"/>
  <c r="G372" i="4"/>
  <c r="D376" i="4"/>
  <c r="F374" i="4"/>
  <c r="D374" i="4"/>
  <c r="D372" i="4"/>
  <c r="D321" i="5"/>
  <c r="C321" i="5"/>
  <c r="C319" i="5"/>
  <c r="D322" i="5"/>
  <c r="D323" i="5"/>
  <c r="J372" i="4" l="1"/>
  <c r="C378" i="4" a="1"/>
  <c r="C378" i="4" s="1"/>
  <c r="E321" i="5"/>
  <c r="C322" i="5"/>
  <c r="C320" i="5"/>
  <c r="D320" i="5"/>
  <c r="E320" i="5"/>
  <c r="C323" i="5"/>
  <c r="C379" i="4" l="1"/>
  <c r="C380" i="4" s="1" a="1"/>
  <c r="C324" i="5" a="1"/>
  <c r="C324" i="5" s="1"/>
  <c r="G320" i="5"/>
  <c r="C325" i="5" s="1"/>
  <c r="C326" i="5" s="1" a="1"/>
  <c r="G383" i="4" l="1"/>
  <c r="E381" i="4"/>
  <c r="C383" i="4"/>
  <c r="D386" i="4"/>
  <c r="C382" i="4"/>
  <c r="D382" i="4"/>
  <c r="C385" i="4"/>
  <c r="C380" i="4"/>
  <c r="D381" i="4"/>
  <c r="F382" i="4"/>
  <c r="D328" i="5"/>
  <c r="D329" i="5"/>
  <c r="C328" i="5"/>
  <c r="D330" i="5"/>
  <c r="C326" i="5"/>
  <c r="F383" i="4" l="1"/>
  <c r="D385" i="4"/>
  <c r="C381" i="4"/>
  <c r="G382" i="4"/>
  <c r="C386" i="4"/>
  <c r="F381" i="4"/>
  <c r="G381" i="4"/>
  <c r="D383" i="4"/>
  <c r="E328" i="5"/>
  <c r="C329" i="5"/>
  <c r="E327" i="5"/>
  <c r="C327" i="5"/>
  <c r="D327" i="5"/>
  <c r="C330" i="5"/>
  <c r="J381" i="4" l="1"/>
  <c r="C387" i="4" a="1"/>
  <c r="C387" i="4" s="1"/>
  <c r="C331" i="5" a="1"/>
  <c r="C331" i="5" s="1"/>
  <c r="G327" i="5"/>
  <c r="C332" i="5" s="1"/>
  <c r="C333" i="5" s="1" a="1"/>
  <c r="C388" i="4" l="1"/>
  <c r="C389" i="4" s="1" a="1"/>
  <c r="D336" i="5"/>
  <c r="D337" i="5"/>
  <c r="D335" i="5"/>
  <c r="C335" i="5"/>
  <c r="C333" i="5"/>
  <c r="C392" i="4" l="1"/>
  <c r="C394" i="4"/>
  <c r="G392" i="4"/>
  <c r="D395" i="4"/>
  <c r="D391" i="4"/>
  <c r="F391" i="4"/>
  <c r="C389" i="4"/>
  <c r="E390" i="4"/>
  <c r="C391" i="4"/>
  <c r="E334" i="5"/>
  <c r="C336" i="5"/>
  <c r="C337" i="5"/>
  <c r="E335" i="5"/>
  <c r="D334" i="5"/>
  <c r="C334" i="5"/>
  <c r="G391" i="4" l="1"/>
  <c r="D394" i="4"/>
  <c r="F392" i="4"/>
  <c r="F390" i="4"/>
  <c r="C395" i="4"/>
  <c r="C390" i="4"/>
  <c r="G390" i="4"/>
  <c r="D392" i="4"/>
  <c r="D390" i="4"/>
  <c r="C338" i="5" a="1"/>
  <c r="C338" i="5" s="1"/>
  <c r="G334" i="5"/>
  <c r="C339" i="5" s="1"/>
  <c r="C340" i="5" s="1" a="1"/>
  <c r="C396" i="4" l="1" a="1"/>
  <c r="C396" i="4" s="1"/>
  <c r="J390" i="4"/>
  <c r="C397" i="4" s="1"/>
  <c r="C398" i="4" s="1" a="1"/>
  <c r="C342" i="5"/>
  <c r="D342" i="5"/>
  <c r="D344" i="5"/>
  <c r="C340" i="5"/>
  <c r="D343" i="5"/>
  <c r="C400" i="4" l="1"/>
  <c r="D400" i="4"/>
  <c r="G401" i="4"/>
  <c r="C398" i="4"/>
  <c r="C403" i="4"/>
  <c r="E399" i="4"/>
  <c r="D404" i="4"/>
  <c r="D399" i="4"/>
  <c r="F400" i="4"/>
  <c r="C401" i="4"/>
  <c r="D401" i="4"/>
  <c r="E341" i="5"/>
  <c r="C344" i="5"/>
  <c r="C341" i="5"/>
  <c r="D341" i="5"/>
  <c r="E342" i="5"/>
  <c r="C343" i="5"/>
  <c r="C399" i="4" l="1"/>
  <c r="D403" i="4"/>
  <c r="F399" i="4"/>
  <c r="G399" i="4"/>
  <c r="C404" i="4"/>
  <c r="G400" i="4"/>
  <c r="F401" i="4"/>
  <c r="C345" i="5" a="1"/>
  <c r="C345" i="5" s="1"/>
  <c r="G341" i="5"/>
  <c r="C346" i="5" s="1"/>
  <c r="C347" i="5" s="1" a="1"/>
  <c r="J399" i="4" l="1"/>
  <c r="C405" i="4" a="1"/>
  <c r="C405" i="4" s="1"/>
  <c r="D351" i="5"/>
  <c r="C349" i="5"/>
  <c r="C347" i="5"/>
  <c r="D349" i="5"/>
  <c r="D350" i="5"/>
  <c r="C406" i="4" l="1"/>
  <c r="C407" i="4" s="1" a="1"/>
  <c r="C348" i="5"/>
  <c r="C351" i="5"/>
  <c r="E348" i="5"/>
  <c r="D348" i="5"/>
  <c r="E349" i="5"/>
  <c r="C350" i="5"/>
  <c r="E408" i="4" l="1"/>
  <c r="F409" i="4"/>
  <c r="C407" i="4"/>
  <c r="D408" i="4"/>
  <c r="C412" i="4"/>
  <c r="C409" i="4"/>
  <c r="D409" i="4"/>
  <c r="D413" i="4"/>
  <c r="C410" i="4"/>
  <c r="D410" i="4"/>
  <c r="G410" i="4"/>
  <c r="C352" i="5" a="1"/>
  <c r="C352" i="5" s="1"/>
  <c r="G348" i="5"/>
  <c r="C353" i="5" s="1"/>
  <c r="C354" i="5" s="1" a="1"/>
  <c r="F408" i="4" l="1"/>
  <c r="F410" i="4"/>
  <c r="C408" i="4"/>
  <c r="D412" i="4"/>
  <c r="G409" i="4"/>
  <c r="G408" i="4"/>
  <c r="C413" i="4"/>
  <c r="D358" i="5"/>
  <c r="C354" i="5"/>
  <c r="C356" i="5"/>
  <c r="D356" i="5"/>
  <c r="D357" i="5"/>
  <c r="J408" i="4" l="1"/>
  <c r="C414" i="4" a="1"/>
  <c r="C414" i="4" s="1"/>
  <c r="C355" i="5"/>
  <c r="D355" i="5"/>
  <c r="E355" i="5"/>
  <c r="E356" i="5"/>
  <c r="C357" i="5"/>
  <c r="C358" i="5"/>
  <c r="C415" i="4" l="1"/>
  <c r="C416" i="4" s="1" a="1"/>
  <c r="C359" i="5" a="1"/>
  <c r="C359" i="5" s="1"/>
  <c r="G355" i="5"/>
  <c r="C360" i="5" s="1"/>
  <c r="C361" i="5" s="1" a="1"/>
  <c r="C416" i="4" l="1"/>
  <c r="G419" i="4"/>
  <c r="C421" i="4"/>
  <c r="E417" i="4"/>
  <c r="C418" i="4"/>
  <c r="D418" i="4"/>
  <c r="D422" i="4"/>
  <c r="D417" i="4"/>
  <c r="C419" i="4"/>
  <c r="D419" i="4"/>
  <c r="F418" i="4"/>
  <c r="C361" i="5"/>
  <c r="C363" i="5"/>
  <c r="D363" i="5"/>
  <c r="D364" i="5"/>
  <c r="D365" i="5"/>
  <c r="F419" i="4" l="1"/>
  <c r="G418" i="4"/>
  <c r="F417" i="4"/>
  <c r="G417" i="4"/>
  <c r="C422" i="4"/>
  <c r="D421" i="4"/>
  <c r="C417" i="4"/>
  <c r="C362" i="5"/>
  <c r="D362" i="5"/>
  <c r="E362" i="5"/>
  <c r="E363" i="5"/>
  <c r="C364" i="5"/>
  <c r="C365" i="5"/>
  <c r="C423" i="4" l="1" a="1"/>
  <c r="C423" i="4" s="1"/>
  <c r="J417" i="4"/>
  <c r="C424" i="4" s="1"/>
  <c r="C425" i="4" s="1" a="1"/>
  <c r="C366" i="5" a="1"/>
  <c r="C366" i="5" s="1"/>
  <c r="G362" i="5"/>
  <c r="C367" i="5" s="1"/>
  <c r="C368" i="5" s="1" a="1"/>
  <c r="D431" i="4" l="1"/>
  <c r="C428" i="4"/>
  <c r="G428" i="4"/>
  <c r="C425" i="4"/>
  <c r="C427" i="4"/>
  <c r="D427" i="4"/>
  <c r="C430" i="4"/>
  <c r="D426" i="4"/>
  <c r="E426" i="4"/>
  <c r="F427" i="4"/>
  <c r="C368" i="5"/>
  <c r="C370" i="5"/>
  <c r="D371" i="5"/>
  <c r="D372" i="5"/>
  <c r="D370" i="5"/>
  <c r="C431" i="4" l="1"/>
  <c r="D430" i="4"/>
  <c r="F426" i="4"/>
  <c r="G426" i="4"/>
  <c r="G427" i="4"/>
  <c r="C426" i="4"/>
  <c r="F428" i="4"/>
  <c r="D428" i="4"/>
  <c r="C369" i="5"/>
  <c r="D369" i="5"/>
  <c r="E369" i="5"/>
  <c r="C372" i="5"/>
  <c r="E370" i="5"/>
  <c r="C371" i="5"/>
  <c r="J426" i="4" l="1"/>
  <c r="C432" i="4" a="1"/>
  <c r="C432" i="4" s="1"/>
  <c r="C373" i="5" a="1"/>
  <c r="C373" i="5" s="1"/>
  <c r="G369" i="5"/>
  <c r="C374" i="5" s="1"/>
  <c r="C375" i="5" s="1" a="1"/>
  <c r="C433" i="4" l="1"/>
  <c r="C434" i="4" s="1" a="1"/>
  <c r="D378" i="5"/>
  <c r="C375" i="5"/>
  <c r="D377" i="5"/>
  <c r="D379" i="5"/>
  <c r="C377" i="5"/>
  <c r="F436" i="4" l="1"/>
  <c r="C437" i="4"/>
  <c r="D440" i="4"/>
  <c r="D436" i="4"/>
  <c r="C434" i="4"/>
  <c r="C436" i="4"/>
  <c r="D435" i="4"/>
  <c r="E435" i="4"/>
  <c r="G437" i="4"/>
  <c r="C439" i="4"/>
  <c r="D376" i="5"/>
  <c r="E376" i="5"/>
  <c r="E377" i="5"/>
  <c r="C378" i="5"/>
  <c r="C376" i="5"/>
  <c r="C379" i="5"/>
  <c r="D439" i="4" l="1"/>
  <c r="G436" i="4"/>
  <c r="C435" i="4"/>
  <c r="C440" i="4"/>
  <c r="F435" i="4"/>
  <c r="G435" i="4"/>
  <c r="F437" i="4"/>
  <c r="D437" i="4"/>
  <c r="C380" i="5" a="1"/>
  <c r="C380" i="5" s="1"/>
  <c r="G376" i="5"/>
  <c r="C381" i="5" s="1"/>
  <c r="C382" i="5" s="1" a="1"/>
  <c r="C441" i="4" l="1" a="1"/>
  <c r="C441" i="4" s="1"/>
  <c r="J435" i="4"/>
  <c r="C442" i="4" s="1"/>
  <c r="C443" i="4" s="1" a="1"/>
  <c r="D384" i="5"/>
  <c r="D385" i="5"/>
  <c r="C384" i="5"/>
  <c r="D386" i="5"/>
  <c r="C382" i="5"/>
  <c r="C445" i="4" l="1"/>
  <c r="D445" i="4"/>
  <c r="C446" i="4"/>
  <c r="G446" i="4"/>
  <c r="F445" i="4"/>
  <c r="C443" i="4"/>
  <c r="C448" i="4"/>
  <c r="D449" i="4"/>
  <c r="D444" i="4"/>
  <c r="E444" i="4"/>
  <c r="E384" i="5"/>
  <c r="C385" i="5"/>
  <c r="C383" i="5"/>
  <c r="D383" i="5"/>
  <c r="E383" i="5"/>
  <c r="C386" i="5"/>
  <c r="C444" i="4" l="1"/>
  <c r="D448" i="4"/>
  <c r="C449" i="4"/>
  <c r="F444" i="4"/>
  <c r="G444" i="4"/>
  <c r="G445" i="4"/>
  <c r="F446" i="4"/>
  <c r="D446" i="4"/>
  <c r="C387" i="5" a="1"/>
  <c r="C387" i="5" s="1"/>
  <c r="G383" i="5"/>
  <c r="C388" i="5" s="1"/>
  <c r="C389" i="5" s="1" a="1"/>
  <c r="C450" i="4" l="1" a="1"/>
  <c r="C450" i="4" s="1"/>
  <c r="J444" i="4"/>
  <c r="C451" i="4" s="1"/>
  <c r="C452" i="4" s="1" a="1"/>
  <c r="D391" i="5"/>
  <c r="D393" i="5"/>
  <c r="C389" i="5"/>
  <c r="C391" i="5"/>
  <c r="D392" i="5"/>
  <c r="G455" i="4" l="1"/>
  <c r="E453" i="4"/>
  <c r="C455" i="4"/>
  <c r="C457" i="4"/>
  <c r="D458" i="4"/>
  <c r="C454" i="4"/>
  <c r="D454" i="4"/>
  <c r="F454" i="4"/>
  <c r="C452" i="4"/>
  <c r="E391" i="5"/>
  <c r="C393" i="5"/>
  <c r="C390" i="5"/>
  <c r="D390" i="5"/>
  <c r="E390" i="5"/>
  <c r="C392" i="5"/>
  <c r="F455" i="4" l="1"/>
  <c r="F453" i="4"/>
  <c r="G454" i="4"/>
  <c r="D457" i="4"/>
  <c r="C458" i="4"/>
  <c r="G453" i="4"/>
  <c r="C453" i="4"/>
  <c r="D453" i="4"/>
  <c r="D455" i="4"/>
  <c r="C394" i="5" a="1"/>
  <c r="C394" i="5" s="1"/>
  <c r="G390" i="5"/>
  <c r="C395" i="5" s="1"/>
  <c r="C396" i="5" s="1" a="1"/>
  <c r="C459" i="4" l="1" a="1"/>
  <c r="C459" i="4" s="1"/>
  <c r="J453" i="4"/>
  <c r="C460" i="4" s="1"/>
  <c r="C461" i="4" s="1" a="1"/>
  <c r="D399" i="5"/>
  <c r="D400" i="5"/>
  <c r="C398" i="5"/>
  <c r="C396" i="5"/>
  <c r="D398" i="5"/>
  <c r="C464" i="4" l="1"/>
  <c r="G464" i="4"/>
  <c r="D467" i="4"/>
  <c r="C466" i="4"/>
  <c r="D463" i="4"/>
  <c r="F463" i="4"/>
  <c r="C461" i="4"/>
  <c r="E462" i="4"/>
  <c r="C463" i="4"/>
  <c r="C400" i="5"/>
  <c r="C399" i="5"/>
  <c r="C397" i="5"/>
  <c r="D397" i="5"/>
  <c r="E397" i="5"/>
  <c r="E398" i="5"/>
  <c r="G463" i="4" l="1"/>
  <c r="C462" i="4"/>
  <c r="F464" i="4"/>
  <c r="F462" i="4"/>
  <c r="G462" i="4"/>
  <c r="C467" i="4"/>
  <c r="D466" i="4"/>
  <c r="D464" i="4"/>
  <c r="D462" i="4"/>
  <c r="C401" i="5" a="1"/>
  <c r="C401" i="5" s="1"/>
  <c r="G397" i="5"/>
  <c r="C468" i="4" l="1" a="1"/>
  <c r="C468" i="4" s="1"/>
  <c r="J462" i="4"/>
  <c r="C469" i="4" s="1"/>
  <c r="C470" i="4" s="1" a="1"/>
  <c r="C402" i="5"/>
  <c r="C403" i="5" s="1" a="1"/>
  <c r="C472" i="4" l="1"/>
  <c r="D472" i="4"/>
  <c r="C470" i="4"/>
  <c r="G473" i="4"/>
  <c r="C473" i="4"/>
  <c r="D473" i="4"/>
  <c r="F472" i="4"/>
  <c r="D471" i="4"/>
  <c r="D476" i="4"/>
  <c r="C475" i="4"/>
  <c r="E471" i="4"/>
  <c r="D407" i="5"/>
  <c r="D406" i="5"/>
  <c r="D405" i="5"/>
  <c r="C405" i="5"/>
  <c r="C403" i="5"/>
  <c r="C471" i="4" l="1"/>
  <c r="F473" i="4"/>
  <c r="G471" i="4"/>
  <c r="C476" i="4"/>
  <c r="D475" i="4"/>
  <c r="F471" i="4"/>
  <c r="G472" i="4"/>
  <c r="C407" i="5"/>
  <c r="E405" i="5"/>
  <c r="E404" i="5"/>
  <c r="C406" i="5"/>
  <c r="D404" i="5"/>
  <c r="C404" i="5"/>
  <c r="C477" i="4" l="1" a="1"/>
  <c r="C477" i="4" s="1"/>
  <c r="J471" i="4"/>
  <c r="C478" i="4" s="1"/>
  <c r="C479" i="4" s="1" a="1"/>
  <c r="C408" i="5" a="1"/>
  <c r="C408" i="5" s="1"/>
  <c r="G404" i="5"/>
  <c r="E480" i="4" l="1"/>
  <c r="C484" i="4"/>
  <c r="G482" i="4"/>
  <c r="C479" i="4"/>
  <c r="D480" i="4"/>
  <c r="D482" i="4"/>
  <c r="C481" i="4"/>
  <c r="D481" i="4"/>
  <c r="F481" i="4"/>
  <c r="C482" i="4"/>
  <c r="D485" i="4"/>
  <c r="C409" i="5"/>
  <c r="C410" i="5" s="1" a="1"/>
  <c r="F480" i="4" l="1"/>
  <c r="C480" i="4"/>
  <c r="G480" i="4"/>
  <c r="D484" i="4"/>
  <c r="G481" i="4"/>
  <c r="F482" i="4"/>
  <c r="C485" i="4"/>
  <c r="D413" i="5"/>
  <c r="D414" i="5"/>
  <c r="C410" i="5"/>
  <c r="D412" i="5"/>
  <c r="C412" i="5"/>
  <c r="C486" i="4" l="1" a="1"/>
  <c r="C486" i="4" s="1"/>
  <c r="J480" i="4"/>
  <c r="C487" i="4" s="1"/>
  <c r="C488" i="4" s="1" a="1"/>
  <c r="C414" i="5"/>
  <c r="C411" i="5"/>
  <c r="E411" i="5"/>
  <c r="C413" i="5"/>
  <c r="E412" i="5"/>
  <c r="D411" i="5"/>
  <c r="C488" i="4" l="1"/>
  <c r="G491" i="4"/>
  <c r="D489" i="4"/>
  <c r="E489" i="4"/>
  <c r="F490" i="4"/>
  <c r="C493" i="4"/>
  <c r="D491" i="4"/>
  <c r="D494" i="4"/>
  <c r="C491" i="4"/>
  <c r="C490" i="4"/>
  <c r="D490" i="4"/>
  <c r="C415" i="5" a="1"/>
  <c r="C415" i="5" s="1"/>
  <c r="G411" i="5"/>
  <c r="C416" i="5" s="1"/>
  <c r="C417" i="5" s="1" a="1"/>
  <c r="D493" i="4" l="1"/>
  <c r="F489" i="4"/>
  <c r="G489" i="4"/>
  <c r="C494" i="4"/>
  <c r="G490" i="4"/>
  <c r="F491" i="4"/>
  <c r="C489" i="4"/>
  <c r="D420" i="5"/>
  <c r="C417" i="5"/>
  <c r="C419" i="5"/>
  <c r="D419" i="5"/>
  <c r="D421" i="5"/>
  <c r="C495" i="4" l="1" a="1"/>
  <c r="C495" i="4" s="1"/>
  <c r="J489" i="4"/>
  <c r="C496" i="4" s="1"/>
  <c r="C497" i="4" s="1" a="1"/>
  <c r="C418" i="5"/>
  <c r="D418" i="5"/>
  <c r="E418" i="5"/>
  <c r="E419" i="5"/>
  <c r="C420" i="5"/>
  <c r="C421" i="5"/>
  <c r="D503" i="4" l="1"/>
  <c r="C497" i="4"/>
  <c r="E498" i="4"/>
  <c r="C500" i="4"/>
  <c r="G500" i="4"/>
  <c r="C502" i="4"/>
  <c r="D498" i="4"/>
  <c r="C499" i="4"/>
  <c r="D499" i="4"/>
  <c r="F499" i="4"/>
  <c r="C422" i="5" a="1"/>
  <c r="C422" i="5" s="1"/>
  <c r="G418" i="5"/>
  <c r="C423" i="5" s="1"/>
  <c r="C424" i="5" s="1" a="1"/>
  <c r="C503" i="4" l="1"/>
  <c r="F500" i="4"/>
  <c r="D502" i="4"/>
  <c r="F498" i="4"/>
  <c r="G498" i="4"/>
  <c r="C498" i="4"/>
  <c r="G499" i="4"/>
  <c r="D500" i="4"/>
  <c r="D427" i="5"/>
  <c r="D428" i="5"/>
  <c r="C424" i="5"/>
  <c r="C426" i="5"/>
  <c r="D426" i="5"/>
  <c r="C504" i="4" l="1" a="1"/>
  <c r="C504" i="4" s="1"/>
  <c r="J498" i="4"/>
  <c r="C505" i="4" s="1"/>
  <c r="C506" i="4" s="1" a="1"/>
  <c r="E426" i="5"/>
  <c r="C425" i="5"/>
  <c r="D425" i="5"/>
  <c r="C427" i="5"/>
  <c r="C428" i="5"/>
  <c r="E425" i="5"/>
  <c r="C511" i="4" l="1"/>
  <c r="C508" i="4"/>
  <c r="F508" i="4"/>
  <c r="C509" i="4"/>
  <c r="C506" i="4"/>
  <c r="D509" i="4" s="1"/>
  <c r="D507" i="4"/>
  <c r="E507" i="4"/>
  <c r="D508" i="4"/>
  <c r="G509" i="4"/>
  <c r="D512" i="4"/>
  <c r="C429" i="5" a="1"/>
  <c r="C429" i="5" s="1"/>
  <c r="G425" i="5"/>
  <c r="C430" i="5" s="1"/>
  <c r="C431" i="5" s="1" a="1"/>
  <c r="D511" i="4" l="1"/>
  <c r="G508" i="4"/>
  <c r="G507" i="4"/>
  <c r="C507" i="4"/>
  <c r="F507" i="4"/>
  <c r="F509" i="4"/>
  <c r="C512" i="4"/>
  <c r="C431" i="5"/>
  <c r="D434" i="5"/>
  <c r="D435" i="5"/>
  <c r="D433" i="5"/>
  <c r="C433" i="5"/>
  <c r="J507" i="4" l="1"/>
  <c r="C513" i="4" a="1"/>
  <c r="C513" i="4" s="1"/>
  <c r="E433" i="5"/>
  <c r="C434" i="5"/>
  <c r="C432" i="5"/>
  <c r="D432" i="5"/>
  <c r="C435" i="5"/>
  <c r="E432" i="5"/>
  <c r="C514" i="4" l="1"/>
  <c r="C515" i="4" s="1" a="1"/>
  <c r="C436" i="5" a="1"/>
  <c r="C436" i="5" s="1"/>
  <c r="G432" i="5"/>
  <c r="C437" i="5" s="1"/>
  <c r="C438" i="5" s="1" a="1"/>
  <c r="C520" i="4" l="1"/>
  <c r="D517" i="4"/>
  <c r="C518" i="4"/>
  <c r="C515" i="4"/>
  <c r="C517" i="4"/>
  <c r="D516" i="4"/>
  <c r="G518" i="4"/>
  <c r="E516" i="4"/>
  <c r="F517" i="4"/>
  <c r="D518" i="4"/>
  <c r="D521" i="4"/>
  <c r="C440" i="5"/>
  <c r="C438" i="5"/>
  <c r="D440" i="5"/>
  <c r="D441" i="5"/>
  <c r="D442" i="5"/>
  <c r="D520" i="4" l="1"/>
  <c r="F516" i="4"/>
  <c r="G516" i="4"/>
  <c r="C516" i="4"/>
  <c r="C521" i="4"/>
  <c r="F518" i="4"/>
  <c r="G517" i="4"/>
  <c r="D439" i="5"/>
  <c r="E439" i="5"/>
  <c r="C439" i="5"/>
  <c r="E440" i="5"/>
  <c r="C441" i="5"/>
  <c r="C442" i="5"/>
  <c r="C522" i="4" l="1" a="1"/>
  <c r="C522" i="4" s="1"/>
  <c r="J516" i="4"/>
  <c r="C523" i="4" s="1"/>
  <c r="C524" i="4" s="1" a="1"/>
  <c r="C443" i="5" a="1"/>
  <c r="C443" i="5" s="1"/>
  <c r="G439" i="5"/>
  <c r="C444" i="5" s="1"/>
  <c r="C445" i="5" s="1" a="1"/>
  <c r="G527" i="4" l="1"/>
  <c r="C526" i="4"/>
  <c r="D526" i="4"/>
  <c r="E525" i="4"/>
  <c r="D530" i="4"/>
  <c r="F526" i="4"/>
  <c r="C527" i="4"/>
  <c r="C524" i="4"/>
  <c r="D525" i="4"/>
  <c r="C529" i="4"/>
  <c r="C447" i="5"/>
  <c r="D447" i="5"/>
  <c r="D449" i="5"/>
  <c r="C445" i="5"/>
  <c r="D448" i="5"/>
  <c r="F527" i="4" l="1"/>
  <c r="G525" i="4"/>
  <c r="G526" i="4"/>
  <c r="D529" i="4"/>
  <c r="F525" i="4"/>
  <c r="C530" i="4"/>
  <c r="C525" i="4"/>
  <c r="D527" i="4"/>
  <c r="E446" i="5"/>
  <c r="E447" i="5"/>
  <c r="C448" i="5"/>
  <c r="C449" i="5"/>
  <c r="C446" i="5"/>
  <c r="D446" i="5"/>
  <c r="J525" i="4" l="1"/>
  <c r="C531" i="4" a="1"/>
  <c r="C531" i="4" s="1"/>
  <c r="C450" i="5" a="1"/>
  <c r="C450" i="5" s="1"/>
  <c r="G446" i="5"/>
  <c r="C451" i="5" s="1"/>
  <c r="C452" i="5" s="1" a="1"/>
  <c r="C532" i="4" l="1"/>
  <c r="C533" i="4" s="1" a="1"/>
  <c r="C452" i="5"/>
  <c r="C454" i="5"/>
  <c r="D454" i="5"/>
  <c r="D455" i="5"/>
  <c r="D456" i="5"/>
  <c r="C536" i="4" l="1"/>
  <c r="E534" i="4"/>
  <c r="F535" i="4"/>
  <c r="C535" i="4"/>
  <c r="D535" i="4"/>
  <c r="G536" i="4"/>
  <c r="C538" i="4"/>
  <c r="C533" i="4"/>
  <c r="D534" i="4"/>
  <c r="D539" i="4"/>
  <c r="D536" i="4"/>
  <c r="D453" i="5"/>
  <c r="E454" i="5"/>
  <c r="C455" i="5"/>
  <c r="E453" i="5"/>
  <c r="C453" i="5"/>
  <c r="C456" i="5"/>
  <c r="G535" i="4" l="1"/>
  <c r="D538" i="4"/>
  <c r="F536" i="4"/>
  <c r="C534" i="4"/>
  <c r="F534" i="4"/>
  <c r="G534" i="4"/>
  <c r="C539" i="4"/>
  <c r="C457" i="5" a="1"/>
  <c r="C457" i="5" s="1"/>
  <c r="G453" i="5"/>
  <c r="C458" i="5" s="1"/>
  <c r="C459" i="5" s="1" a="1"/>
  <c r="J534" i="4" l="1"/>
  <c r="C540" i="4" a="1"/>
  <c r="C540" i="4" s="1"/>
  <c r="D462" i="5"/>
  <c r="C461" i="5"/>
  <c r="D461" i="5"/>
  <c r="D463" i="5"/>
  <c r="C459" i="5"/>
  <c r="C541" i="4" l="1"/>
  <c r="C542" i="4" s="1" a="1"/>
  <c r="D460" i="5"/>
  <c r="C462" i="5"/>
  <c r="C463" i="5"/>
  <c r="E461" i="5"/>
  <c r="E460" i="5"/>
  <c r="C460" i="5"/>
  <c r="C544" i="4" l="1"/>
  <c r="D544" i="4"/>
  <c r="G545" i="4"/>
  <c r="D548" i="4"/>
  <c r="F544" i="4"/>
  <c r="C542" i="4"/>
  <c r="D543" i="4"/>
  <c r="E543" i="4"/>
  <c r="C547" i="4"/>
  <c r="C545" i="4"/>
  <c r="D545" i="4"/>
  <c r="C464" i="5" a="1"/>
  <c r="C464" i="5" s="1"/>
  <c r="G460" i="5"/>
  <c r="F545" i="4" l="1"/>
  <c r="C543" i="4"/>
  <c r="G544" i="4"/>
  <c r="C548" i="4"/>
  <c r="F543" i="4"/>
  <c r="D547" i="4"/>
  <c r="G543" i="4"/>
  <c r="C465" i="5"/>
  <c r="C466" i="5" s="1" a="1"/>
  <c r="C466" i="5" s="1"/>
  <c r="D470" i="5"/>
  <c r="C468" i="5"/>
  <c r="D468" i="5"/>
  <c r="D469" i="5"/>
  <c r="J543" i="4" l="1"/>
  <c r="C549" i="4" a="1"/>
  <c r="C549" i="4" s="1"/>
  <c r="C467" i="5"/>
  <c r="C470" i="5"/>
  <c r="E467" i="5"/>
  <c r="E468" i="5"/>
  <c r="C469" i="5"/>
  <c r="D467" i="5"/>
  <c r="C550" i="4" l="1"/>
  <c r="C551" i="4" s="1" a="1"/>
  <c r="C471" i="5" a="1"/>
  <c r="C471" i="5" s="1"/>
  <c r="G467" i="5"/>
  <c r="C472" i="5" s="1"/>
  <c r="C473" i="5" s="1" a="1"/>
  <c r="E552" i="4" l="1"/>
  <c r="C554" i="4"/>
  <c r="D557" i="4"/>
  <c r="C553" i="4"/>
  <c r="D553" i="4"/>
  <c r="C551" i="4"/>
  <c r="D552" i="4"/>
  <c r="F553" i="4"/>
  <c r="G554" i="4"/>
  <c r="C556" i="4"/>
  <c r="C473" i="5"/>
  <c r="D477" i="5"/>
  <c r="C475" i="5"/>
  <c r="D475" i="5"/>
  <c r="D476" i="5"/>
  <c r="F552" i="4" l="1"/>
  <c r="C552" i="4"/>
  <c r="C557" i="4"/>
  <c r="G553" i="4"/>
  <c r="F554" i="4"/>
  <c r="D556" i="4"/>
  <c r="G552" i="4"/>
  <c r="D554" i="4"/>
  <c r="C477" i="5"/>
  <c r="C474" i="5"/>
  <c r="D474" i="5"/>
  <c r="E474" i="5"/>
  <c r="E475" i="5"/>
  <c r="C476" i="5"/>
  <c r="J552" i="4" l="1"/>
  <c r="C558" i="4" a="1"/>
  <c r="C558" i="4" s="1"/>
  <c r="C478" i="5" a="1"/>
  <c r="C478" i="5" s="1"/>
  <c r="G474" i="5"/>
  <c r="C479" i="5" s="1"/>
  <c r="C480" i="5" s="1" a="1"/>
  <c r="C559" i="4" l="1"/>
  <c r="C560" i="4" s="1" a="1"/>
  <c r="C480" i="5"/>
  <c r="C482" i="5"/>
  <c r="D482" i="5"/>
  <c r="D483" i="5"/>
  <c r="D484" i="5"/>
  <c r="C560" i="4" l="1"/>
  <c r="C563" i="4"/>
  <c r="D561" i="4"/>
  <c r="D566" i="4"/>
  <c r="D563" i="4"/>
  <c r="G563" i="4"/>
  <c r="D562" i="4"/>
  <c r="C562" i="4"/>
  <c r="F562" i="4"/>
  <c r="E561" i="4"/>
  <c r="C565" i="4"/>
  <c r="C481" i="5"/>
  <c r="D481" i="5"/>
  <c r="E482" i="5"/>
  <c r="C483" i="5"/>
  <c r="C484" i="5"/>
  <c r="E481" i="5"/>
  <c r="G562" i="4" l="1"/>
  <c r="F563" i="4"/>
  <c r="C566" i="4"/>
  <c r="C561" i="4"/>
  <c r="F561" i="4"/>
  <c r="G561" i="4"/>
  <c r="D565" i="4"/>
  <c r="C485" i="5" a="1"/>
  <c r="C485" i="5" s="1"/>
  <c r="G481" i="5"/>
  <c r="C486" i="5" s="1"/>
  <c r="C487" i="5" s="1" a="1"/>
  <c r="C567" i="4" l="1" a="1"/>
  <c r="C567" i="4" s="1"/>
  <c r="J561" i="4"/>
  <c r="C568" i="4" s="1"/>
  <c r="C569" i="4" s="1" a="1"/>
  <c r="C487" i="5"/>
  <c r="C489" i="5"/>
  <c r="D489" i="5"/>
  <c r="D491" i="5"/>
  <c r="D490" i="5"/>
  <c r="D575" i="4" l="1"/>
  <c r="D571" i="4"/>
  <c r="G572" i="4"/>
  <c r="C571" i="4"/>
  <c r="F571" i="4"/>
  <c r="C572" i="4"/>
  <c r="C574" i="4"/>
  <c r="C569" i="4"/>
  <c r="D570" i="4"/>
  <c r="E570" i="4"/>
  <c r="E488" i="5"/>
  <c r="E489" i="5"/>
  <c r="C491" i="5"/>
  <c r="C488" i="5"/>
  <c r="D488" i="5"/>
  <c r="C490" i="5"/>
  <c r="C575" i="4" l="1"/>
  <c r="C570" i="4"/>
  <c r="F572" i="4"/>
  <c r="D574" i="4"/>
  <c r="G571" i="4"/>
  <c r="F570" i="4"/>
  <c r="G570" i="4"/>
  <c r="D572" i="4"/>
  <c r="C492" i="5" a="1"/>
  <c r="C492" i="5" s="1"/>
  <c r="G488" i="5"/>
  <c r="C493" i="5" s="1"/>
  <c r="C494" i="5" s="1" a="1"/>
  <c r="C576" i="4" l="1" a="1"/>
  <c r="C576" i="4" s="1"/>
  <c r="J570" i="4"/>
  <c r="C494" i="5"/>
  <c r="D497" i="5"/>
  <c r="C496" i="5"/>
  <c r="D496" i="5"/>
  <c r="D498" i="5"/>
  <c r="C577" i="4" l="1"/>
  <c r="C578" i="4" s="1" a="1"/>
  <c r="C495" i="5"/>
  <c r="D495" i="5"/>
  <c r="E495" i="5"/>
  <c r="E496" i="5"/>
  <c r="C497" i="5"/>
  <c r="C498" i="5"/>
  <c r="C580" i="4" l="1"/>
  <c r="G581" i="4"/>
  <c r="C578" i="4"/>
  <c r="C583" i="4"/>
  <c r="D580" i="4"/>
  <c r="D584" i="4"/>
  <c r="D579" i="4"/>
  <c r="E579" i="4"/>
  <c r="F580" i="4"/>
  <c r="C581" i="4"/>
  <c r="D581" i="4"/>
  <c r="C499" i="5" a="1"/>
  <c r="C499" i="5" s="1"/>
  <c r="G495" i="5"/>
  <c r="C500" i="5" s="1"/>
  <c r="C501" i="5" s="1" a="1"/>
  <c r="D583" i="4" l="1"/>
  <c r="F581" i="4"/>
  <c r="C579" i="4"/>
  <c r="F579" i="4"/>
  <c r="G579" i="4"/>
  <c r="C584" i="4"/>
  <c r="G580" i="4"/>
  <c r="D505" i="5"/>
  <c r="C501" i="5"/>
  <c r="C503" i="5"/>
  <c r="D503" i="5"/>
  <c r="D504" i="5"/>
  <c r="J579" i="4" l="1"/>
  <c r="C585" i="4" a="1"/>
  <c r="C585" i="4" s="1"/>
  <c r="C502" i="5"/>
  <c r="E502" i="5"/>
  <c r="E503" i="5"/>
  <c r="C504" i="5"/>
  <c r="D502" i="5"/>
  <c r="C505" i="5"/>
  <c r="C586" i="4" l="1"/>
  <c r="C587" i="4" s="1" a="1"/>
  <c r="C506" i="5" a="1"/>
  <c r="C506" i="5" s="1"/>
  <c r="G502" i="5"/>
  <c r="C507" i="5" s="1"/>
  <c r="C508" i="5" s="1" a="1"/>
  <c r="E588" i="4" l="1"/>
  <c r="C587" i="4"/>
  <c r="D588" i="4"/>
  <c r="C589" i="4"/>
  <c r="G590" i="4"/>
  <c r="D589" i="4"/>
  <c r="F589" i="4"/>
  <c r="C592" i="4"/>
  <c r="D593" i="4"/>
  <c r="C590" i="4"/>
  <c r="D590" i="4"/>
  <c r="D512" i="5"/>
  <c r="C508" i="5"/>
  <c r="C510" i="5"/>
  <c r="D510" i="5"/>
  <c r="D511" i="5"/>
  <c r="F588" i="4" l="1"/>
  <c r="F590" i="4"/>
  <c r="G588" i="4"/>
  <c r="C588" i="4"/>
  <c r="D592" i="4"/>
  <c r="C593" i="4"/>
  <c r="G589" i="4"/>
  <c r="C509" i="5"/>
  <c r="D509" i="5"/>
  <c r="E509" i="5"/>
  <c r="E510" i="5"/>
  <c r="C511" i="5"/>
  <c r="C512" i="5"/>
  <c r="J588" i="4" l="1"/>
  <c r="C594" i="4" a="1"/>
  <c r="C594" i="4" s="1"/>
  <c r="C513" i="5" a="1"/>
  <c r="C513" i="5" s="1"/>
  <c r="G509" i="5"/>
  <c r="C514" i="5" s="1"/>
  <c r="C515" i="5" s="1" a="1"/>
  <c r="C595" i="4" l="1"/>
  <c r="C596" i="4" s="1" a="1"/>
  <c r="C515" i="5"/>
  <c r="C517" i="5"/>
  <c r="D517" i="5"/>
  <c r="D518" i="5"/>
  <c r="D519" i="5"/>
  <c r="G599" i="4" l="1"/>
  <c r="C596" i="4"/>
  <c r="D599" i="4"/>
  <c r="D597" i="4"/>
  <c r="C598" i="4"/>
  <c r="D598" i="4"/>
  <c r="D602" i="4"/>
  <c r="C601" i="4"/>
  <c r="E597" i="4"/>
  <c r="C599" i="4"/>
  <c r="F598" i="4"/>
  <c r="E516" i="5"/>
  <c r="C516" i="5"/>
  <c r="D516" i="5"/>
  <c r="E517" i="5"/>
  <c r="C518" i="5"/>
  <c r="C519" i="5"/>
  <c r="F599" i="4" l="1"/>
  <c r="D601" i="4"/>
  <c r="C597" i="4"/>
  <c r="G598" i="4"/>
  <c r="F597" i="4"/>
  <c r="C602" i="4"/>
  <c r="G597" i="4"/>
  <c r="C520" i="5" a="1"/>
  <c r="C520" i="5" s="1"/>
  <c r="G516" i="5"/>
  <c r="C521" i="5" s="1"/>
  <c r="C522" i="5" s="1" a="1"/>
  <c r="J597" i="4" l="1"/>
  <c r="C603" i="4" a="1"/>
  <c r="C603" i="4" s="1"/>
  <c r="C522" i="5"/>
  <c r="C524" i="5"/>
  <c r="D524" i="5"/>
  <c r="D525" i="5"/>
  <c r="D526" i="5"/>
  <c r="C604" i="4" l="1"/>
  <c r="C605" i="4" s="1" a="1"/>
  <c r="E524" i="5"/>
  <c r="C525" i="5"/>
  <c r="C526" i="5"/>
  <c r="C523" i="5"/>
  <c r="D523" i="5"/>
  <c r="E523" i="5"/>
  <c r="C608" i="4" l="1"/>
  <c r="F607" i="4"/>
  <c r="D611" i="4"/>
  <c r="D607" i="4"/>
  <c r="C605" i="4"/>
  <c r="D606" i="4"/>
  <c r="E606" i="4"/>
  <c r="C607" i="4"/>
  <c r="G608" i="4"/>
  <c r="C610" i="4"/>
  <c r="C527" i="5" a="1"/>
  <c r="C527" i="5" s="1"/>
  <c r="G523" i="5"/>
  <c r="G607" i="4" l="1"/>
  <c r="F608" i="4"/>
  <c r="F606" i="4"/>
  <c r="C611" i="4"/>
  <c r="D610" i="4"/>
  <c r="C606" i="4"/>
  <c r="G606" i="4"/>
  <c r="D608" i="4"/>
  <c r="C528" i="5"/>
  <c r="C529" i="5" s="1" a="1"/>
  <c r="C531" i="5" s="1"/>
  <c r="C612" i="4" l="1" a="1"/>
  <c r="C612" i="4" s="1"/>
  <c r="J606" i="4"/>
  <c r="D532" i="5"/>
  <c r="C529" i="5"/>
  <c r="D533" i="5"/>
  <c r="D531" i="5"/>
  <c r="C532" i="5"/>
  <c r="C533" i="5"/>
  <c r="C530" i="5"/>
  <c r="D530" i="5"/>
  <c r="E530" i="5"/>
  <c r="E531" i="5"/>
  <c r="C613" i="4" l="1"/>
  <c r="C614" i="4" s="1" a="1"/>
  <c r="C534" i="5" a="1"/>
  <c r="C534" i="5" s="1"/>
  <c r="G530" i="5"/>
  <c r="C535" i="5" s="1"/>
  <c r="C536" i="5" s="1" a="1"/>
  <c r="C616" i="4" l="1"/>
  <c r="D616" i="4"/>
  <c r="G617" i="4"/>
  <c r="C617" i="4"/>
  <c r="C614" i="4"/>
  <c r="D615" i="4"/>
  <c r="E615" i="4"/>
  <c r="D620" i="4"/>
  <c r="F616" i="4"/>
  <c r="C619" i="4"/>
  <c r="D538" i="5"/>
  <c r="D539" i="5"/>
  <c r="C536" i="5"/>
  <c r="C538" i="5"/>
  <c r="D540" i="5"/>
  <c r="G615" i="4" l="1"/>
  <c r="F617" i="4"/>
  <c r="G616" i="4"/>
  <c r="C615" i="4"/>
  <c r="F615" i="4"/>
  <c r="D619" i="4"/>
  <c r="C620" i="4"/>
  <c r="D617" i="4"/>
  <c r="C539" i="5"/>
  <c r="E538" i="5"/>
  <c r="C537" i="5"/>
  <c r="D537" i="5"/>
  <c r="E537" i="5"/>
  <c r="C540" i="5"/>
  <c r="C621" i="4" l="1" a="1"/>
  <c r="C621" i="4" s="1"/>
  <c r="J615" i="4"/>
  <c r="C622" i="4" s="1"/>
  <c r="C623" i="4" s="1" a="1"/>
  <c r="C541" i="5" a="1"/>
  <c r="C541" i="5" s="1"/>
  <c r="G537" i="5"/>
  <c r="E624" i="4" l="1"/>
  <c r="D629" i="4"/>
  <c r="C626" i="4"/>
  <c r="G626" i="4"/>
  <c r="C623" i="4"/>
  <c r="C628" i="4"/>
  <c r="C625" i="4"/>
  <c r="D625" i="4"/>
  <c r="D624" i="4"/>
  <c r="F625" i="4"/>
  <c r="D626" i="4"/>
  <c r="C542" i="5"/>
  <c r="C543" i="5" s="1" a="1"/>
  <c r="D545" i="5" s="1"/>
  <c r="C543" i="5"/>
  <c r="C545" i="5"/>
  <c r="D547" i="5"/>
  <c r="F624" i="4" l="1"/>
  <c r="C629" i="4"/>
  <c r="C624" i="4"/>
  <c r="D628" i="4"/>
  <c r="G624" i="4"/>
  <c r="F626" i="4"/>
  <c r="G625" i="4"/>
  <c r="D546" i="5"/>
  <c r="C546" i="5"/>
  <c r="C544" i="5"/>
  <c r="E545" i="5"/>
  <c r="C547" i="5"/>
  <c r="D544" i="5"/>
  <c r="E544" i="5"/>
  <c r="C630" i="4" l="1" a="1"/>
  <c r="C630" i="4" s="1"/>
  <c r="J624" i="4"/>
  <c r="C631" i="4" s="1"/>
  <c r="C632" i="4" s="1" a="1"/>
  <c r="C548" i="5" a="1"/>
  <c r="C548" i="5" s="1"/>
  <c r="G544" i="5"/>
  <c r="C549" i="5" s="1"/>
  <c r="C550" i="5" s="1" a="1"/>
  <c r="C632" i="4" l="1"/>
  <c r="C635" i="4"/>
  <c r="D634" i="4"/>
  <c r="E633" i="4"/>
  <c r="C634" i="4"/>
  <c r="F634" i="4"/>
  <c r="D638" i="4"/>
  <c r="D633" i="4"/>
  <c r="C637" i="4"/>
  <c r="D635" i="4"/>
  <c r="G635" i="4"/>
  <c r="D552" i="5"/>
  <c r="D553" i="5"/>
  <c r="C550" i="5"/>
  <c r="C552" i="5"/>
  <c r="D554" i="5"/>
  <c r="D637" i="4" l="1"/>
  <c r="F633" i="4"/>
  <c r="F635" i="4"/>
  <c r="C633" i="4"/>
  <c r="C638" i="4"/>
  <c r="G633" i="4"/>
  <c r="G634" i="4"/>
  <c r="C554" i="5"/>
  <c r="C551" i="5"/>
  <c r="D551" i="5"/>
  <c r="E552" i="5"/>
  <c r="C553" i="5"/>
  <c r="E551" i="5"/>
  <c r="C639" i="4" l="1" a="1"/>
  <c r="C639" i="4" s="1"/>
  <c r="J633" i="4"/>
  <c r="C640" i="4" s="1"/>
  <c r="C641" i="4" s="1" a="1"/>
  <c r="C555" i="5" a="1"/>
  <c r="C555" i="5" s="1"/>
  <c r="G551" i="5"/>
  <c r="C556" i="5" s="1"/>
  <c r="C557" i="5" s="1" a="1"/>
  <c r="D647" i="4" l="1"/>
  <c r="C646" i="4"/>
  <c r="G644" i="4"/>
  <c r="E642" i="4"/>
  <c r="F643" i="4"/>
  <c r="C644" i="4"/>
  <c r="C641" i="4"/>
  <c r="D642" i="4"/>
  <c r="C643" i="4"/>
  <c r="D643" i="4"/>
  <c r="D644" i="4"/>
  <c r="D559" i="5"/>
  <c r="D560" i="5"/>
  <c r="C557" i="5"/>
  <c r="C559" i="5"/>
  <c r="D561" i="5"/>
  <c r="C647" i="4" l="1"/>
  <c r="D646" i="4"/>
  <c r="F642" i="4"/>
  <c r="G643" i="4"/>
  <c r="C642" i="4"/>
  <c r="F644" i="4"/>
  <c r="G642" i="4"/>
  <c r="E558" i="5"/>
  <c r="C561" i="5"/>
  <c r="E559" i="5"/>
  <c r="C560" i="5"/>
  <c r="C558" i="5"/>
  <c r="D558" i="5"/>
  <c r="J642" i="4" l="1"/>
  <c r="C648" i="4" a="1"/>
  <c r="C648" i="4" s="1"/>
  <c r="C562" i="5" a="1"/>
  <c r="C562" i="5" s="1"/>
  <c r="G558" i="5"/>
  <c r="C563" i="5" s="1"/>
  <c r="C564" i="5" s="1" a="1"/>
  <c r="C649" i="4" l="1"/>
  <c r="C650" i="4" s="1" a="1"/>
  <c r="D568" i="5"/>
  <c r="D567" i="5"/>
  <c r="C566" i="5"/>
  <c r="D566" i="5"/>
  <c r="C564" i="5"/>
  <c r="D656" i="4" l="1"/>
  <c r="C655" i="4"/>
  <c r="C652" i="4"/>
  <c r="G653" i="4"/>
  <c r="C653" i="4"/>
  <c r="F652" i="4"/>
  <c r="C650" i="4"/>
  <c r="D651" i="4"/>
  <c r="E651" i="4"/>
  <c r="D652" i="4"/>
  <c r="E565" i="5"/>
  <c r="C568" i="5"/>
  <c r="C567" i="5"/>
  <c r="D565" i="5"/>
  <c r="E566" i="5"/>
  <c r="C565" i="5"/>
  <c r="D655" i="4" l="1"/>
  <c r="G651" i="4"/>
  <c r="F653" i="4"/>
  <c r="G652" i="4"/>
  <c r="C656" i="4"/>
  <c r="C651" i="4"/>
  <c r="F651" i="4"/>
  <c r="D653" i="4"/>
  <c r="C569" i="5" a="1"/>
  <c r="C569" i="5" s="1"/>
  <c r="G565" i="5"/>
  <c r="C570" i="5" s="1"/>
  <c r="C571" i="5" s="1" a="1"/>
  <c r="J651" i="4" l="1"/>
  <c r="C657" i="4" a="1"/>
  <c r="C657" i="4" s="1"/>
  <c r="D575" i="5"/>
  <c r="D574" i="5"/>
  <c r="C571" i="5"/>
  <c r="D573" i="5"/>
  <c r="C573" i="5"/>
  <c r="C658" i="4" l="1"/>
  <c r="C659" i="4" s="1" a="1"/>
  <c r="C572" i="5"/>
  <c r="C575" i="5"/>
  <c r="E573" i="5"/>
  <c r="C574" i="5"/>
  <c r="D572" i="5"/>
  <c r="E572" i="5"/>
  <c r="C664" i="4" l="1"/>
  <c r="C661" i="4"/>
  <c r="C659" i="4"/>
  <c r="E660" i="4"/>
  <c r="D661" i="4"/>
  <c r="F661" i="4"/>
  <c r="D665" i="4"/>
  <c r="D660" i="4"/>
  <c r="C662" i="4"/>
  <c r="D662" i="4"/>
  <c r="G662" i="4"/>
  <c r="C576" i="5" a="1"/>
  <c r="C576" i="5" s="1"/>
  <c r="G572" i="5"/>
  <c r="C577" i="5" s="1"/>
  <c r="C578" i="5" s="1" a="1"/>
  <c r="F660" i="4" l="1"/>
  <c r="G660" i="4"/>
  <c r="C660" i="4"/>
  <c r="D664" i="4"/>
  <c r="C665" i="4"/>
  <c r="G661" i="4"/>
  <c r="F662" i="4"/>
  <c r="C578" i="5"/>
  <c r="C580" i="5"/>
  <c r="D580" i="5"/>
  <c r="D581" i="5"/>
  <c r="D582" i="5"/>
  <c r="J660" i="4" l="1"/>
  <c r="C666" i="4" a="1"/>
  <c r="C666" i="4" s="1"/>
  <c r="C579" i="5"/>
  <c r="D579" i="5"/>
  <c r="E579" i="5"/>
  <c r="C581" i="5"/>
  <c r="C582" i="5"/>
  <c r="E580" i="5"/>
  <c r="C667" i="4" l="1"/>
  <c r="C668" i="4" s="1" a="1"/>
  <c r="C583" i="5" a="1"/>
  <c r="C583" i="5" s="1"/>
  <c r="G579" i="5"/>
  <c r="C584" i="5" s="1"/>
  <c r="C585" i="5" s="1" a="1"/>
  <c r="G671" i="4" l="1"/>
  <c r="C673" i="4"/>
  <c r="C668" i="4"/>
  <c r="D671" i="4" s="1"/>
  <c r="E669" i="4"/>
  <c r="C670" i="4"/>
  <c r="C671" i="4"/>
  <c r="D670" i="4"/>
  <c r="D674" i="4"/>
  <c r="F670" i="4"/>
  <c r="C585" i="5"/>
  <c r="C587" i="5"/>
  <c r="D587" i="5"/>
  <c r="D588" i="5"/>
  <c r="D589" i="5"/>
  <c r="F671" i="4" l="1"/>
  <c r="D673" i="4"/>
  <c r="C669" i="4"/>
  <c r="F669" i="4"/>
  <c r="G669" i="4"/>
  <c r="G670" i="4"/>
  <c r="C674" i="4"/>
  <c r="D669" i="4"/>
  <c r="C586" i="5"/>
  <c r="D586" i="5"/>
  <c r="E586" i="5"/>
  <c r="E587" i="5"/>
  <c r="C588" i="5"/>
  <c r="C589" i="5"/>
  <c r="J669" i="4" l="1"/>
  <c r="C675" i="4" a="1"/>
  <c r="C675" i="4" s="1"/>
  <c r="C590" i="5" a="1"/>
  <c r="C590" i="5" s="1"/>
  <c r="G586" i="5"/>
  <c r="C591" i="5" s="1"/>
  <c r="C592" i="5" s="1" a="1"/>
  <c r="C676" i="4" l="1"/>
  <c r="C677" i="4" s="1" a="1"/>
  <c r="C594" i="5"/>
  <c r="D594" i="5"/>
  <c r="D595" i="5"/>
  <c r="D596" i="5"/>
  <c r="C592" i="5"/>
  <c r="C680" i="4" l="1"/>
  <c r="C682" i="4"/>
  <c r="E678" i="4"/>
  <c r="C679" i="4"/>
  <c r="D683" i="4"/>
  <c r="F679" i="4"/>
  <c r="G680" i="4"/>
  <c r="D679" i="4"/>
  <c r="C677" i="4"/>
  <c r="D678" i="4"/>
  <c r="D593" i="5"/>
  <c r="E593" i="5"/>
  <c r="C596" i="5"/>
  <c r="C593" i="5"/>
  <c r="E594" i="5"/>
  <c r="C595" i="5"/>
  <c r="G679" i="4" l="1"/>
  <c r="C678" i="4"/>
  <c r="C683" i="4"/>
  <c r="F680" i="4"/>
  <c r="G678" i="4"/>
  <c r="D682" i="4"/>
  <c r="F678" i="4"/>
  <c r="D680" i="4"/>
  <c r="C597" i="5" a="1"/>
  <c r="C597" i="5" s="1"/>
  <c r="G593" i="5"/>
  <c r="J678" i="4" l="1"/>
  <c r="C684" i="4" a="1"/>
  <c r="C684" i="4" s="1"/>
  <c r="C598" i="5"/>
  <c r="C599" i="5" s="1" a="1"/>
  <c r="C599" i="5" s="1"/>
  <c r="D603" i="5"/>
  <c r="C685" i="4" l="1"/>
  <c r="C686" i="4" s="1" a="1"/>
  <c r="D602" i="5"/>
  <c r="D601" i="5"/>
  <c r="C601" i="5"/>
  <c r="C600" i="5"/>
  <c r="E601" i="5"/>
  <c r="C602" i="5"/>
  <c r="D600" i="5"/>
  <c r="E600" i="5"/>
  <c r="C603" i="5"/>
  <c r="C688" i="4" l="1"/>
  <c r="D688" i="4"/>
  <c r="C689" i="4"/>
  <c r="C686" i="4"/>
  <c r="C691" i="4"/>
  <c r="D692" i="4"/>
  <c r="F688" i="4"/>
  <c r="D689" i="4"/>
  <c r="D687" i="4"/>
  <c r="E687" i="4"/>
  <c r="G689" i="4"/>
  <c r="C604" i="5" a="1"/>
  <c r="C604" i="5" s="1"/>
  <c r="G600" i="5"/>
  <c r="C605" i="5" s="1"/>
  <c r="C606" i="5" s="1" a="1"/>
  <c r="G688" i="4" l="1"/>
  <c r="D691" i="4"/>
  <c r="F687" i="4"/>
  <c r="F689" i="4"/>
  <c r="C692" i="4"/>
  <c r="C687" i="4"/>
  <c r="G687" i="4"/>
  <c r="C606" i="5"/>
  <c r="D610" i="5"/>
  <c r="C608" i="5"/>
  <c r="D608" i="5"/>
  <c r="D609" i="5"/>
  <c r="J687" i="4" l="1"/>
  <c r="C693" i="4" a="1"/>
  <c r="C693" i="4" s="1"/>
  <c r="C607" i="5"/>
  <c r="C610" i="5"/>
  <c r="D607" i="5"/>
  <c r="E607" i="5"/>
  <c r="C609" i="5"/>
  <c r="E608" i="5"/>
  <c r="C694" i="4" l="1"/>
  <c r="C695" i="4" s="1" a="1"/>
  <c r="C611" i="5" a="1"/>
  <c r="C611" i="5" s="1"/>
  <c r="G607" i="5"/>
  <c r="E696" i="4" l="1"/>
  <c r="F697" i="4"/>
  <c r="C695" i="4"/>
  <c r="D697" i="4"/>
  <c r="G698" i="4"/>
  <c r="C700" i="4"/>
  <c r="D696" i="4"/>
  <c r="C697" i="4"/>
  <c r="D701" i="4"/>
  <c r="C698" i="4"/>
  <c r="D698" i="4"/>
  <c r="C612" i="5"/>
  <c r="C613" i="5" s="1" a="1"/>
  <c r="F696" i="4" l="1"/>
  <c r="D700" i="4"/>
  <c r="C701" i="4"/>
  <c r="F698" i="4"/>
  <c r="C696" i="4"/>
  <c r="G696" i="4"/>
  <c r="G697" i="4"/>
  <c r="C613" i="5"/>
  <c r="D616" i="5"/>
  <c r="D617" i="5"/>
  <c r="C615" i="5"/>
  <c r="D615" i="5"/>
  <c r="C702" i="4" l="1" a="1"/>
  <c r="C702" i="4" s="1"/>
  <c r="J696" i="4"/>
  <c r="C614" i="5"/>
  <c r="D614" i="5"/>
  <c r="E615" i="5"/>
  <c r="C616" i="5"/>
  <c r="C617" i="5"/>
  <c r="E614" i="5"/>
  <c r="C703" i="4" l="1"/>
  <c r="C704" i="4" s="1" a="1"/>
  <c r="C618" i="5" a="1"/>
  <c r="C618" i="5" s="1"/>
  <c r="G614" i="5"/>
  <c r="C619" i="5" s="1"/>
  <c r="C620" i="5" s="1" a="1"/>
  <c r="C704" i="4" l="1"/>
  <c r="C706" i="4"/>
  <c r="D706" i="4"/>
  <c r="F706" i="4"/>
  <c r="C707" i="4"/>
  <c r="D707" i="4"/>
  <c r="D705" i="4"/>
  <c r="E705" i="4"/>
  <c r="C709" i="4"/>
  <c r="G707" i="4"/>
  <c r="D710" i="4"/>
  <c r="C620" i="5"/>
  <c r="D624" i="5"/>
  <c r="C622" i="5"/>
  <c r="D622" i="5"/>
  <c r="D623" i="5"/>
  <c r="C705" i="4" l="1"/>
  <c r="G706" i="4"/>
  <c r="F707" i="4"/>
  <c r="D709" i="4"/>
  <c r="F705" i="4"/>
  <c r="G705" i="4"/>
  <c r="C710" i="4"/>
  <c r="C624" i="5"/>
  <c r="C621" i="5"/>
  <c r="D621" i="5"/>
  <c r="E621" i="5"/>
  <c r="E622" i="5"/>
  <c r="C623" i="5"/>
  <c r="C711" i="4" l="1" a="1"/>
  <c r="C711" i="4" s="1"/>
  <c r="J705" i="4"/>
  <c r="C712" i="4" s="1"/>
  <c r="C713" i="4" s="1" a="1"/>
  <c r="C625" i="5" a="1"/>
  <c r="C625" i="5" s="1"/>
  <c r="G621" i="5"/>
  <c r="C626" i="5" s="1"/>
  <c r="C627" i="5" s="1" a="1"/>
  <c r="D719" i="4" l="1"/>
  <c r="C713" i="4"/>
  <c r="F715" i="4"/>
  <c r="G716" i="4"/>
  <c r="C716" i="4"/>
  <c r="D716" i="4"/>
  <c r="D714" i="4"/>
  <c r="E714" i="4"/>
  <c r="C715" i="4"/>
  <c r="C718" i="4"/>
  <c r="D715" i="4"/>
  <c r="C627" i="5"/>
  <c r="C629" i="5"/>
  <c r="D629" i="5"/>
  <c r="D631" i="5"/>
  <c r="D630" i="5"/>
  <c r="C719" i="4" l="1"/>
  <c r="F714" i="4"/>
  <c r="G714" i="4"/>
  <c r="C714" i="4"/>
  <c r="F716" i="4"/>
  <c r="D718" i="4"/>
  <c r="G715" i="4"/>
  <c r="C631" i="5"/>
  <c r="C628" i="5"/>
  <c r="D628" i="5"/>
  <c r="E628" i="5"/>
  <c r="E629" i="5"/>
  <c r="C630" i="5"/>
  <c r="C720" i="4" l="1" a="1"/>
  <c r="C720" i="4" s="1"/>
  <c r="J714" i="4"/>
  <c r="C632" i="5" a="1"/>
  <c r="C632" i="5" s="1"/>
  <c r="G628" i="5"/>
  <c r="C633" i="5" s="1"/>
  <c r="C634" i="5" s="1" a="1"/>
  <c r="C721" i="4" l="1"/>
  <c r="C722" i="4" s="1" a="1"/>
  <c r="D637" i="5"/>
  <c r="D636" i="5"/>
  <c r="C636" i="5"/>
  <c r="D638" i="5"/>
  <c r="C634" i="5"/>
  <c r="E723" i="4" l="1"/>
  <c r="C722" i="4"/>
  <c r="C727" i="4"/>
  <c r="C724" i="4"/>
  <c r="D724" i="4"/>
  <c r="F724" i="4"/>
  <c r="C725" i="4"/>
  <c r="D725" i="4"/>
  <c r="G725" i="4"/>
  <c r="D728" i="4"/>
  <c r="D635" i="5"/>
  <c r="E635" i="5"/>
  <c r="E636" i="5"/>
  <c r="C637" i="5"/>
  <c r="C638" i="5"/>
  <c r="C635" i="5"/>
  <c r="D727" i="4" l="1"/>
  <c r="G724" i="4"/>
  <c r="F723" i="4"/>
  <c r="G723" i="4"/>
  <c r="C723" i="4"/>
  <c r="F725" i="4"/>
  <c r="C728" i="4"/>
  <c r="D723" i="4"/>
  <c r="C639" i="5" a="1"/>
  <c r="C639" i="5" s="1"/>
  <c r="G635" i="5"/>
  <c r="C640" i="5" s="1"/>
  <c r="C641" i="5" s="1" a="1"/>
  <c r="J723" i="4" l="1"/>
  <c r="C729" i="4" a="1"/>
  <c r="C729" i="4" s="1"/>
  <c r="D644" i="5"/>
  <c r="C643" i="5"/>
  <c r="D643" i="5"/>
  <c r="D645" i="5"/>
  <c r="C641" i="5"/>
  <c r="C730" i="4" l="1"/>
  <c r="C731" i="4" s="1" a="1"/>
  <c r="E642" i="5"/>
  <c r="C645" i="5"/>
  <c r="D642" i="5"/>
  <c r="E643" i="5"/>
  <c r="C644" i="5"/>
  <c r="C642" i="5"/>
  <c r="C731" i="4" l="1"/>
  <c r="C733" i="4"/>
  <c r="D733" i="4"/>
  <c r="D737" i="4"/>
  <c r="C734" i="4"/>
  <c r="D734" i="4"/>
  <c r="F733" i="4"/>
  <c r="G734" i="4"/>
  <c r="C736" i="4"/>
  <c r="D732" i="4"/>
  <c r="E732" i="4"/>
  <c r="C646" i="5" a="1"/>
  <c r="C646" i="5" s="1"/>
  <c r="G642" i="5"/>
  <c r="C647" i="5" s="1"/>
  <c r="C648" i="5" s="1" a="1"/>
  <c r="C732" i="4" l="1"/>
  <c r="G733" i="4"/>
  <c r="C737" i="4"/>
  <c r="F734" i="4"/>
  <c r="D736" i="4"/>
  <c r="F732" i="4"/>
  <c r="G732" i="4"/>
  <c r="C650" i="5"/>
  <c r="D650" i="5"/>
  <c r="C648" i="5"/>
  <c r="D651" i="5"/>
  <c r="D652" i="5"/>
  <c r="C738" i="4" l="1" a="1"/>
  <c r="C738" i="4" s="1"/>
  <c r="J732" i="4"/>
  <c r="E650" i="5"/>
  <c r="C649" i="5"/>
  <c r="D649" i="5"/>
  <c r="E649" i="5"/>
  <c r="C651" i="5"/>
  <c r="C652" i="5"/>
  <c r="C739" i="4" l="1"/>
  <c r="C740" i="4" s="1" a="1"/>
  <c r="C653" i="5" a="1"/>
  <c r="C653" i="5" s="1"/>
  <c r="G649" i="5"/>
  <c r="C654" i="5" s="1"/>
  <c r="C655" i="5" s="1" a="1"/>
  <c r="G743" i="4" l="1"/>
  <c r="C742" i="4"/>
  <c r="D742" i="4"/>
  <c r="C740" i="4"/>
  <c r="C745" i="4"/>
  <c r="D741" i="4"/>
  <c r="E741" i="4"/>
  <c r="D746" i="4"/>
  <c r="F742" i="4"/>
  <c r="D743" i="4"/>
  <c r="C743" i="4"/>
  <c r="D657" i="5"/>
  <c r="D658" i="5"/>
  <c r="C657" i="5"/>
  <c r="D659" i="5"/>
  <c r="C655" i="5"/>
  <c r="F743" i="4" l="1"/>
  <c r="C746" i="4"/>
  <c r="C741" i="4"/>
  <c r="D745" i="4"/>
  <c r="F741" i="4"/>
  <c r="G741" i="4"/>
  <c r="G742" i="4"/>
  <c r="E657" i="5"/>
  <c r="C658" i="5"/>
  <c r="E656" i="5"/>
  <c r="C659" i="5"/>
  <c r="C656" i="5"/>
  <c r="D656" i="5"/>
  <c r="C747" i="4" l="1" a="1"/>
  <c r="C747" i="4" s="1"/>
  <c r="J741" i="4"/>
  <c r="C660" i="5" a="1"/>
  <c r="C660" i="5" s="1"/>
  <c r="G656" i="5"/>
  <c r="C661" i="5" s="1"/>
  <c r="C662" i="5" s="1" a="1"/>
  <c r="C748" i="4" l="1"/>
  <c r="C749" i="4" s="1" a="1"/>
  <c r="C664" i="5"/>
  <c r="D665" i="5"/>
  <c r="D664" i="5"/>
  <c r="D666" i="5"/>
  <c r="C662" i="5"/>
  <c r="C752" i="4" l="1"/>
  <c r="D755" i="4"/>
  <c r="G752" i="4"/>
  <c r="D751" i="4"/>
  <c r="C751" i="4"/>
  <c r="C754" i="4"/>
  <c r="F751" i="4"/>
  <c r="E750" i="4"/>
  <c r="C749" i="4"/>
  <c r="D752" i="4"/>
  <c r="C665" i="5"/>
  <c r="C663" i="5"/>
  <c r="D663" i="5"/>
  <c r="E663" i="5"/>
  <c r="C666" i="5"/>
  <c r="E664" i="5"/>
  <c r="G751" i="4" l="1"/>
  <c r="C755" i="4"/>
  <c r="D754" i="4"/>
  <c r="F750" i="4"/>
  <c r="G750" i="4"/>
  <c r="C750" i="4"/>
  <c r="F752" i="4"/>
  <c r="D750" i="4"/>
  <c r="C667" i="5" a="1"/>
  <c r="C667" i="5" s="1"/>
  <c r="G663" i="5"/>
  <c r="C668" i="5" s="1"/>
  <c r="C669" i="5" s="1" a="1"/>
  <c r="C756" i="4" l="1" a="1"/>
  <c r="C756" i="4" s="1"/>
  <c r="J750" i="4"/>
  <c r="C671" i="5"/>
  <c r="D672" i="5"/>
  <c r="D671" i="5"/>
  <c r="C669" i="5"/>
  <c r="D673" i="5"/>
  <c r="C757" i="4" l="1"/>
  <c r="C758" i="4" s="1" a="1"/>
  <c r="C673" i="5"/>
  <c r="E671" i="5"/>
  <c r="C670" i="5"/>
  <c r="D670" i="5"/>
  <c r="C672" i="5"/>
  <c r="E670" i="5"/>
  <c r="C760" i="4" l="1"/>
  <c r="D760" i="4"/>
  <c r="G761" i="4"/>
  <c r="C761" i="4"/>
  <c r="E759" i="4"/>
  <c r="D764" i="4"/>
  <c r="C763" i="4"/>
  <c r="C758" i="4"/>
  <c r="D759" i="4"/>
  <c r="F760" i="4"/>
  <c r="C674" i="5" a="1"/>
  <c r="C674" i="5" s="1"/>
  <c r="G670" i="5"/>
  <c r="C675" i="5" s="1"/>
  <c r="C676" i="5" s="1" a="1"/>
  <c r="C764" i="4" l="1"/>
  <c r="C759" i="4"/>
  <c r="F761" i="4"/>
  <c r="F759" i="4"/>
  <c r="G759" i="4"/>
  <c r="D763" i="4"/>
  <c r="G760" i="4"/>
  <c r="D761" i="4"/>
  <c r="D679" i="5"/>
  <c r="D680" i="5"/>
  <c r="C678" i="5"/>
  <c r="D678" i="5"/>
  <c r="C676" i="5"/>
  <c r="C765" i="4" l="1" a="1"/>
  <c r="C765" i="4" s="1"/>
  <c r="J759" i="4"/>
  <c r="D677" i="5"/>
  <c r="C680" i="5"/>
  <c r="E678" i="5"/>
  <c r="C679" i="5"/>
  <c r="C677" i="5"/>
  <c r="E677" i="5"/>
  <c r="C766" i="4" l="1"/>
  <c r="C767" i="4" s="1" a="1"/>
  <c r="C681" i="5" a="1"/>
  <c r="C681" i="5" s="1"/>
  <c r="G677" i="5"/>
  <c r="C682" i="5" s="1"/>
  <c r="C683" i="5" s="1" a="1"/>
  <c r="E768" i="4" l="1"/>
  <c r="G770" i="4"/>
  <c r="C770" i="4"/>
  <c r="C769" i="4"/>
  <c r="D769" i="4"/>
  <c r="F769" i="4"/>
  <c r="C767" i="4"/>
  <c r="C772" i="4"/>
  <c r="D773" i="4"/>
  <c r="D687" i="5"/>
  <c r="D686" i="5"/>
  <c r="C683" i="5"/>
  <c r="C685" i="5"/>
  <c r="D685" i="5"/>
  <c r="F768" i="4" l="1"/>
  <c r="D772" i="4"/>
  <c r="G769" i="4"/>
  <c r="F770" i="4"/>
  <c r="G768" i="4"/>
  <c r="C773" i="4"/>
  <c r="C768" i="4"/>
  <c r="D768" i="4"/>
  <c r="D770" i="4"/>
  <c r="D684" i="5"/>
  <c r="C687" i="5"/>
  <c r="C684" i="5"/>
  <c r="E684" i="5"/>
  <c r="E685" i="5"/>
  <c r="C686" i="5"/>
  <c r="C774" i="4" l="1" a="1"/>
  <c r="C774" i="4" s="1"/>
  <c r="J768" i="4"/>
  <c r="C688" i="5" a="1"/>
  <c r="C688" i="5" s="1"/>
  <c r="G684" i="5"/>
  <c r="C689" i="5" s="1"/>
  <c r="C690" i="5" s="1" a="1"/>
  <c r="C775" i="4" l="1"/>
  <c r="C776" i="4" s="1" a="1"/>
  <c r="C690" i="5"/>
  <c r="D694" i="5"/>
  <c r="D692" i="5"/>
  <c r="C692" i="5"/>
  <c r="D693" i="5"/>
  <c r="C776" i="4" l="1"/>
  <c r="C781" i="4"/>
  <c r="D782" i="4"/>
  <c r="D779" i="4"/>
  <c r="F778" i="4"/>
  <c r="D777" i="4"/>
  <c r="E777" i="4"/>
  <c r="C778" i="4"/>
  <c r="D778" i="4"/>
  <c r="C779" i="4"/>
  <c r="G779" i="4"/>
  <c r="C694" i="5"/>
  <c r="E692" i="5"/>
  <c r="C693" i="5"/>
  <c r="C691" i="5"/>
  <c r="D691" i="5"/>
  <c r="E691" i="5"/>
  <c r="F777" i="4" l="1"/>
  <c r="C777" i="4"/>
  <c r="G777" i="4"/>
  <c r="C782" i="4"/>
  <c r="G778" i="4"/>
  <c r="F779" i="4"/>
  <c r="D781" i="4"/>
  <c r="C695" i="5" a="1"/>
  <c r="C695" i="5" s="1"/>
  <c r="G691" i="5"/>
  <c r="C696" i="5" s="1"/>
  <c r="C697" i="5" s="1" a="1"/>
  <c r="C783" i="4" l="1" a="1"/>
  <c r="C783" i="4" s="1"/>
  <c r="J777" i="4"/>
  <c r="C784" i="4" s="1"/>
  <c r="C785" i="4" s="1" a="1"/>
  <c r="C697" i="5"/>
  <c r="C699" i="5"/>
  <c r="D699" i="5"/>
  <c r="D700" i="5"/>
  <c r="D701" i="5"/>
  <c r="D791" i="4" l="1"/>
  <c r="F787" i="4"/>
  <c r="E786" i="4"/>
  <c r="C790" i="4"/>
  <c r="C787" i="4"/>
  <c r="D787" i="4"/>
  <c r="G788" i="4"/>
  <c r="C785" i="4"/>
  <c r="C788" i="4"/>
  <c r="C698" i="5"/>
  <c r="D698" i="5"/>
  <c r="E698" i="5"/>
  <c r="E699" i="5"/>
  <c r="C700" i="5"/>
  <c r="C701" i="5"/>
  <c r="C791" i="4" l="1"/>
  <c r="G787" i="4"/>
  <c r="G786" i="4"/>
  <c r="D790" i="4"/>
  <c r="F788" i="4"/>
  <c r="C786" i="4"/>
  <c r="F786" i="4"/>
  <c r="D788" i="4"/>
  <c r="D786" i="4"/>
  <c r="C702" i="5" a="1"/>
  <c r="C702" i="5" s="1"/>
  <c r="G698" i="5"/>
  <c r="C703" i="5" s="1"/>
  <c r="C704" i="5" s="1" a="1"/>
  <c r="J786" i="4" l="1"/>
  <c r="C792" i="4" a="1"/>
  <c r="C792" i="4" s="1"/>
  <c r="D707" i="5"/>
  <c r="D706" i="5"/>
  <c r="C704" i="5"/>
  <c r="C706" i="5"/>
  <c r="D708" i="5"/>
  <c r="C793" i="4" l="1"/>
  <c r="C794" i="4" s="1" a="1"/>
  <c r="C705" i="5"/>
  <c r="D705" i="5"/>
  <c r="E706" i="5"/>
  <c r="C707" i="5"/>
  <c r="C708" i="5"/>
  <c r="E705" i="5"/>
  <c r="G797" i="4" l="1"/>
  <c r="E795" i="4"/>
  <c r="F796" i="4"/>
  <c r="C799" i="4"/>
  <c r="C796" i="4"/>
  <c r="C797" i="4"/>
  <c r="D800" i="4"/>
  <c r="C794" i="4"/>
  <c r="D796" i="4"/>
  <c r="C709" i="5" a="1"/>
  <c r="C709" i="5" s="1"/>
  <c r="G705" i="5"/>
  <c r="C710" i="5" s="1"/>
  <c r="C711" i="5" s="1" a="1"/>
  <c r="D799" i="4" l="1"/>
  <c r="G795" i="4"/>
  <c r="F795" i="4"/>
  <c r="C800" i="4"/>
  <c r="G796" i="4"/>
  <c r="C795" i="4"/>
  <c r="F797" i="4"/>
  <c r="D797" i="4"/>
  <c r="D795" i="4"/>
  <c r="C713" i="5"/>
  <c r="D713" i="5"/>
  <c r="C711" i="5"/>
  <c r="D714" i="5"/>
  <c r="D715" i="5"/>
  <c r="J795" i="4" l="1"/>
  <c r="C801" i="4" a="1"/>
  <c r="C801" i="4" s="1"/>
  <c r="E712" i="5"/>
  <c r="E713" i="5"/>
  <c r="C712" i="5"/>
  <c r="D712" i="5"/>
  <c r="C714" i="5"/>
  <c r="C715" i="5"/>
  <c r="C802" i="4" l="1"/>
  <c r="C803" i="4" s="1" a="1"/>
  <c r="C716" i="5" a="1"/>
  <c r="C716" i="5" s="1"/>
  <c r="G712" i="5"/>
  <c r="C717" i="5" s="1"/>
  <c r="C718" i="5" s="1" a="1"/>
  <c r="C808" i="4" l="1"/>
  <c r="C805" i="4"/>
  <c r="D805" i="4"/>
  <c r="E804" i="4"/>
  <c r="C806" i="4"/>
  <c r="D809" i="4"/>
  <c r="F805" i="4"/>
  <c r="G806" i="4"/>
  <c r="C803" i="4"/>
  <c r="D804" i="4" s="1"/>
  <c r="C718" i="5"/>
  <c r="D721" i="5"/>
  <c r="C720" i="5"/>
  <c r="D720" i="5"/>
  <c r="D722" i="5"/>
  <c r="D808" i="4" l="1"/>
  <c r="F804" i="4"/>
  <c r="F806" i="4"/>
  <c r="C809" i="4"/>
  <c r="G805" i="4"/>
  <c r="C804" i="4"/>
  <c r="G804" i="4"/>
  <c r="D806" i="4"/>
  <c r="C719" i="5"/>
  <c r="C721" i="5"/>
  <c r="D719" i="5"/>
  <c r="E719" i="5"/>
  <c r="E720" i="5"/>
  <c r="C722" i="5"/>
  <c r="C810" i="4" l="1" a="1"/>
  <c r="C810" i="4" s="1"/>
  <c r="J804" i="4"/>
  <c r="C811" i="4" s="1"/>
  <c r="C812" i="4" s="1" a="1"/>
  <c r="C723" i="5" a="1"/>
  <c r="C723" i="5" s="1"/>
  <c r="G719" i="5"/>
  <c r="C724" i="5" s="1"/>
  <c r="C725" i="5" s="1" a="1"/>
  <c r="G815" i="4" l="1"/>
  <c r="F814" i="4"/>
  <c r="C814" i="4"/>
  <c r="E813" i="4"/>
  <c r="C817" i="4"/>
  <c r="D818" i="4"/>
  <c r="C812" i="4"/>
  <c r="D813" i="4"/>
  <c r="D814" i="4"/>
  <c r="C815" i="4"/>
  <c r="D815" i="4"/>
  <c r="D729" i="5"/>
  <c r="C725" i="5"/>
  <c r="C727" i="5"/>
  <c r="D727" i="5"/>
  <c r="D728" i="5"/>
  <c r="F815" i="4" l="1"/>
  <c r="F813" i="4"/>
  <c r="D817" i="4"/>
  <c r="G813" i="4"/>
  <c r="C818" i="4"/>
  <c r="C813" i="4"/>
  <c r="G814" i="4"/>
  <c r="C729" i="5"/>
  <c r="E727" i="5"/>
  <c r="C728" i="5"/>
  <c r="E726" i="5"/>
  <c r="C726" i="5"/>
  <c r="D726" i="5"/>
  <c r="J813" i="4" l="1"/>
  <c r="C819" i="4" a="1"/>
  <c r="C819" i="4" s="1"/>
  <c r="C730" i="5" a="1"/>
  <c r="C730" i="5" s="1"/>
  <c r="G726" i="5"/>
  <c r="C731" i="5" s="1"/>
  <c r="C732" i="5" s="1" a="1"/>
  <c r="C820" i="4" l="1"/>
  <c r="C821" i="4" s="1" a="1"/>
  <c r="D736" i="5"/>
  <c r="C734" i="5"/>
  <c r="C732" i="5"/>
  <c r="D735" i="5"/>
  <c r="D734" i="5"/>
  <c r="C824" i="4" l="1"/>
  <c r="C823" i="4"/>
  <c r="D823" i="4"/>
  <c r="E822" i="4"/>
  <c r="F823" i="4"/>
  <c r="C821" i="4"/>
  <c r="D824" i="4"/>
  <c r="D822" i="4"/>
  <c r="G824" i="4"/>
  <c r="C826" i="4"/>
  <c r="D827" i="4"/>
  <c r="C733" i="5"/>
  <c r="D733" i="5"/>
  <c r="E733" i="5"/>
  <c r="C736" i="5"/>
  <c r="C735" i="5"/>
  <c r="E734" i="5"/>
  <c r="G823" i="4" l="1"/>
  <c r="G822" i="4"/>
  <c r="C827" i="4"/>
  <c r="D826" i="4"/>
  <c r="F822" i="4"/>
  <c r="F824" i="4"/>
  <c r="C822" i="4"/>
  <c r="C737" i="5" a="1"/>
  <c r="C737" i="5" s="1"/>
  <c r="G733" i="5"/>
  <c r="C738" i="5" s="1"/>
  <c r="C739" i="5" s="1" a="1"/>
  <c r="J822" i="4" l="1"/>
  <c r="C828" i="4" a="1"/>
  <c r="C828" i="4" s="1"/>
  <c r="C739" i="5"/>
  <c r="C741" i="5"/>
  <c r="D741" i="5"/>
  <c r="D742" i="5"/>
  <c r="D743" i="5"/>
  <c r="C829" i="4" l="1"/>
  <c r="C830" i="4" s="1" a="1"/>
  <c r="D740" i="5"/>
  <c r="C740" i="5"/>
  <c r="E740" i="5"/>
  <c r="E741" i="5"/>
  <c r="C742" i="5"/>
  <c r="C743" i="5"/>
  <c r="C832" i="4" l="1"/>
  <c r="D832" i="4"/>
  <c r="E831" i="4"/>
  <c r="C833" i="4"/>
  <c r="F832" i="4"/>
  <c r="D836" i="4"/>
  <c r="C835" i="4"/>
  <c r="G833" i="4"/>
  <c r="C830" i="4"/>
  <c r="D833" i="4" s="1"/>
  <c r="C744" i="5" a="1"/>
  <c r="C744" i="5" s="1"/>
  <c r="G740" i="5"/>
  <c r="C745" i="5" s="1"/>
  <c r="C746" i="5" s="1" a="1"/>
  <c r="G831" i="4" l="1"/>
  <c r="F833" i="4"/>
  <c r="F831" i="4"/>
  <c r="D835" i="4"/>
  <c r="C836" i="4"/>
  <c r="C831" i="4"/>
  <c r="G832" i="4"/>
  <c r="D831" i="4"/>
  <c r="C748" i="5"/>
  <c r="C746" i="5"/>
  <c r="D748" i="5"/>
  <c r="D749" i="5"/>
  <c r="D750" i="5"/>
  <c r="J831" i="4" l="1"/>
  <c r="C837" i="4" a="1"/>
  <c r="C837" i="4" s="1"/>
  <c r="D747" i="5"/>
  <c r="E747" i="5"/>
  <c r="C747" i="5"/>
  <c r="E748" i="5"/>
  <c r="C749" i="5"/>
  <c r="C750" i="5"/>
  <c r="C838" i="4" l="1"/>
  <c r="C839" i="4" s="1" a="1"/>
  <c r="C751" i="5" a="1"/>
  <c r="C751" i="5" s="1"/>
  <c r="G747" i="5"/>
  <c r="C752" i="5" s="1"/>
  <c r="C753" i="5" s="1" a="1"/>
  <c r="E840" i="4" l="1"/>
  <c r="C841" i="4"/>
  <c r="C842" i="4"/>
  <c r="G842" i="4"/>
  <c r="D845" i="4"/>
  <c r="F841" i="4"/>
  <c r="C844" i="4"/>
  <c r="C839" i="4"/>
  <c r="D840" i="4"/>
  <c r="D841" i="4"/>
  <c r="C755" i="5"/>
  <c r="D757" i="5"/>
  <c r="D755" i="5"/>
  <c r="D756" i="5"/>
  <c r="C753" i="5"/>
  <c r="F840" i="4" l="1"/>
  <c r="G840" i="4"/>
  <c r="C845" i="4"/>
  <c r="F842" i="4"/>
  <c r="G841" i="4"/>
  <c r="D844" i="4"/>
  <c r="C840" i="4"/>
  <c r="D842" i="4"/>
  <c r="C756" i="5"/>
  <c r="D754" i="5"/>
  <c r="E754" i="5"/>
  <c r="C757" i="5"/>
  <c r="E755" i="5"/>
  <c r="C754" i="5"/>
  <c r="J840" i="4" l="1"/>
  <c r="C846" i="4" a="1"/>
  <c r="C846" i="4" s="1"/>
  <c r="C758" i="5" a="1"/>
  <c r="C758" i="5" s="1"/>
  <c r="G754" i="5"/>
  <c r="C759" i="5" s="1"/>
  <c r="C760" i="5" s="1" a="1"/>
  <c r="C847" i="4" l="1"/>
  <c r="C848" i="4" s="1" a="1"/>
  <c r="C762" i="5"/>
  <c r="D762" i="5"/>
  <c r="D763" i="5"/>
  <c r="D764" i="5"/>
  <c r="C760" i="5"/>
  <c r="C848" i="4" l="1"/>
  <c r="E849" i="4"/>
  <c r="C850" i="4"/>
  <c r="D854" i="4"/>
  <c r="C853" i="4"/>
  <c r="D849" i="4"/>
  <c r="C851" i="4"/>
  <c r="D851" i="4"/>
  <c r="G851" i="4"/>
  <c r="D850" i="4"/>
  <c r="F850" i="4"/>
  <c r="C763" i="5"/>
  <c r="E761" i="5"/>
  <c r="C764" i="5"/>
  <c r="C761" i="5"/>
  <c r="D761" i="5"/>
  <c r="E762" i="5"/>
  <c r="F849" i="4" l="1"/>
  <c r="F851" i="4"/>
  <c r="G849" i="4"/>
  <c r="D853" i="4"/>
  <c r="C849" i="4"/>
  <c r="G850" i="4"/>
  <c r="C854" i="4"/>
  <c r="C765" i="5" a="1"/>
  <c r="C765" i="5" s="1"/>
  <c r="G761" i="5"/>
  <c r="C766" i="5" s="1"/>
  <c r="C767" i="5" s="1" a="1"/>
  <c r="C855" i="4" l="1" a="1"/>
  <c r="C855" i="4" s="1"/>
  <c r="J849" i="4"/>
  <c r="C856" i="4" s="1"/>
  <c r="C857" i="4" s="1" a="1"/>
  <c r="D769" i="5"/>
  <c r="C769" i="5"/>
  <c r="D771" i="5"/>
  <c r="C767" i="5"/>
  <c r="D770" i="5"/>
  <c r="D863" i="4" l="1"/>
  <c r="C857" i="4"/>
  <c r="G860" i="4"/>
  <c r="D858" i="4"/>
  <c r="E858" i="4"/>
  <c r="C862" i="4"/>
  <c r="F859" i="4"/>
  <c r="C860" i="4"/>
  <c r="D860" i="4"/>
  <c r="C859" i="4"/>
  <c r="D859" i="4"/>
  <c r="C771" i="5"/>
  <c r="C768" i="5"/>
  <c r="D768" i="5"/>
  <c r="E768" i="5"/>
  <c r="E769" i="5"/>
  <c r="C770" i="5"/>
  <c r="C863" i="4" l="1"/>
  <c r="C858" i="4"/>
  <c r="F858" i="4"/>
  <c r="D862" i="4"/>
  <c r="G859" i="4"/>
  <c r="F860" i="4"/>
  <c r="G858" i="4"/>
  <c r="C772" i="5" a="1"/>
  <c r="C772" i="5" s="1"/>
  <c r="G768" i="5"/>
  <c r="C773" i="5" s="1"/>
  <c r="C774" i="5" s="1" a="1"/>
  <c r="J858" i="4" l="1"/>
  <c r="C864" i="4" a="1"/>
  <c r="C864" i="4" s="1"/>
  <c r="D776" i="5"/>
  <c r="D777" i="5"/>
  <c r="C776" i="5"/>
  <c r="D778" i="5"/>
  <c r="C774" i="5"/>
  <c r="C865" i="4" l="1"/>
  <c r="C866" i="4" s="1" a="1"/>
  <c r="E776" i="5"/>
  <c r="C777" i="5"/>
  <c r="C778" i="5"/>
  <c r="C775" i="5"/>
  <c r="D775" i="5"/>
  <c r="E775" i="5"/>
  <c r="C868" i="4" l="1"/>
  <c r="C869" i="4"/>
  <c r="C871" i="4"/>
  <c r="E867" i="4"/>
  <c r="D868" i="4"/>
  <c r="D872" i="4"/>
  <c r="C866" i="4"/>
  <c r="F868" i="4"/>
  <c r="G869" i="4"/>
  <c r="C779" i="5" a="1"/>
  <c r="C779" i="5" s="1"/>
  <c r="G775" i="5"/>
  <c r="C780" i="5" s="1"/>
  <c r="C781" i="5" s="1" a="1"/>
  <c r="D871" i="4" l="1"/>
  <c r="F869" i="4"/>
  <c r="F867" i="4"/>
  <c r="G867" i="4"/>
  <c r="C872" i="4"/>
  <c r="C867" i="4"/>
  <c r="G868" i="4"/>
  <c r="D867" i="4"/>
  <c r="D869" i="4"/>
  <c r="C781" i="5"/>
  <c r="C783" i="5"/>
  <c r="D783" i="5"/>
  <c r="D784" i="5"/>
  <c r="D785" i="5"/>
  <c r="C873" i="4" l="1" a="1"/>
  <c r="C873" i="4" s="1"/>
  <c r="J867" i="4"/>
  <c r="C874" i="4" s="1"/>
  <c r="C875" i="4" s="1" a="1"/>
  <c r="E782" i="5"/>
  <c r="C784" i="5"/>
  <c r="C782" i="5"/>
  <c r="D782" i="5"/>
  <c r="E783" i="5"/>
  <c r="C785" i="5"/>
  <c r="D881" i="4" l="1"/>
  <c r="C877" i="4"/>
  <c r="C875" i="4"/>
  <c r="C880" i="4"/>
  <c r="G878" i="4"/>
  <c r="C878" i="4"/>
  <c r="D878" i="4"/>
  <c r="D876" i="4"/>
  <c r="E876" i="4"/>
  <c r="D877" i="4"/>
  <c r="F877" i="4"/>
  <c r="C786" i="5" a="1"/>
  <c r="C786" i="5" s="1"/>
  <c r="G782" i="5"/>
  <c r="C787" i="5" s="1"/>
  <c r="C788" i="5" s="1" a="1"/>
  <c r="C881" i="4" l="1"/>
  <c r="F876" i="4"/>
  <c r="G876" i="4"/>
  <c r="D880" i="4"/>
  <c r="F878" i="4"/>
  <c r="C876" i="4"/>
  <c r="G877" i="4"/>
  <c r="D791" i="5"/>
  <c r="C788" i="5"/>
  <c r="C790" i="5"/>
  <c r="D790" i="5"/>
  <c r="D792" i="5"/>
  <c r="J876" i="4" l="1"/>
  <c r="C882" i="4" a="1"/>
  <c r="C882" i="4" s="1"/>
  <c r="E789" i="5"/>
  <c r="C792" i="5"/>
  <c r="C789" i="5"/>
  <c r="D789" i="5"/>
  <c r="E790" i="5"/>
  <c r="C791" i="5"/>
  <c r="C883" i="4" l="1"/>
  <c r="C884" i="4" s="1" a="1"/>
  <c r="C793" i="5" a="1"/>
  <c r="C793" i="5" s="1"/>
  <c r="G789" i="5"/>
  <c r="G887" i="4" l="1"/>
  <c r="E885" i="4"/>
  <c r="C886" i="4"/>
  <c r="D890" i="4"/>
  <c r="C887" i="4"/>
  <c r="C889" i="4"/>
  <c r="C884" i="4"/>
  <c r="D886" i="4"/>
  <c r="F886" i="4"/>
  <c r="C794" i="5"/>
  <c r="C795" i="5" s="1" a="1"/>
  <c r="F887" i="4" l="1"/>
  <c r="F885" i="4"/>
  <c r="G885" i="4"/>
  <c r="C885" i="4"/>
  <c r="C890" i="4"/>
  <c r="G886" i="4"/>
  <c r="D889" i="4"/>
  <c r="D887" i="4"/>
  <c r="D885" i="4"/>
  <c r="C797" i="5"/>
  <c r="D797" i="5"/>
  <c r="D798" i="5"/>
  <c r="D799" i="5"/>
  <c r="C795" i="5"/>
  <c r="J885" i="4" l="1"/>
  <c r="C891" i="4" a="1"/>
  <c r="C891" i="4" s="1"/>
  <c r="C796" i="5"/>
  <c r="E797" i="5"/>
  <c r="C798" i="5"/>
  <c r="C799" i="5"/>
  <c r="D796" i="5"/>
  <c r="E796" i="5"/>
  <c r="C892" i="4" l="1"/>
  <c r="C893" i="4" s="1" a="1"/>
  <c r="C800" i="5" a="1"/>
  <c r="C800" i="5" s="1"/>
  <c r="G796" i="5"/>
  <c r="C898" i="4" l="1"/>
  <c r="C893" i="4"/>
  <c r="C896" i="4"/>
  <c r="D895" i="4"/>
  <c r="F895" i="4"/>
  <c r="C895" i="4"/>
  <c r="D896" i="4"/>
  <c r="D899" i="4"/>
  <c r="D894" i="4"/>
  <c r="E894" i="4"/>
  <c r="G896" i="4"/>
  <c r="C801" i="5"/>
  <c r="C802" i="5" s="1" a="1"/>
  <c r="C899" i="4" l="1"/>
  <c r="F894" i="4"/>
  <c r="G894" i="4"/>
  <c r="G895" i="4"/>
  <c r="D898" i="4"/>
  <c r="C894" i="4"/>
  <c r="F896" i="4"/>
  <c r="D806" i="5"/>
  <c r="D804" i="5"/>
  <c r="C802" i="5"/>
  <c r="C804" i="5"/>
  <c r="D805" i="5"/>
  <c r="J894" i="4" l="1"/>
  <c r="C900" i="4" a="1"/>
  <c r="C900" i="4" s="1"/>
  <c r="C803" i="5"/>
  <c r="C806" i="5"/>
  <c r="E804" i="5"/>
  <c r="E803" i="5"/>
  <c r="C805" i="5"/>
  <c r="D803" i="5"/>
  <c r="C901" i="4" l="1"/>
  <c r="C902" i="4" s="1" a="1"/>
  <c r="C807" i="5" a="1"/>
  <c r="C807" i="5" s="1"/>
  <c r="G803" i="5"/>
  <c r="C808" i="5" s="1"/>
  <c r="C809" i="5" s="1" a="1"/>
  <c r="F904" i="4" l="1"/>
  <c r="D905" i="4"/>
  <c r="C902" i="4"/>
  <c r="C905" i="4"/>
  <c r="G905" i="4"/>
  <c r="D903" i="4"/>
  <c r="E903" i="4"/>
  <c r="C904" i="4"/>
  <c r="D904" i="4"/>
  <c r="C907" i="4"/>
  <c r="D908" i="4"/>
  <c r="D813" i="5"/>
  <c r="D812" i="5"/>
  <c r="C809" i="5"/>
  <c r="C811" i="5"/>
  <c r="D811" i="5"/>
  <c r="G904" i="4" l="1"/>
  <c r="F903" i="4"/>
  <c r="G903" i="4"/>
  <c r="F905" i="4"/>
  <c r="C903" i="4"/>
  <c r="D907" i="4"/>
  <c r="C908" i="4"/>
  <c r="C813" i="5"/>
  <c r="C810" i="5"/>
  <c r="D810" i="5"/>
  <c r="E810" i="5"/>
  <c r="E811" i="5"/>
  <c r="C812" i="5"/>
  <c r="J903" i="4" l="1"/>
  <c r="C909" i="4" a="1"/>
  <c r="C909" i="4" s="1"/>
  <c r="C814" i="5" a="1"/>
  <c r="C814" i="5" s="1"/>
  <c r="G810" i="5"/>
  <c r="C815" i="5" s="1"/>
  <c r="C816" i="5" s="1" a="1"/>
  <c r="C910" i="4" l="1"/>
  <c r="C911" i="4" s="1" a="1"/>
  <c r="D820" i="5"/>
  <c r="C818" i="5"/>
  <c r="D818" i="5"/>
  <c r="D819" i="5"/>
  <c r="C816" i="5"/>
  <c r="C913" i="4" l="1"/>
  <c r="D913" i="4"/>
  <c r="E912" i="4"/>
  <c r="G914" i="4"/>
  <c r="F913" i="4"/>
  <c r="D917" i="4"/>
  <c r="C914" i="4"/>
  <c r="C911" i="4"/>
  <c r="C916" i="4"/>
  <c r="C820" i="5"/>
  <c r="D817" i="5"/>
  <c r="E817" i="5"/>
  <c r="E818" i="5"/>
  <c r="C819" i="5"/>
  <c r="C817" i="5"/>
  <c r="D916" i="4" l="1"/>
  <c r="F912" i="4"/>
  <c r="F914" i="4"/>
  <c r="G913" i="4"/>
  <c r="C917" i="4"/>
  <c r="C912" i="4"/>
  <c r="G912" i="4"/>
  <c r="D912" i="4"/>
  <c r="D914" i="4"/>
  <c r="C821" i="5" a="1"/>
  <c r="C821" i="5" s="1"/>
  <c r="G817" i="5"/>
  <c r="J912" i="4" l="1"/>
  <c r="C918" i="4" a="1"/>
  <c r="C918" i="4" s="1"/>
  <c r="C822" i="5"/>
  <c r="C823" i="5" s="1" a="1"/>
  <c r="C919" i="4" l="1"/>
  <c r="C920" i="4" s="1" a="1"/>
  <c r="D826" i="5"/>
  <c r="D827" i="5"/>
  <c r="C823" i="5"/>
  <c r="C825" i="5"/>
  <c r="D825" i="5"/>
  <c r="F922" i="4" l="1"/>
  <c r="E921" i="4"/>
  <c r="C920" i="4"/>
  <c r="D921" i="4" s="1"/>
  <c r="C925" i="4"/>
  <c r="D926" i="4"/>
  <c r="C922" i="4"/>
  <c r="D922" i="4"/>
  <c r="C923" i="4"/>
  <c r="D923" i="4"/>
  <c r="G923" i="4"/>
  <c r="C826" i="5"/>
  <c r="C827" i="5"/>
  <c r="D824" i="5"/>
  <c r="C824" i="5"/>
  <c r="E824" i="5"/>
  <c r="E825" i="5"/>
  <c r="F921" i="4" l="1"/>
  <c r="D925" i="4"/>
  <c r="G921" i="4"/>
  <c r="C926" i="4"/>
  <c r="C921" i="4"/>
  <c r="G922" i="4"/>
  <c r="F923" i="4"/>
  <c r="C828" i="5" a="1"/>
  <c r="C828" i="5" s="1"/>
  <c r="G824" i="5"/>
  <c r="C829" i="5" s="1"/>
  <c r="C830" i="5" s="1" a="1"/>
  <c r="J921" i="4" l="1"/>
  <c r="C927" i="4" a="1"/>
  <c r="C927" i="4" s="1"/>
  <c r="C830" i="5"/>
  <c r="D832" i="5"/>
  <c r="C832" i="5"/>
  <c r="D834" i="5"/>
  <c r="D833" i="5"/>
  <c r="C928" i="4" l="1"/>
  <c r="C929" i="4" s="1" a="1"/>
  <c r="C831" i="5"/>
  <c r="D831" i="5"/>
  <c r="E831" i="5"/>
  <c r="C833" i="5"/>
  <c r="E832" i="5"/>
  <c r="C834" i="5"/>
  <c r="C931" i="4" l="1"/>
  <c r="E930" i="4"/>
  <c r="D931" i="4"/>
  <c r="C934" i="4"/>
  <c r="F931" i="4"/>
  <c r="D935" i="4"/>
  <c r="C929" i="4"/>
  <c r="C932" i="4"/>
  <c r="D932" i="4"/>
  <c r="G932" i="4"/>
  <c r="C835" i="5" a="1"/>
  <c r="C835" i="5" s="1"/>
  <c r="G831" i="5"/>
  <c r="C836" i="5" s="1"/>
  <c r="C837" i="5" s="1" a="1"/>
  <c r="G930" i="4" l="1"/>
  <c r="C930" i="4"/>
  <c r="F930" i="4"/>
  <c r="D934" i="4"/>
  <c r="C935" i="4"/>
  <c r="G931" i="4"/>
  <c r="F932" i="4"/>
  <c r="D930" i="4"/>
  <c r="C837" i="5"/>
  <c r="C839" i="5"/>
  <c r="D839" i="5"/>
  <c r="D840" i="5"/>
  <c r="D841" i="5"/>
  <c r="J930" i="4" l="1"/>
  <c r="C936" i="4" a="1"/>
  <c r="C936" i="4" s="1"/>
  <c r="D838" i="5"/>
  <c r="E838" i="5"/>
  <c r="C838" i="5"/>
  <c r="E839" i="5"/>
  <c r="C840" i="5"/>
  <c r="C841" i="5"/>
  <c r="C937" i="4" l="1"/>
  <c r="C938" i="4" s="1" a="1"/>
  <c r="C842" i="5" a="1"/>
  <c r="C842" i="5" s="1"/>
  <c r="G838" i="5"/>
  <c r="C940" i="4" l="1"/>
  <c r="D940" i="4"/>
  <c r="C941" i="4"/>
  <c r="G941" i="4"/>
  <c r="C938" i="4"/>
  <c r="E939" i="4"/>
  <c r="F940" i="4"/>
  <c r="C943" i="4"/>
  <c r="D944" i="4"/>
  <c r="C843" i="5"/>
  <c r="C844" i="5" s="1" a="1"/>
  <c r="C846" i="5" s="1"/>
  <c r="D846" i="5"/>
  <c r="D847" i="5"/>
  <c r="D848" i="5"/>
  <c r="C844" i="5"/>
  <c r="C939" i="4" l="1"/>
  <c r="G939" i="4"/>
  <c r="C944" i="4"/>
  <c r="G940" i="4"/>
  <c r="D943" i="4"/>
  <c r="F939" i="4"/>
  <c r="F941" i="4"/>
  <c r="D941" i="4"/>
  <c r="D939" i="4"/>
  <c r="C848" i="5"/>
  <c r="D845" i="5"/>
  <c r="E845" i="5"/>
  <c r="E846" i="5"/>
  <c r="C847" i="5"/>
  <c r="C845" i="5"/>
  <c r="J939" i="4" l="1"/>
  <c r="C945" i="4" a="1"/>
  <c r="C945" i="4" s="1"/>
  <c r="C849" i="5" a="1"/>
  <c r="C849" i="5" s="1"/>
  <c r="G845" i="5"/>
  <c r="C946" i="4" l="1"/>
  <c r="C947" i="4" s="1" a="1"/>
  <c r="C850" i="5"/>
  <c r="C851" i="5" s="1" a="1"/>
  <c r="D853" i="5" s="1"/>
  <c r="D854" i="5"/>
  <c r="C949" i="4" l="1"/>
  <c r="D949" i="4"/>
  <c r="D953" i="4"/>
  <c r="G950" i="4"/>
  <c r="F949" i="4"/>
  <c r="C950" i="4"/>
  <c r="C952" i="4"/>
  <c r="C947" i="4"/>
  <c r="E948" i="4"/>
  <c r="D950" i="4"/>
  <c r="C851" i="5"/>
  <c r="C855" i="5" s="1"/>
  <c r="D855" i="5"/>
  <c r="C853" i="5"/>
  <c r="E853" i="5"/>
  <c r="C852" i="5"/>
  <c r="D852" i="5"/>
  <c r="E852" i="5"/>
  <c r="C854" i="5"/>
  <c r="G948" i="4" l="1"/>
  <c r="F950" i="4"/>
  <c r="C948" i="4"/>
  <c r="C953" i="4"/>
  <c r="G949" i="4"/>
  <c r="D952" i="4"/>
  <c r="F948" i="4"/>
  <c r="D948" i="4"/>
  <c r="C856" i="5" a="1"/>
  <c r="C856" i="5" s="1"/>
  <c r="G852" i="5"/>
  <c r="C857" i="5" s="1"/>
  <c r="C858" i="5" s="1" a="1"/>
  <c r="J948" i="4" l="1"/>
  <c r="C954" i="4" a="1"/>
  <c r="C954" i="4" s="1"/>
  <c r="D861" i="5"/>
  <c r="C858" i="5"/>
  <c r="C860" i="5"/>
  <c r="D860" i="5"/>
  <c r="D862" i="5"/>
  <c r="C955" i="4" l="1"/>
  <c r="C956" i="4" s="1" a="1"/>
  <c r="E860" i="5"/>
  <c r="C861" i="5"/>
  <c r="C862" i="5"/>
  <c r="C859" i="5"/>
  <c r="D859" i="5"/>
  <c r="E859" i="5"/>
  <c r="G959" i="4" l="1"/>
  <c r="E957" i="4"/>
  <c r="D958" i="4"/>
  <c r="C956" i="4"/>
  <c r="D957" i="4"/>
  <c r="C958" i="4"/>
  <c r="C961" i="4"/>
  <c r="D962" i="4"/>
  <c r="F958" i="4"/>
  <c r="C959" i="4"/>
  <c r="C863" i="5" a="1"/>
  <c r="C863" i="5" s="1"/>
  <c r="G859" i="5"/>
  <c r="C962" i="4" l="1"/>
  <c r="C957" i="4"/>
  <c r="F957" i="4"/>
  <c r="G957" i="4"/>
  <c r="D961" i="4"/>
  <c r="F959" i="4"/>
  <c r="G958" i="4"/>
  <c r="D959" i="4"/>
  <c r="C864" i="5"/>
  <c r="C865" i="5" s="1" a="1"/>
  <c r="D868" i="5" s="1"/>
  <c r="C963" i="4" l="1" a="1"/>
  <c r="C963" i="4" s="1"/>
  <c r="J957" i="4"/>
  <c r="C865" i="5"/>
  <c r="D867" i="5"/>
  <c r="C867" i="5"/>
  <c r="D869" i="5"/>
  <c r="C869" i="5"/>
  <c r="D866" i="5"/>
  <c r="E866" i="5"/>
  <c r="E867" i="5"/>
  <c r="C866" i="5"/>
  <c r="C868" i="5"/>
  <c r="C964" i="4" l="1"/>
  <c r="C965" i="4" s="1" a="1"/>
  <c r="C870" i="5" a="1"/>
  <c r="C870" i="5" s="1"/>
  <c r="G866" i="5"/>
  <c r="C970" i="4" l="1"/>
  <c r="G968" i="4"/>
  <c r="E966" i="4"/>
  <c r="C965" i="4"/>
  <c r="D968" i="4" s="1"/>
  <c r="D966" i="4"/>
  <c r="D971" i="4"/>
  <c r="C967" i="4"/>
  <c r="D967" i="4"/>
  <c r="F967" i="4"/>
  <c r="C968" i="4"/>
  <c r="C871" i="5"/>
  <c r="C872" i="5" s="1" a="1"/>
  <c r="D876" i="5" s="1"/>
  <c r="D875" i="5"/>
  <c r="C872" i="5"/>
  <c r="C874" i="5"/>
  <c r="F966" i="4" l="1"/>
  <c r="G966" i="4"/>
  <c r="D970" i="4"/>
  <c r="C966" i="4"/>
  <c r="C971" i="4"/>
  <c r="G967" i="4"/>
  <c r="F968" i="4"/>
  <c r="D874" i="5"/>
  <c r="E874" i="5"/>
  <c r="C875" i="5"/>
  <c r="C876" i="5"/>
  <c r="C873" i="5"/>
  <c r="D873" i="5"/>
  <c r="E873" i="5"/>
  <c r="C972" i="4" l="1" a="1"/>
  <c r="C972" i="4" s="1"/>
  <c r="J966" i="4"/>
  <c r="C973" i="4" s="1"/>
  <c r="C974" i="4" s="1" a="1"/>
  <c r="C877" i="5" a="1"/>
  <c r="C877" i="5" s="1"/>
  <c r="G873" i="5"/>
  <c r="C878" i="5" s="1"/>
  <c r="G977" i="4" l="1"/>
  <c r="E975" i="4"/>
  <c r="C974" i="4"/>
  <c r="D975" i="4"/>
  <c r="F976" i="4"/>
  <c r="C977" i="4"/>
  <c r="D977" i="4"/>
  <c r="C979" i="4"/>
  <c r="D980" i="4"/>
  <c r="C976" i="4"/>
  <c r="D976" i="4"/>
  <c r="G976" i="4" l="1"/>
  <c r="F975" i="4"/>
  <c r="G975" i="4"/>
  <c r="C975" i="4"/>
  <c r="C980" i="4"/>
  <c r="D979" i="4"/>
  <c r="F977" i="4"/>
  <c r="J975" i="4" l="1"/>
  <c r="C981" i="4" a="1"/>
  <c r="C981" i="4" s="1"/>
  <c r="C982" i="4" l="1"/>
  <c r="C983" i="4" s="1" a="1"/>
  <c r="D985" i="4" l="1"/>
  <c r="E984" i="4"/>
  <c r="C985" i="4"/>
  <c r="D989" i="4"/>
  <c r="C983" i="4"/>
  <c r="F985" i="4"/>
  <c r="C986" i="4"/>
  <c r="G986" i="4"/>
  <c r="C988" i="4"/>
  <c r="C989" i="4" l="1"/>
  <c r="F986" i="4"/>
  <c r="F984" i="4"/>
  <c r="G984" i="4"/>
  <c r="C984" i="4"/>
  <c r="G985" i="4"/>
  <c r="D988" i="4"/>
  <c r="D984" i="4"/>
  <c r="D986" i="4"/>
  <c r="J984" i="4" l="1"/>
  <c r="C990" i="4" a="1"/>
  <c r="C990" i="4" s="1"/>
  <c r="C991" i="4" l="1"/>
  <c r="C992" i="4" s="1" a="1"/>
  <c r="F994" i="4" l="1"/>
  <c r="C994" i="4"/>
  <c r="C995" i="4"/>
  <c r="D998" i="4"/>
  <c r="G995" i="4"/>
  <c r="C997" i="4"/>
  <c r="C992" i="4"/>
  <c r="D995" i="4" s="1"/>
  <c r="D993" i="4"/>
  <c r="E993" i="4"/>
  <c r="D994" i="4"/>
  <c r="F995" i="4" l="1"/>
  <c r="F993" i="4"/>
  <c r="G993" i="4"/>
  <c r="C998" i="4"/>
  <c r="G994" i="4"/>
  <c r="D997" i="4"/>
  <c r="C993" i="4"/>
  <c r="C999" i="4" l="1" a="1"/>
  <c r="C999" i="4" s="1"/>
  <c r="J993" i="4"/>
  <c r="C1000" i="4" s="1"/>
  <c r="C1001" i="4" s="1" a="1"/>
  <c r="C1004" i="4" l="1"/>
  <c r="G1004" i="4"/>
  <c r="C1003" i="4"/>
  <c r="D1003" i="4"/>
  <c r="D1007" i="4"/>
  <c r="F1003" i="4"/>
  <c r="C1006" i="4"/>
  <c r="C1001" i="4"/>
  <c r="D1002" i="4"/>
  <c r="E1002" i="4"/>
  <c r="D1004" i="4"/>
  <c r="G1002" i="4" l="1"/>
  <c r="F1002" i="4"/>
  <c r="C1007" i="4"/>
  <c r="G1003" i="4"/>
  <c r="D1006" i="4"/>
  <c r="C1002" i="4"/>
  <c r="F1004" i="4"/>
  <c r="J1002" i="4" l="1"/>
  <c r="C1008" i="4" a="1"/>
  <c r="C1008" i="4" s="1"/>
  <c r="C1009" i="4" l="1"/>
  <c r="C1010" i="4" s="1" a="1"/>
  <c r="F1012" i="4" l="1"/>
  <c r="D1016" i="4"/>
  <c r="G1013" i="4"/>
  <c r="D1012" i="4"/>
  <c r="C1015" i="4"/>
  <c r="E1011" i="4"/>
  <c r="C1012" i="4"/>
  <c r="C1013" i="4"/>
  <c r="D1013" i="4"/>
  <c r="C1010" i="4"/>
  <c r="C1011" i="4" l="1"/>
  <c r="G1011" i="4"/>
  <c r="G1012" i="4"/>
  <c r="D1015" i="4"/>
  <c r="F1011" i="4"/>
  <c r="F1013" i="4"/>
  <c r="C1016" i="4"/>
  <c r="D1011" i="4"/>
  <c r="J1011" i="4" l="1"/>
  <c r="C1017" i="4" a="1"/>
  <c r="C1017" i="4" s="1"/>
  <c r="C1018" i="4" l="1"/>
  <c r="C1019" i="4" s="1" a="1"/>
  <c r="D1021" i="4" l="1"/>
  <c r="C1022" i="4"/>
  <c r="D1025" i="4"/>
  <c r="F1021" i="4"/>
  <c r="C1019" i="4"/>
  <c r="D1020" i="4"/>
  <c r="C1024" i="4"/>
  <c r="E1020" i="4"/>
  <c r="C1021" i="4"/>
  <c r="G1022" i="4"/>
  <c r="G1020" i="4" l="1"/>
  <c r="G1021" i="4"/>
  <c r="C1025" i="4"/>
  <c r="C1020" i="4"/>
  <c r="D1024" i="4"/>
  <c r="F1020" i="4"/>
  <c r="F1022" i="4"/>
  <c r="D1022" i="4"/>
  <c r="J1020" i="4" l="1"/>
  <c r="C1026" i="4" a="1"/>
  <c r="C1026" i="4" s="1"/>
  <c r="C1027" i="4" l="1"/>
  <c r="C1028" i="4" s="1" a="1"/>
  <c r="C1033" i="4" l="1"/>
  <c r="F1030" i="4"/>
  <c r="D1034" i="4"/>
  <c r="C1031" i="4"/>
  <c r="C1030" i="4"/>
  <c r="D1030" i="4"/>
  <c r="E1029" i="4"/>
  <c r="G1031" i="4"/>
  <c r="C1028" i="4"/>
  <c r="D1031" i="4" s="1"/>
  <c r="F1029" i="4" l="1"/>
  <c r="F1031" i="4"/>
  <c r="G1030" i="4"/>
  <c r="C1034" i="4"/>
  <c r="G1029" i="4"/>
  <c r="D1033" i="4"/>
  <c r="C1029" i="4"/>
  <c r="D1029" i="4"/>
  <c r="J1029" i="4" l="1"/>
  <c r="C1035" i="4" a="1"/>
  <c r="C1035" i="4" s="1"/>
  <c r="C1036" i="4" l="1"/>
  <c r="C1037" i="4" s="1" a="1"/>
  <c r="C1042" i="4" l="1"/>
  <c r="C1037" i="4"/>
  <c r="F1039" i="4"/>
  <c r="D1043" i="4"/>
  <c r="G1040" i="4"/>
  <c r="D1038" i="4"/>
  <c r="E1038" i="4"/>
  <c r="C1039" i="4"/>
  <c r="D1039" i="4"/>
  <c r="C1040" i="4"/>
  <c r="D1040" i="4"/>
  <c r="C1038" i="4" l="1"/>
  <c r="G1039" i="4"/>
  <c r="F1040" i="4"/>
  <c r="F1038" i="4"/>
  <c r="G1038" i="4"/>
  <c r="C1043" i="4"/>
  <c r="D1042" i="4"/>
  <c r="C1044" i="4" l="1" a="1"/>
  <c r="C1044" i="4" s="1"/>
  <c r="J1038" i="4"/>
  <c r="C1045" i="4" l="1"/>
  <c r="C1046" i="4" s="1" a="1"/>
  <c r="D1048" i="4" l="1"/>
  <c r="D1052" i="4"/>
  <c r="C1046" i="4"/>
  <c r="C1051" i="4"/>
  <c r="G1049" i="4"/>
  <c r="D1047" i="4"/>
  <c r="E1047" i="4"/>
  <c r="C1048" i="4"/>
  <c r="F1048" i="4"/>
  <c r="C1049" i="4"/>
  <c r="F1049" i="4" l="1"/>
  <c r="G1047" i="4"/>
  <c r="C1047" i="4"/>
  <c r="D1051" i="4"/>
  <c r="F1047" i="4"/>
  <c r="G1048" i="4"/>
  <c r="C1052" i="4"/>
  <c r="D1049" i="4"/>
  <c r="C1053" i="4" l="1" a="1"/>
  <c r="C1053" i="4" s="1"/>
  <c r="J1047" i="4"/>
  <c r="C1054" i="4" s="1"/>
  <c r="C1055" i="4" s="1" a="1"/>
  <c r="G1058" i="4" l="1"/>
  <c r="C1058" i="4"/>
  <c r="C1057" i="4"/>
  <c r="D1057" i="4"/>
  <c r="C1060" i="4"/>
  <c r="F1057" i="4"/>
  <c r="D1061" i="4"/>
  <c r="C1055" i="4"/>
  <c r="D1056" i="4"/>
  <c r="E1056" i="4"/>
  <c r="G1057" i="4" l="1"/>
  <c r="D1060" i="4"/>
  <c r="F1058" i="4"/>
  <c r="F1056" i="4"/>
  <c r="G1056" i="4"/>
  <c r="C1061" i="4"/>
  <c r="C1056" i="4"/>
  <c r="D1058" i="4"/>
  <c r="J1056" i="4" l="1"/>
  <c r="C1062" i="4" a="1"/>
  <c r="C1062" i="4" s="1"/>
  <c r="C1063" i="4" l="1"/>
  <c r="C1064" i="4" s="1" a="1"/>
  <c r="F1066" i="4" l="1"/>
  <c r="D1066" i="4"/>
  <c r="C1067" i="4"/>
  <c r="C1066" i="4"/>
  <c r="C1064" i="4"/>
  <c r="C1069" i="4"/>
  <c r="G1067" i="4"/>
  <c r="D1065" i="4"/>
  <c r="E1065" i="4"/>
  <c r="D1070" i="4"/>
  <c r="D1067" i="4"/>
  <c r="D1069" i="4" l="1"/>
  <c r="C1065" i="4"/>
  <c r="F1065" i="4"/>
  <c r="C1070" i="4"/>
  <c r="G1065" i="4"/>
  <c r="G1066" i="4"/>
  <c r="F1067" i="4"/>
  <c r="C1071" i="4" l="1" a="1"/>
  <c r="C1071" i="4" s="1"/>
  <c r="J1065" i="4"/>
  <c r="C1072" i="4" l="1"/>
  <c r="C1073" i="4" s="1" a="1"/>
  <c r="C1075" i="4" l="1"/>
  <c r="D1079" i="4"/>
  <c r="C1076" i="4"/>
  <c r="F1075" i="4"/>
  <c r="C1073" i="4"/>
  <c r="D1074" i="4"/>
  <c r="D1075" i="4"/>
  <c r="D1076" i="4"/>
  <c r="G1076" i="4"/>
  <c r="E1074" i="4"/>
  <c r="C1078" i="4"/>
  <c r="G1074" i="4" l="1"/>
  <c r="G1075" i="4"/>
  <c r="C1074" i="4"/>
  <c r="C1079" i="4"/>
  <c r="D1078" i="4"/>
  <c r="F1074" i="4"/>
  <c r="F1076" i="4"/>
  <c r="J1074" i="4" l="1"/>
  <c r="C1080" i="4" a="1"/>
  <c r="C1080" i="4" s="1"/>
  <c r="C1081" i="4" l="1"/>
  <c r="C1082" i="4" s="1" a="1"/>
  <c r="C1085" i="4" l="1"/>
  <c r="C1084" i="4"/>
  <c r="D1084" i="4"/>
  <c r="D1088" i="4"/>
  <c r="F1084" i="4"/>
  <c r="G1085" i="4"/>
  <c r="C1082" i="4"/>
  <c r="E1083" i="4"/>
  <c r="C1087" i="4"/>
  <c r="C1083" i="4" l="1"/>
  <c r="G1083" i="4"/>
  <c r="C1088" i="4"/>
  <c r="G1084" i="4"/>
  <c r="F1083" i="4"/>
  <c r="F1085" i="4"/>
  <c r="D1087" i="4"/>
  <c r="D1085" i="4"/>
  <c r="D1083" i="4"/>
  <c r="C1089" i="4" l="1" a="1"/>
  <c r="C1089" i="4" s="1"/>
  <c r="J1083" i="4"/>
  <c r="C1090" i="4" s="1"/>
  <c r="C1091" i="4" s="1" a="1"/>
  <c r="E1092" i="4" l="1"/>
  <c r="C1094" i="4"/>
  <c r="C1091" i="4"/>
  <c r="D1092" i="4"/>
  <c r="D1097" i="4"/>
  <c r="D1093" i="4"/>
  <c r="F1093" i="4"/>
  <c r="G1094" i="4"/>
  <c r="C1096" i="4"/>
  <c r="C1093" i="4"/>
  <c r="F1094" i="4" l="1"/>
  <c r="G1093" i="4"/>
  <c r="F1092" i="4"/>
  <c r="G1092" i="4"/>
  <c r="C1092" i="4"/>
  <c r="C1097" i="4"/>
  <c r="D1096" i="4"/>
  <c r="D1094" i="4"/>
  <c r="C1098" i="4" l="1" a="1"/>
  <c r="C1098" i="4" s="1"/>
  <c r="J1092" i="4"/>
  <c r="C1099" i="4" s="1"/>
  <c r="C1100" i="4" s="1" a="1"/>
  <c r="C1103" i="4" l="1"/>
  <c r="G1103" i="4"/>
  <c r="C1100" i="4"/>
  <c r="F1102" i="4"/>
  <c r="D1102" i="4"/>
  <c r="D1101" i="4"/>
  <c r="E1101" i="4"/>
  <c r="D1106" i="4"/>
  <c r="C1102" i="4"/>
  <c r="C1105" i="4"/>
  <c r="G1102" i="4" l="1"/>
  <c r="F1103" i="4"/>
  <c r="C1101" i="4"/>
  <c r="F1101" i="4"/>
  <c r="C1106" i="4"/>
  <c r="D1105" i="4"/>
  <c r="G1101" i="4"/>
  <c r="D1103" i="4"/>
  <c r="C1107" i="4" l="1" a="1"/>
  <c r="C1107" i="4" s="1"/>
  <c r="J1101" i="4"/>
  <c r="C1108" i="4" l="1"/>
  <c r="C1109" i="4" s="1" a="1"/>
  <c r="C1114" i="4" l="1"/>
  <c r="D1115" i="4"/>
  <c r="F1111" i="4"/>
  <c r="G1112" i="4"/>
  <c r="C1109" i="4"/>
  <c r="D1110" i="4"/>
  <c r="E1110" i="4"/>
  <c r="C1111" i="4"/>
  <c r="D1111" i="4"/>
  <c r="C1112" i="4"/>
  <c r="D1112" i="4"/>
  <c r="G1111" i="4" l="1"/>
  <c r="F1112" i="4"/>
  <c r="D1114" i="4"/>
  <c r="C1110" i="4"/>
  <c r="F1110" i="4"/>
  <c r="C1115" i="4"/>
  <c r="G1110" i="4"/>
  <c r="J1110" i="4" l="1"/>
  <c r="C1116" i="4" a="1"/>
  <c r="C1116" i="4" s="1"/>
  <c r="C1117" i="4" l="1"/>
  <c r="C1118" i="4" s="1" a="1"/>
  <c r="F1120" i="4" l="1"/>
  <c r="D1124" i="4"/>
  <c r="C1118" i="4"/>
  <c r="C1121" i="4"/>
  <c r="D1121" i="4"/>
  <c r="C1123" i="4"/>
  <c r="G1121" i="4"/>
  <c r="D1119" i="4"/>
  <c r="E1119" i="4"/>
  <c r="C1120" i="4"/>
  <c r="D1120" i="4"/>
  <c r="F1119" i="4" l="1"/>
  <c r="G1120" i="4"/>
  <c r="C1119" i="4"/>
  <c r="C1124" i="4"/>
  <c r="D1123" i="4"/>
  <c r="G1119" i="4"/>
  <c r="F1121" i="4"/>
  <c r="J1119" i="4" l="1"/>
  <c r="C1125" i="4" a="1"/>
  <c r="C1125" i="4" s="1"/>
  <c r="C1126" i="4" l="1"/>
  <c r="C1127" i="4" s="1" a="1"/>
  <c r="C1129" i="4" l="1"/>
  <c r="F1129" i="4"/>
  <c r="D1133" i="4"/>
  <c r="C1127" i="4"/>
  <c r="E1128" i="4"/>
  <c r="G1130" i="4"/>
  <c r="D1129" i="4"/>
  <c r="C1130" i="4"/>
  <c r="C1132" i="4"/>
  <c r="C1128" i="4" l="1"/>
  <c r="F1128" i="4"/>
  <c r="G1128" i="4"/>
  <c r="C1133" i="4"/>
  <c r="G1129" i="4"/>
  <c r="F1130" i="4"/>
  <c r="D1132" i="4"/>
  <c r="D1128" i="4"/>
  <c r="D1130" i="4"/>
  <c r="C1134" i="4" l="1" a="1"/>
  <c r="C1134" i="4" s="1"/>
  <c r="J1128" i="4"/>
  <c r="C1135" i="4" s="1"/>
  <c r="C1136" i="4" s="1" a="1"/>
  <c r="F1138" i="4" l="1"/>
  <c r="C1136" i="4"/>
  <c r="C1141" i="4"/>
  <c r="C1138" i="4"/>
  <c r="G1139" i="4"/>
  <c r="D1137" i="4"/>
  <c r="E1137" i="4"/>
  <c r="D1138" i="4"/>
  <c r="C1139" i="4"/>
  <c r="D1139" i="4"/>
  <c r="D1142" i="4"/>
  <c r="F1139" i="4" l="1"/>
  <c r="G1138" i="4"/>
  <c r="D1141" i="4"/>
  <c r="F1137" i="4"/>
  <c r="G1137" i="4"/>
  <c r="C1142" i="4"/>
  <c r="C1137" i="4"/>
  <c r="C1143" i="4" l="1" a="1"/>
  <c r="C1143" i="4" s="1"/>
  <c r="J1137" i="4"/>
  <c r="C1144" i="4" s="1"/>
  <c r="C1145" i="4" s="1" a="1"/>
  <c r="G1148" i="4" l="1"/>
  <c r="D1147" i="4"/>
  <c r="C1148" i="4"/>
  <c r="D1151" i="4"/>
  <c r="F1147" i="4"/>
  <c r="E1146" i="4"/>
  <c r="C1147" i="4"/>
  <c r="C1150" i="4"/>
  <c r="C1145" i="4"/>
  <c r="D1146" i="4"/>
  <c r="G1146" i="4" l="1"/>
  <c r="C1151" i="4"/>
  <c r="G1147" i="4"/>
  <c r="F1146" i="4"/>
  <c r="F1148" i="4"/>
  <c r="D1150" i="4"/>
  <c r="C1146" i="4"/>
  <c r="D1148" i="4"/>
  <c r="J1146" i="4" l="1"/>
  <c r="C1152" i="4" a="1"/>
  <c r="C1152" i="4" s="1"/>
  <c r="C1153" i="4" l="1"/>
  <c r="C1154" i="4" s="1" a="1"/>
  <c r="D1160" i="4" l="1"/>
  <c r="D1156" i="4"/>
  <c r="G1157" i="4"/>
  <c r="C1159" i="4"/>
  <c r="C1154" i="4"/>
  <c r="D1157" i="4" s="1"/>
  <c r="E1155" i="4"/>
  <c r="C1156" i="4"/>
  <c r="F1156" i="4"/>
  <c r="C1157" i="4"/>
  <c r="C1155" i="4" l="1"/>
  <c r="F1157" i="4"/>
  <c r="F1155" i="4"/>
  <c r="G1155" i="4"/>
  <c r="C1160" i="4"/>
  <c r="G1156" i="4"/>
  <c r="D1159" i="4"/>
  <c r="D1155" i="4"/>
  <c r="C1161" i="4" l="1" a="1"/>
  <c r="C1161" i="4" s="1"/>
  <c r="J1155" i="4"/>
  <c r="C1162" i="4" s="1"/>
  <c r="C1163" i="4" s="1" a="1"/>
  <c r="C1166" i="4" l="1"/>
  <c r="G1166" i="4"/>
  <c r="C1163" i="4"/>
  <c r="C1168" i="4"/>
  <c r="D1169" i="4"/>
  <c r="F1165" i="4"/>
  <c r="D1164" i="4"/>
  <c r="E1164" i="4"/>
  <c r="C1165" i="4"/>
  <c r="D1165" i="4"/>
  <c r="C1164" i="4" l="1"/>
  <c r="C1169" i="4"/>
  <c r="G1165" i="4"/>
  <c r="F1166" i="4"/>
  <c r="F1164" i="4"/>
  <c r="G1164" i="4"/>
  <c r="D1168" i="4"/>
  <c r="D1166" i="4"/>
  <c r="J1164" i="4" l="1"/>
  <c r="C1170" i="4" a="1"/>
  <c r="C1170" i="4" s="1"/>
  <c r="C1171" i="4" l="1"/>
  <c r="C1172" i="4" s="1" a="1"/>
  <c r="C1177" i="4" l="1"/>
  <c r="D1174" i="4"/>
  <c r="F1174" i="4"/>
  <c r="C1174" i="4"/>
  <c r="G1175" i="4"/>
  <c r="C1172" i="4"/>
  <c r="D1173" i="4"/>
  <c r="D1178" i="4"/>
  <c r="C1175" i="4"/>
  <c r="D1175" i="4"/>
  <c r="E1173" i="4"/>
  <c r="F1175" i="4" l="1"/>
  <c r="C1173" i="4"/>
  <c r="D1177" i="4"/>
  <c r="C1178" i="4"/>
  <c r="G1174" i="4"/>
  <c r="F1173" i="4"/>
  <c r="G1173" i="4"/>
  <c r="C1179" i="4" l="1" a="1"/>
  <c r="C1179" i="4" s="1"/>
  <c r="J1173" i="4"/>
  <c r="C1180" i="4" s="1"/>
  <c r="C1181" i="4" s="1" a="1"/>
  <c r="C1186" i="4" l="1"/>
  <c r="D1183" i="4"/>
  <c r="C1183" i="4"/>
  <c r="G1184" i="4"/>
  <c r="C1181" i="4"/>
  <c r="D1182" i="4"/>
  <c r="E1182" i="4"/>
  <c r="D1187" i="4"/>
  <c r="F1183" i="4"/>
  <c r="C1184" i="4"/>
  <c r="D1184" i="4"/>
  <c r="F1182" i="4" l="1"/>
  <c r="C1187" i="4"/>
  <c r="F1184" i="4"/>
  <c r="G1182" i="4"/>
  <c r="C1182" i="4"/>
  <c r="D1186" i="4"/>
  <c r="G1183" i="4"/>
  <c r="J1182" i="4" l="1"/>
  <c r="C1188" i="4" a="1"/>
  <c r="C1188" i="4" s="1"/>
  <c r="C1189" i="4" l="1"/>
  <c r="C1190" i="4" s="1" a="1"/>
  <c r="D1192" i="4" l="1"/>
  <c r="C1190" i="4"/>
  <c r="C1193" i="4"/>
  <c r="D1193" i="4"/>
  <c r="C1192" i="4"/>
  <c r="G1193" i="4"/>
  <c r="F1192" i="4"/>
  <c r="D1191" i="4"/>
  <c r="E1191" i="4"/>
  <c r="C1195" i="4"/>
  <c r="D1196" i="4"/>
  <c r="F1193" i="4" l="1"/>
  <c r="C1191" i="4"/>
  <c r="G1191" i="4"/>
  <c r="G1192" i="4"/>
  <c r="F1191" i="4"/>
  <c r="D1195" i="4"/>
  <c r="C1196" i="4"/>
  <c r="J1191" i="4" l="1"/>
  <c r="C1197" i="4" a="1"/>
  <c r="C1197" i="4" s="1"/>
  <c r="C1198" i="4" l="1"/>
  <c r="C1199" i="4" s="1" a="1"/>
  <c r="C1201" i="4" l="1"/>
  <c r="C1199" i="4"/>
  <c r="G1202" i="4"/>
  <c r="C1204" i="4"/>
  <c r="E1200" i="4"/>
  <c r="D1201" i="4"/>
  <c r="D1205" i="4"/>
  <c r="D1200" i="4"/>
  <c r="F1201" i="4"/>
  <c r="C1202" i="4"/>
  <c r="G1201" i="4" l="1"/>
  <c r="F1200" i="4"/>
  <c r="C1200" i="4"/>
  <c r="F1202" i="4"/>
  <c r="D1204" i="4"/>
  <c r="G1200" i="4"/>
  <c r="C1205" i="4"/>
  <c r="D1202" i="4"/>
  <c r="J1200" i="4" l="1"/>
  <c r="C1206" i="4" a="1"/>
  <c r="C1206" i="4" s="1"/>
  <c r="C1207" i="4" l="1"/>
  <c r="C1208" i="4" s="1" a="1"/>
  <c r="F1210" i="4" l="1"/>
  <c r="D1210" i="4"/>
  <c r="C1213" i="4"/>
  <c r="C1208" i="4"/>
  <c r="E1209" i="4"/>
  <c r="G1211" i="4"/>
  <c r="D1214" i="4"/>
  <c r="C1210" i="4"/>
  <c r="C1211" i="4"/>
  <c r="D1211" i="4"/>
  <c r="C1214" i="4" l="1"/>
  <c r="C1209" i="4"/>
  <c r="D1213" i="4"/>
  <c r="F1211" i="4"/>
  <c r="F1209" i="4"/>
  <c r="G1209" i="4"/>
  <c r="G1210" i="4"/>
  <c r="D1209" i="4"/>
  <c r="J1209" i="4" l="1"/>
  <c r="C1215" i="4" a="1"/>
  <c r="C1215" i="4" s="1"/>
  <c r="C1216" i="4" l="1"/>
  <c r="C1217" i="4" s="1" a="1"/>
  <c r="C1219" i="4" l="1"/>
  <c r="C1222" i="4"/>
  <c r="F1219" i="4"/>
  <c r="E1218" i="4"/>
  <c r="D1219" i="4"/>
  <c r="D1223" i="4"/>
  <c r="C1220" i="4"/>
  <c r="C1217" i="4"/>
  <c r="D1220" i="4" s="1"/>
  <c r="D1218" i="4"/>
  <c r="G1220" i="4"/>
  <c r="G1218" i="4" l="1"/>
  <c r="C1218" i="4"/>
  <c r="D1222" i="4"/>
  <c r="F1218" i="4"/>
  <c r="C1223" i="4"/>
  <c r="G1219" i="4"/>
  <c r="F1220" i="4"/>
  <c r="J1218" i="4" l="1"/>
  <c r="C1224" i="4" a="1"/>
  <c r="C1224" i="4" s="1"/>
  <c r="C1225" i="4" l="1"/>
  <c r="C1226" i="4" s="1" a="1"/>
  <c r="C1226" i="4" l="1"/>
  <c r="D1228" i="4"/>
  <c r="D1232" i="4"/>
  <c r="D1229" i="4"/>
  <c r="C1228" i="4"/>
  <c r="F1228" i="4"/>
  <c r="C1229" i="4"/>
  <c r="E1227" i="4"/>
  <c r="G1229" i="4"/>
  <c r="C1231" i="4"/>
  <c r="C1227" i="4" l="1"/>
  <c r="G1227" i="4"/>
  <c r="D1231" i="4"/>
  <c r="G1228" i="4"/>
  <c r="F1229" i="4"/>
  <c r="C1232" i="4"/>
  <c r="F1227" i="4"/>
  <c r="D1227" i="4"/>
  <c r="C1233" i="4" l="1" a="1"/>
  <c r="C1233" i="4" s="1"/>
  <c r="J1227" i="4"/>
  <c r="C1234" i="4" s="1"/>
  <c r="C1235" i="4" s="1" a="1"/>
  <c r="E1236" i="4" l="1"/>
  <c r="C1238" i="4"/>
  <c r="F1237" i="4"/>
  <c r="C1235" i="4"/>
  <c r="C1240" i="4"/>
  <c r="D1241" i="4"/>
  <c r="C1237" i="4"/>
  <c r="D1237" i="4"/>
  <c r="D1238" i="4"/>
  <c r="G1238" i="4"/>
  <c r="G1237" i="4" l="1"/>
  <c r="G1236" i="4"/>
  <c r="C1236" i="4"/>
  <c r="D1240" i="4"/>
  <c r="C1241" i="4"/>
  <c r="F1236" i="4"/>
  <c r="F1238" i="4"/>
  <c r="D1236" i="4"/>
  <c r="C1242" i="4" l="1" a="1"/>
  <c r="C1242" i="4" s="1"/>
  <c r="J1236" i="4"/>
  <c r="C1243" i="4" s="1"/>
  <c r="C1244" i="4" s="1" a="1"/>
  <c r="C1244" i="4" l="1"/>
  <c r="F1246" i="4"/>
  <c r="D1246" i="4"/>
  <c r="C1249" i="4"/>
  <c r="C1246" i="4"/>
  <c r="E1245" i="4"/>
  <c r="C1247" i="4"/>
  <c r="D1250" i="4"/>
  <c r="D1245" i="4"/>
  <c r="D1247" i="4"/>
  <c r="G1247" i="4"/>
  <c r="G1246" i="4" l="1"/>
  <c r="D1249" i="4"/>
  <c r="G1245" i="4"/>
  <c r="F1245" i="4"/>
  <c r="C1250" i="4"/>
  <c r="C1245" i="4"/>
  <c r="F1247" i="4"/>
  <c r="C1251" i="4" l="1" a="1"/>
  <c r="C1251" i="4" s="1"/>
  <c r="J1245" i="4"/>
  <c r="C1252" i="4" s="1"/>
  <c r="C1253" i="4" s="1" a="1"/>
  <c r="C1258" i="4" l="1"/>
  <c r="D1259" i="4"/>
  <c r="C1255" i="4"/>
  <c r="D1255" i="4"/>
  <c r="C1256" i="4"/>
  <c r="F1255" i="4"/>
  <c r="G1256" i="4"/>
  <c r="C1253" i="4"/>
  <c r="D1254" i="4"/>
  <c r="E1254" i="4"/>
  <c r="F1256" i="4" l="1"/>
  <c r="G1255" i="4"/>
  <c r="C1259" i="4"/>
  <c r="C1254" i="4"/>
  <c r="F1254" i="4"/>
  <c r="G1254" i="4"/>
  <c r="D1258" i="4"/>
  <c r="D1256" i="4"/>
  <c r="J1254" i="4" l="1"/>
  <c r="C1260" i="4" a="1"/>
  <c r="C1260" i="4" s="1"/>
  <c r="C1261" i="4" l="1"/>
  <c r="C1262" i="4" s="1" a="1"/>
  <c r="F1264" i="4" l="1"/>
  <c r="D1268" i="4"/>
  <c r="C1264" i="4"/>
  <c r="C1262" i="4"/>
  <c r="D1264" i="4"/>
  <c r="C1265" i="4"/>
  <c r="D1265" i="4"/>
  <c r="G1265" i="4"/>
  <c r="C1267" i="4"/>
  <c r="D1263" i="4"/>
  <c r="E1263" i="4"/>
  <c r="G1264" i="4" l="1"/>
  <c r="D1267" i="4"/>
  <c r="F1265" i="4"/>
  <c r="C1268" i="4"/>
  <c r="C1263" i="4"/>
  <c r="F1263" i="4"/>
  <c r="G1263" i="4"/>
  <c r="C1269" i="4" l="1" a="1"/>
  <c r="C1269" i="4" s="1"/>
  <c r="J1263" i="4"/>
  <c r="C1270" i="4" l="1"/>
  <c r="C1271" i="4" s="1" a="1"/>
  <c r="F1273" i="4" l="1"/>
  <c r="C1271" i="4"/>
  <c r="C1276" i="4"/>
  <c r="D1277" i="4"/>
  <c r="D1272" i="4"/>
  <c r="E1272" i="4"/>
  <c r="D1273" i="4"/>
  <c r="C1274" i="4"/>
  <c r="G1274" i="4"/>
  <c r="C1273" i="4"/>
  <c r="G1273" i="4" l="1"/>
  <c r="G1272" i="4"/>
  <c r="D1276" i="4"/>
  <c r="C1272" i="4"/>
  <c r="C1277" i="4"/>
  <c r="F1272" i="4"/>
  <c r="F1274" i="4"/>
  <c r="D1274" i="4"/>
  <c r="J1272" i="4" l="1"/>
  <c r="C1278" i="4" a="1"/>
  <c r="C1278" i="4" s="1"/>
  <c r="C1279" i="4" l="1"/>
  <c r="C1280" i="4" s="1" a="1"/>
  <c r="F1282" i="4" l="1"/>
  <c r="E1281" i="4"/>
  <c r="C1280" i="4"/>
  <c r="C1285" i="4"/>
  <c r="C1282" i="4"/>
  <c r="D1282" i="4"/>
  <c r="D1281" i="4"/>
  <c r="C1283" i="4"/>
  <c r="D1283" i="4"/>
  <c r="G1283" i="4"/>
  <c r="D1286" i="4"/>
  <c r="G1281" i="4" l="1"/>
  <c r="G1282" i="4"/>
  <c r="C1281" i="4"/>
  <c r="D1285" i="4"/>
  <c r="F1281" i="4"/>
  <c r="F1283" i="4"/>
  <c r="C1286" i="4"/>
  <c r="J1281" i="4" l="1"/>
  <c r="C1287" i="4" a="1"/>
  <c r="C1287" i="4" s="1"/>
  <c r="C1288" i="4" l="1"/>
  <c r="C1289" i="4" s="1" a="1"/>
  <c r="C1289" i="4" l="1"/>
  <c r="E1290" i="4"/>
  <c r="F1291" i="4"/>
  <c r="D1290" i="4"/>
  <c r="G1292" i="4"/>
  <c r="C1291" i="4"/>
  <c r="D1291" i="4"/>
  <c r="C1292" i="4"/>
  <c r="C1294" i="4"/>
  <c r="D1295" i="4"/>
  <c r="D1292" i="4"/>
  <c r="G1290" i="4" l="1"/>
  <c r="D1294" i="4"/>
  <c r="G1291" i="4"/>
  <c r="C1290" i="4"/>
  <c r="F1292" i="4"/>
  <c r="F1290" i="4"/>
  <c r="C1295" i="4"/>
  <c r="J1290" i="4" l="1"/>
  <c r="C1296" i="4" a="1"/>
  <c r="C1296" i="4" s="1"/>
  <c r="C1297" i="4" l="1"/>
  <c r="C1298" i="4" s="1" a="1"/>
  <c r="C1303" i="4" l="1"/>
  <c r="D1300" i="4"/>
  <c r="D1304" i="4"/>
  <c r="C1301" i="4"/>
  <c r="C1300" i="4"/>
  <c r="C1298" i="4"/>
  <c r="E1299" i="4"/>
  <c r="F1300" i="4"/>
  <c r="G1301" i="4"/>
  <c r="C1299" i="4" l="1"/>
  <c r="G1299" i="4"/>
  <c r="C1304" i="4"/>
  <c r="F1299" i="4"/>
  <c r="G1300" i="4"/>
  <c r="D1303" i="4"/>
  <c r="F1301" i="4"/>
  <c r="D1301" i="4"/>
  <c r="D1299" i="4"/>
  <c r="C1305" i="4" l="1" a="1"/>
  <c r="C1305" i="4" s="1"/>
  <c r="J1299" i="4"/>
  <c r="C1306" i="4" l="1"/>
  <c r="C1307" i="4" s="1" a="1"/>
  <c r="C1309" i="4" l="1"/>
  <c r="D1313" i="4"/>
  <c r="G1310" i="4"/>
  <c r="C1307" i="4"/>
  <c r="D1308" i="4"/>
  <c r="E1308" i="4"/>
  <c r="C1310" i="4"/>
  <c r="C1312" i="4"/>
  <c r="D1309" i="4"/>
  <c r="F1309" i="4"/>
  <c r="F1310" i="4" l="1"/>
  <c r="C1308" i="4"/>
  <c r="C1313" i="4"/>
  <c r="G1309" i="4"/>
  <c r="D1312" i="4"/>
  <c r="F1308" i="4"/>
  <c r="G1308" i="4"/>
  <c r="D1310" i="4"/>
  <c r="J1308" i="4" l="1"/>
  <c r="C1314" i="4" a="1"/>
  <c r="C1314" i="4" s="1"/>
  <c r="C1315" i="4" l="1"/>
  <c r="C1316" i="4" s="1" a="1"/>
  <c r="E1317" i="4" l="1"/>
  <c r="C1319" i="4"/>
  <c r="G1319" i="4"/>
  <c r="C1321" i="4"/>
  <c r="C1316" i="4"/>
  <c r="D1317" i="4"/>
  <c r="D1322" i="4"/>
  <c r="C1318" i="4"/>
  <c r="D1318" i="4"/>
  <c r="F1318" i="4"/>
  <c r="F1317" i="4" l="1"/>
  <c r="C1322" i="4"/>
  <c r="F1319" i="4"/>
  <c r="D1321" i="4"/>
  <c r="C1317" i="4"/>
  <c r="G1318" i="4"/>
  <c r="G1317" i="4"/>
  <c r="D1319" i="4"/>
  <c r="J1317" i="4" l="1"/>
  <c r="C1323" i="4" a="1"/>
  <c r="C1323" i="4" s="1"/>
  <c r="C1324" i="4" l="1"/>
  <c r="C1325" i="4" s="1" a="1"/>
  <c r="C1330" i="4" l="1"/>
  <c r="D1331" i="4"/>
  <c r="F1327" i="4"/>
  <c r="C1325" i="4"/>
  <c r="D1328" i="4" s="1"/>
  <c r="D1326" i="4"/>
  <c r="C1328" i="4"/>
  <c r="C1327" i="4"/>
  <c r="D1327" i="4"/>
  <c r="G1328" i="4"/>
  <c r="E1326" i="4"/>
  <c r="D1330" i="4" l="1"/>
  <c r="C1326" i="4"/>
  <c r="C1331" i="4"/>
  <c r="G1327" i="4"/>
  <c r="F1328" i="4"/>
  <c r="F1326" i="4"/>
  <c r="G1326" i="4"/>
  <c r="C1332" i="4" l="1" a="1"/>
  <c r="C1332" i="4" s="1"/>
  <c r="J1326" i="4"/>
  <c r="C1333" i="4" l="1"/>
  <c r="C1334" i="4" s="1" a="1"/>
  <c r="C1337" i="4" l="1"/>
  <c r="C1339" i="4"/>
  <c r="C1336" i="4"/>
  <c r="E1335" i="4"/>
  <c r="D1336" i="4"/>
  <c r="D1340" i="4"/>
  <c r="C1334" i="4"/>
  <c r="F1336" i="4"/>
  <c r="G1337" i="4"/>
  <c r="G1336" i="4" l="1"/>
  <c r="C1335" i="4"/>
  <c r="C1340" i="4"/>
  <c r="D1339" i="4"/>
  <c r="G1335" i="4"/>
  <c r="F1335" i="4"/>
  <c r="F1337" i="4"/>
  <c r="D1335" i="4"/>
  <c r="D1337" i="4"/>
  <c r="J1335" i="4" l="1"/>
  <c r="C1341" i="4" a="1"/>
  <c r="C1341" i="4" s="1"/>
  <c r="C1342" i="4" l="1"/>
  <c r="C1343" i="4" s="1" a="1"/>
  <c r="G1346" i="4" l="1"/>
  <c r="C1345" i="4"/>
  <c r="D1349" i="4"/>
  <c r="F1345" i="4"/>
  <c r="D1345" i="4"/>
  <c r="E1344" i="4"/>
  <c r="C1343" i="4"/>
  <c r="D1344" i="4"/>
  <c r="C1346" i="4"/>
  <c r="C1348" i="4"/>
  <c r="C1349" i="4" l="1"/>
  <c r="G1345" i="4"/>
  <c r="F1344" i="4"/>
  <c r="F1346" i="4"/>
  <c r="C1344" i="4"/>
  <c r="G1344" i="4"/>
  <c r="D1348" i="4"/>
  <c r="D1346" i="4"/>
  <c r="J1344" i="4" l="1"/>
  <c r="C1350" i="4" a="1"/>
  <c r="C1350" i="4" s="1"/>
  <c r="C1351" i="4" l="1"/>
  <c r="C1352" i="4" s="1" a="1"/>
  <c r="F1354" i="4" l="1"/>
  <c r="D1358" i="4"/>
  <c r="C1355" i="4"/>
  <c r="G1355" i="4"/>
  <c r="C1352" i="4"/>
  <c r="C1354" i="4"/>
  <c r="D1354" i="4"/>
  <c r="C1357" i="4"/>
  <c r="D1353" i="4"/>
  <c r="E1353" i="4"/>
  <c r="G1353" i="4" l="1"/>
  <c r="C1358" i="4"/>
  <c r="F1355" i="4"/>
  <c r="G1354" i="4"/>
  <c r="D1357" i="4"/>
  <c r="C1353" i="4"/>
  <c r="F1353" i="4"/>
  <c r="D1355" i="4"/>
  <c r="C1359" i="4" l="1" a="1"/>
  <c r="C1359" i="4" s="1"/>
  <c r="J1353" i="4"/>
  <c r="C1360" i="4" s="1"/>
  <c r="C1361" i="4" s="1" a="1"/>
  <c r="E1362" i="4" l="1"/>
  <c r="D1367" i="4"/>
  <c r="C1363" i="4"/>
  <c r="D1363" i="4"/>
  <c r="F1363" i="4"/>
  <c r="C1366" i="4"/>
  <c r="C1361" i="4"/>
  <c r="D1362" i="4"/>
  <c r="C1364" i="4"/>
  <c r="D1364" i="4"/>
  <c r="G1364" i="4"/>
  <c r="G1362" i="4" l="1"/>
  <c r="G1363" i="4"/>
  <c r="F1364" i="4"/>
  <c r="D1366" i="4"/>
  <c r="C1367" i="4"/>
  <c r="C1362" i="4"/>
  <c r="F1362" i="4"/>
  <c r="J1362" i="4" l="1"/>
  <c r="C1368" i="4" a="1"/>
  <c r="C1368" i="4" s="1"/>
  <c r="C1369" i="4" l="1"/>
  <c r="C1370" i="4" s="1" a="1"/>
  <c r="C1375" i="4" l="1"/>
  <c r="C1370" i="4"/>
  <c r="D1376" i="4"/>
  <c r="D1373" i="4"/>
  <c r="G1373" i="4"/>
  <c r="C1372" i="4"/>
  <c r="D1372" i="4"/>
  <c r="F1372" i="4"/>
  <c r="C1373" i="4"/>
  <c r="E1371" i="4"/>
  <c r="C1371" i="4" l="1"/>
  <c r="F1371" i="4"/>
  <c r="F1373" i="4"/>
  <c r="D1375" i="4"/>
  <c r="C1376" i="4"/>
  <c r="G1372" i="4"/>
  <c r="G1371" i="4"/>
  <c r="D1371" i="4"/>
  <c r="C1377" i="4" l="1" a="1"/>
  <c r="C1377" i="4" s="1"/>
  <c r="J1371" i="4"/>
  <c r="C1378" i="4" s="1"/>
  <c r="C1379" i="4" s="1" a="1"/>
  <c r="C1381" i="4" l="1"/>
  <c r="G1382" i="4"/>
  <c r="E1380" i="4"/>
  <c r="F1381" i="4"/>
  <c r="C1382" i="4"/>
  <c r="C1384" i="4"/>
  <c r="C1379" i="4"/>
  <c r="D1381" i="4"/>
  <c r="D1382" i="4"/>
  <c r="D1385" i="4"/>
  <c r="F1380" i="4" l="1"/>
  <c r="G1380" i="4"/>
  <c r="D1384" i="4"/>
  <c r="C1385" i="4"/>
  <c r="G1381" i="4"/>
  <c r="C1380" i="4"/>
  <c r="F1382" i="4"/>
  <c r="D1380" i="4"/>
  <c r="J1380" i="4" l="1"/>
  <c r="C1386" i="4" a="1"/>
  <c r="C1386" i="4" s="1"/>
  <c r="C1387" i="4" l="1"/>
  <c r="C1388" i="4" s="1" a="1"/>
  <c r="E1389" i="4" l="1"/>
  <c r="G1391" i="4"/>
  <c r="C1388" i="4"/>
  <c r="C1393" i="4"/>
  <c r="D1389" i="4"/>
  <c r="C1390" i="4"/>
  <c r="D1390" i="4"/>
  <c r="F1390" i="4"/>
  <c r="C1391" i="4"/>
  <c r="D1391" i="4"/>
  <c r="D1394" i="4"/>
  <c r="F1391" i="4" l="1"/>
  <c r="F1389" i="4"/>
  <c r="G1389" i="4"/>
  <c r="D1393" i="4"/>
  <c r="G1390" i="4"/>
  <c r="C1389" i="4"/>
  <c r="C1394" i="4"/>
  <c r="C1395" i="4" l="1" a="1"/>
  <c r="C1395" i="4" s="1"/>
  <c r="J1389" i="4"/>
  <c r="C1396" i="4" l="1"/>
  <c r="C1397" i="4" s="1" a="1"/>
  <c r="C1402" i="4" l="1"/>
  <c r="E1398" i="4"/>
  <c r="C1399" i="4"/>
  <c r="C1397" i="4"/>
  <c r="D1403" i="4"/>
  <c r="D1398" i="4"/>
  <c r="D1399" i="4"/>
  <c r="F1399" i="4"/>
  <c r="C1400" i="4"/>
  <c r="G1400" i="4"/>
  <c r="F1400" i="4" l="1"/>
  <c r="F1398" i="4"/>
  <c r="G1398" i="4"/>
  <c r="C1403" i="4"/>
  <c r="D1402" i="4"/>
  <c r="C1398" i="4"/>
  <c r="G1399" i="4"/>
  <c r="D1400" i="4"/>
  <c r="C1404" i="4" l="1" a="1"/>
  <c r="C1404" i="4" s="1"/>
  <c r="J1398" i="4"/>
  <c r="C1405" i="4" s="1"/>
  <c r="C1406" i="4" s="1" a="1"/>
  <c r="D1412" i="4" l="1"/>
  <c r="C1409" i="4"/>
  <c r="F1408" i="4"/>
  <c r="E1407" i="4"/>
  <c r="C1408" i="4"/>
  <c r="D1408" i="4"/>
  <c r="G1409" i="4"/>
  <c r="C1406" i="4"/>
  <c r="C1411" i="4"/>
  <c r="C1412" i="4" l="1"/>
  <c r="F1407" i="4"/>
  <c r="G1407" i="4"/>
  <c r="G1408" i="4"/>
  <c r="C1407" i="4"/>
  <c r="F1409" i="4"/>
  <c r="D1411" i="4"/>
  <c r="D1407" i="4"/>
  <c r="D1409" i="4"/>
  <c r="J1407" i="4" l="1"/>
  <c r="C1413" i="4" a="1"/>
  <c r="C1413" i="4" s="1"/>
  <c r="C1414" i="4" l="1"/>
  <c r="C1415" i="4" s="1" a="1"/>
  <c r="F1417" i="4" l="1"/>
  <c r="D1421" i="4"/>
  <c r="C1418" i="4"/>
  <c r="G1418" i="4"/>
  <c r="E1416" i="4"/>
  <c r="C1417" i="4"/>
  <c r="D1417" i="4"/>
  <c r="C1420" i="4"/>
  <c r="C1415" i="4"/>
  <c r="D1416" i="4"/>
  <c r="C1421" i="4" l="1"/>
  <c r="F1416" i="4"/>
  <c r="G1416" i="4"/>
  <c r="G1417" i="4"/>
  <c r="F1418" i="4"/>
  <c r="D1420" i="4"/>
  <c r="C1416" i="4"/>
  <c r="D1418" i="4"/>
  <c r="J1416" i="4" l="1"/>
  <c r="C1422" i="4" a="1"/>
  <c r="C1422" i="4" s="1"/>
  <c r="C1423" i="4" l="1"/>
  <c r="C1424" i="4" s="1" a="1"/>
  <c r="F1426" i="4" l="1"/>
  <c r="C1429" i="4"/>
  <c r="C1426" i="4"/>
  <c r="D1430" i="4"/>
  <c r="C1427" i="4"/>
  <c r="D1426" i="4"/>
  <c r="C1424" i="4"/>
  <c r="D1425" i="4"/>
  <c r="E1425" i="4"/>
  <c r="D1427" i="4"/>
  <c r="G1427" i="4"/>
  <c r="D1429" i="4" l="1"/>
  <c r="C1430" i="4"/>
  <c r="G1426" i="4"/>
  <c r="G1425" i="4"/>
  <c r="C1425" i="4"/>
  <c r="F1427" i="4"/>
  <c r="F1425" i="4"/>
  <c r="J1425" i="4" l="1"/>
  <c r="C1431" i="4" a="1"/>
  <c r="C1431" i="4" s="1"/>
  <c r="C1432" i="4" l="1"/>
  <c r="C1433" i="4" s="1" a="1"/>
  <c r="C1435" i="4" l="1"/>
  <c r="D1439" i="4"/>
  <c r="C1436" i="4"/>
  <c r="G1436" i="4"/>
  <c r="D1435" i="4"/>
  <c r="F1435" i="4"/>
  <c r="C1433" i="4"/>
  <c r="D1434" i="4"/>
  <c r="E1434" i="4"/>
  <c r="C1438" i="4"/>
  <c r="G1434" i="4" l="1"/>
  <c r="C1439" i="4"/>
  <c r="F1436" i="4"/>
  <c r="G1435" i="4"/>
  <c r="F1434" i="4"/>
  <c r="C1434" i="4"/>
  <c r="D1438" i="4"/>
  <c r="D1436" i="4"/>
  <c r="J1434" i="4" l="1"/>
  <c r="C1440" i="4" a="1"/>
  <c r="C1440" i="4" s="1"/>
  <c r="C1441" i="4" l="1"/>
  <c r="C1442" i="4" s="1" a="1"/>
  <c r="D1448" i="4" l="1"/>
  <c r="C1445" i="4"/>
  <c r="D1445" i="4"/>
  <c r="C1442" i="4"/>
  <c r="E1443" i="4"/>
  <c r="C1447" i="4"/>
  <c r="C1444" i="4"/>
  <c r="D1444" i="4"/>
  <c r="F1444" i="4"/>
  <c r="G1445" i="4"/>
  <c r="C1443" i="4" l="1"/>
  <c r="G1443" i="4"/>
  <c r="C1448" i="4"/>
  <c r="F1443" i="4"/>
  <c r="D1447" i="4"/>
  <c r="G1444" i="4"/>
  <c r="F1445" i="4"/>
  <c r="D1443" i="4"/>
  <c r="C1449" i="4" l="1" a="1"/>
  <c r="C1449" i="4" s="1"/>
  <c r="J1443" i="4"/>
  <c r="C1450" i="4" s="1"/>
  <c r="C1451" i="4" s="1" a="1"/>
  <c r="G1454" i="4" l="1"/>
  <c r="E1452" i="4"/>
  <c r="D1457" i="4"/>
  <c r="C1454" i="4"/>
  <c r="C1456" i="4"/>
  <c r="D1453" i="4"/>
  <c r="F1453" i="4"/>
  <c r="C1451" i="4"/>
  <c r="D1452" i="4"/>
  <c r="C1453" i="4"/>
  <c r="C1457" i="4" l="1"/>
  <c r="D1456" i="4"/>
  <c r="F1452" i="4"/>
  <c r="G1452" i="4"/>
  <c r="G1453" i="4"/>
  <c r="C1452" i="4"/>
  <c r="F1454" i="4"/>
  <c r="D1454" i="4"/>
  <c r="J1452" i="4" l="1"/>
  <c r="C1458" i="4" a="1"/>
  <c r="C1458" i="4" s="1"/>
  <c r="C1459" i="4" l="1"/>
  <c r="C1460" i="4" s="1" a="1"/>
  <c r="C1463" i="4" l="1"/>
  <c r="C1460" i="4"/>
  <c r="D1466" i="4"/>
  <c r="D1463" i="4"/>
  <c r="C1462" i="4"/>
  <c r="D1462" i="4"/>
  <c r="C1465" i="4"/>
  <c r="D1461" i="4"/>
  <c r="E1461" i="4"/>
  <c r="F1462" i="4"/>
  <c r="G1463" i="4"/>
  <c r="F1463" i="4" l="1"/>
  <c r="C1466" i="4"/>
  <c r="G1462" i="4"/>
  <c r="D1465" i="4"/>
  <c r="C1461" i="4"/>
  <c r="F1461" i="4"/>
  <c r="G1461" i="4"/>
  <c r="J1461" i="4" l="1"/>
  <c r="C1467" i="4" a="1"/>
  <c r="C1467" i="4" s="1"/>
  <c r="C1468" i="4" l="1"/>
  <c r="C1469" i="4" s="1" a="1"/>
  <c r="C1474" i="4" l="1"/>
  <c r="D1471" i="4"/>
  <c r="C1472" i="4"/>
  <c r="D1475" i="4"/>
  <c r="F1471" i="4"/>
  <c r="C1471" i="4"/>
  <c r="E1470" i="4"/>
  <c r="G1472" i="4"/>
  <c r="C1469" i="4"/>
  <c r="C1475" i="4" l="1"/>
  <c r="G1471" i="4"/>
  <c r="F1472" i="4"/>
  <c r="D1474" i="4"/>
  <c r="C1470" i="4"/>
  <c r="F1470" i="4"/>
  <c r="G1470" i="4"/>
  <c r="D1470" i="4"/>
  <c r="D1472" i="4"/>
  <c r="C1476" i="4" l="1" a="1"/>
  <c r="C1476" i="4" s="1"/>
  <c r="J1470" i="4"/>
  <c r="C1477" i="4" l="1"/>
  <c r="C1478" i="4" s="1" a="1"/>
  <c r="F1480" i="4" l="1"/>
  <c r="D1484" i="4"/>
  <c r="C1481" i="4"/>
  <c r="G1481" i="4"/>
  <c r="C1483" i="4"/>
  <c r="C1480" i="4"/>
  <c r="D1480" i="4"/>
  <c r="C1478" i="4"/>
  <c r="D1479" i="4"/>
  <c r="E1479" i="4"/>
  <c r="G1479" i="4" l="1"/>
  <c r="G1480" i="4"/>
  <c r="C1484" i="4"/>
  <c r="F1481" i="4"/>
  <c r="D1483" i="4"/>
  <c r="C1479" i="4"/>
  <c r="F1479" i="4"/>
  <c r="D1481" i="4"/>
  <c r="C1485" i="4" l="1" a="1"/>
  <c r="C1485" i="4" s="1"/>
  <c r="J1479" i="4"/>
  <c r="C1486" i="4" l="1"/>
  <c r="C1487" i="4" s="1" a="1"/>
  <c r="C1489" i="4" l="1"/>
  <c r="F1489" i="4"/>
  <c r="C1487" i="4"/>
  <c r="C1492" i="4"/>
  <c r="D1493" i="4"/>
  <c r="D1488" i="4"/>
  <c r="E1488" i="4"/>
  <c r="D1489" i="4"/>
  <c r="C1490" i="4"/>
  <c r="G1490" i="4"/>
  <c r="C1488" i="4" l="1"/>
  <c r="G1489" i="4"/>
  <c r="D1492" i="4"/>
  <c r="C1493" i="4"/>
  <c r="F1490" i="4"/>
  <c r="F1488" i="4"/>
  <c r="G1488" i="4"/>
  <c r="D1490" i="4"/>
  <c r="C1494" i="4" l="1" a="1"/>
  <c r="C1494" i="4" s="1"/>
  <c r="J1488" i="4"/>
  <c r="C1495" i="4" s="1"/>
  <c r="C1496" i="4" s="1" a="1"/>
  <c r="F1498" i="4" l="1"/>
  <c r="C1498" i="4"/>
  <c r="D1498" i="4"/>
  <c r="D1502" i="4"/>
  <c r="G1499" i="4"/>
  <c r="C1496" i="4"/>
  <c r="E1497" i="4"/>
  <c r="C1499" i="4"/>
  <c r="C1501" i="4"/>
  <c r="G1497" i="4" l="1"/>
  <c r="D1501" i="4"/>
  <c r="G1498" i="4"/>
  <c r="C1497" i="4"/>
  <c r="F1497" i="4"/>
  <c r="C1502" i="4"/>
  <c r="F1499" i="4"/>
  <c r="D1499" i="4"/>
  <c r="D1497" i="4"/>
  <c r="J1497" i="4" l="1"/>
  <c r="C1503" i="4" a="1"/>
  <c r="C1503" i="4" s="1"/>
  <c r="C1504" i="4" l="1"/>
  <c r="C1505" i="4" s="1" a="1"/>
  <c r="C1510" i="4" l="1"/>
  <c r="F1507" i="4"/>
  <c r="C1507" i="4"/>
  <c r="D1507" i="4"/>
  <c r="G1508" i="4"/>
  <c r="D1511" i="4"/>
  <c r="E1506" i="4"/>
  <c r="C1508" i="4"/>
  <c r="C1505" i="4"/>
  <c r="G1506" i="4" l="1"/>
  <c r="D1510" i="4"/>
  <c r="C1511" i="4"/>
  <c r="G1507" i="4"/>
  <c r="F1508" i="4"/>
  <c r="F1506" i="4"/>
  <c r="C1506" i="4"/>
  <c r="D1508" i="4"/>
  <c r="D1506" i="4"/>
  <c r="J1506" i="4" l="1"/>
  <c r="C1512" i="4" a="1"/>
  <c r="C1512" i="4" s="1"/>
  <c r="C1513" i="4" l="1"/>
  <c r="C1514" i="4" s="1" a="1"/>
  <c r="C1514" i="4" l="1"/>
  <c r="C1519" i="4"/>
  <c r="D1520" i="4"/>
  <c r="C1517" i="4"/>
  <c r="G1517" i="4"/>
  <c r="E1515" i="4"/>
  <c r="C1516" i="4"/>
  <c r="D1516" i="4"/>
  <c r="F1516" i="4"/>
  <c r="D1517" i="4"/>
  <c r="C1515" i="4" l="1"/>
  <c r="C1520" i="4"/>
  <c r="G1516" i="4"/>
  <c r="F1515" i="4"/>
  <c r="G1515" i="4"/>
  <c r="D1519" i="4"/>
  <c r="F1517" i="4"/>
  <c r="D1515" i="4"/>
  <c r="J1515" i="4" l="1"/>
  <c r="C1521" i="4" a="1"/>
  <c r="C1521" i="4" s="1"/>
  <c r="C1522" i="4" l="1"/>
  <c r="C1523" i="4" s="1" a="1"/>
  <c r="C1528" i="4" l="1"/>
  <c r="D1529" i="4"/>
  <c r="C1526" i="4"/>
  <c r="D1525" i="4"/>
  <c r="F1525" i="4"/>
  <c r="G1526" i="4"/>
  <c r="C1525" i="4"/>
  <c r="C1523" i="4"/>
  <c r="D1524" i="4"/>
  <c r="E1524" i="4"/>
  <c r="C1524" i="4" l="1"/>
  <c r="C1529" i="4"/>
  <c r="D1528" i="4"/>
  <c r="F1526" i="4"/>
  <c r="G1525" i="4"/>
  <c r="F1524" i="4"/>
  <c r="G1524" i="4"/>
  <c r="D1526" i="4"/>
  <c r="C1530" i="4" l="1" a="1"/>
  <c r="C1530" i="4" s="1"/>
  <c r="J1524" i="4"/>
  <c r="C1531" i="4" s="1"/>
  <c r="C1532" i="4" s="1" a="1"/>
  <c r="F1534" i="4" l="1"/>
  <c r="C1535" i="4"/>
  <c r="C1532" i="4"/>
  <c r="D1533" i="4"/>
  <c r="D1538" i="4"/>
  <c r="C1534" i="4"/>
  <c r="D1534" i="4"/>
  <c r="G1535" i="4"/>
  <c r="E1533" i="4"/>
  <c r="C1537" i="4"/>
  <c r="F1535" i="4" l="1"/>
  <c r="G1534" i="4"/>
  <c r="C1533" i="4"/>
  <c r="D1537" i="4"/>
  <c r="C1538" i="4"/>
  <c r="F1533" i="4"/>
  <c r="G1533" i="4"/>
  <c r="D1535" i="4"/>
  <c r="C1539" i="4" l="1" a="1"/>
  <c r="C1539" i="4" s="1"/>
  <c r="J1533" i="4"/>
  <c r="C1540" i="4" s="1"/>
  <c r="C1541" i="4" s="1" a="1"/>
  <c r="C1546" i="4" l="1"/>
  <c r="C1543" i="4"/>
  <c r="D1543" i="4"/>
  <c r="C1544" i="4"/>
  <c r="E1542" i="4"/>
  <c r="D1547" i="4"/>
  <c r="F1543" i="4"/>
  <c r="G1544" i="4"/>
  <c r="C1541" i="4"/>
  <c r="G1543" i="4" l="1"/>
  <c r="D1546" i="4"/>
  <c r="F1542" i="4"/>
  <c r="G1542" i="4"/>
  <c r="C1547" i="4"/>
  <c r="F1544" i="4"/>
  <c r="C1542" i="4"/>
  <c r="D1542" i="4"/>
  <c r="D1544" i="4"/>
  <c r="C1548" i="4" l="1" a="1"/>
  <c r="C1548" i="4" s="1"/>
  <c r="J1542" i="4"/>
  <c r="C1549" i="4" s="1"/>
  <c r="C1550" i="4" s="1" a="1"/>
  <c r="C1555" i="4" l="1"/>
  <c r="D1552" i="4"/>
  <c r="G1553" i="4"/>
  <c r="C1552" i="4"/>
  <c r="F1552" i="4"/>
  <c r="C1550" i="4"/>
  <c r="C1553" i="4"/>
  <c r="D1556" i="4"/>
  <c r="E1551" i="4"/>
  <c r="F1553" i="4" l="1"/>
  <c r="D1555" i="4"/>
  <c r="G1551" i="4"/>
  <c r="C1551" i="4"/>
  <c r="F1551" i="4"/>
  <c r="G1552" i="4"/>
  <c r="C1556" i="4"/>
  <c r="D1551" i="4"/>
  <c r="D1553" i="4"/>
  <c r="J1551" i="4" l="1"/>
  <c r="C1557" i="4" a="1"/>
  <c r="C1557" i="4" s="1"/>
  <c r="C1558" i="4" l="1"/>
  <c r="C1559" i="4" s="1" a="1"/>
  <c r="F1561" i="4" l="1"/>
  <c r="C1564" i="4"/>
  <c r="C1559" i="4"/>
  <c r="C1562" i="4"/>
  <c r="D1565" i="4"/>
  <c r="C1561" i="4"/>
  <c r="D1561" i="4"/>
  <c r="D1560" i="4"/>
  <c r="E1560" i="4"/>
  <c r="G1562" i="4"/>
  <c r="F1560" i="4" l="1"/>
  <c r="F1562" i="4"/>
  <c r="D1564" i="4"/>
  <c r="G1560" i="4"/>
  <c r="C1565" i="4"/>
  <c r="G1561" i="4"/>
  <c r="C1560" i="4"/>
  <c r="D1562" i="4"/>
  <c r="J1560" i="4" l="1"/>
  <c r="C1566" i="4" a="1"/>
  <c r="C1566" i="4" s="1"/>
  <c r="C1567" i="4" l="1"/>
  <c r="C1568" i="4" s="1" a="1"/>
  <c r="F1570" i="4" l="1"/>
  <c r="C1570" i="4"/>
  <c r="C1573" i="4"/>
  <c r="E1569" i="4"/>
  <c r="D1570" i="4"/>
  <c r="G1571" i="4"/>
  <c r="D1574" i="4"/>
  <c r="C1568" i="4"/>
  <c r="C1571" i="4"/>
  <c r="D1571" i="4"/>
  <c r="G1569" i="4" l="1"/>
  <c r="D1573" i="4"/>
  <c r="F1569" i="4"/>
  <c r="C1574" i="4"/>
  <c r="C1569" i="4"/>
  <c r="G1570" i="4"/>
  <c r="F1571" i="4"/>
  <c r="D1569" i="4"/>
  <c r="J1569" i="4" l="1"/>
  <c r="C1575" i="4" a="1"/>
  <c r="C1575" i="4" s="1"/>
  <c r="C1576" i="4" l="1"/>
  <c r="C1577" i="4" s="1" a="1"/>
  <c r="C1577" i="4" l="1"/>
  <c r="C1582" i="4"/>
  <c r="C1579" i="4"/>
  <c r="D1579" i="4"/>
  <c r="F1579" i="4"/>
  <c r="C1580" i="4"/>
  <c r="D1583" i="4"/>
  <c r="D1578" i="4"/>
  <c r="E1578" i="4"/>
  <c r="D1580" i="4"/>
  <c r="G1580" i="4"/>
  <c r="G1578" i="4" l="1"/>
  <c r="F1578" i="4"/>
  <c r="G1579" i="4"/>
  <c r="C1583" i="4"/>
  <c r="C1578" i="4"/>
  <c r="F1580" i="4"/>
  <c r="D1582" i="4"/>
  <c r="J1578" i="4" l="1"/>
  <c r="C1584" i="4" a="1"/>
  <c r="C1584" i="4" s="1"/>
  <c r="C1585" i="4" l="1"/>
  <c r="C1586" i="4" s="1" a="1"/>
  <c r="G1589" i="4" l="1"/>
  <c r="C1591" i="4"/>
  <c r="C1588" i="4"/>
  <c r="D1588" i="4"/>
  <c r="F1588" i="4"/>
  <c r="C1589" i="4"/>
  <c r="C1586" i="4"/>
  <c r="E1587" i="4"/>
  <c r="D1592" i="4"/>
  <c r="C1587" i="4" l="1"/>
  <c r="F1587" i="4"/>
  <c r="D1591" i="4"/>
  <c r="F1589" i="4"/>
  <c r="G1588" i="4"/>
  <c r="G1587" i="4"/>
  <c r="C1592" i="4"/>
  <c r="D1589" i="4"/>
  <c r="D1587" i="4"/>
  <c r="J1587" i="4" l="1"/>
  <c r="C1593" i="4" a="1"/>
  <c r="C1593" i="4" s="1"/>
  <c r="C1594" i="4" l="1"/>
  <c r="C1595" i="4" s="1" a="1"/>
  <c r="C1595" i="4" l="1"/>
  <c r="G1598" i="4"/>
  <c r="D1597" i="4"/>
  <c r="E1596" i="4"/>
  <c r="C1600" i="4"/>
  <c r="C1597" i="4"/>
  <c r="F1597" i="4"/>
  <c r="C1598" i="4"/>
  <c r="D1598" i="4"/>
  <c r="D1601" i="4"/>
  <c r="F1598" i="4" l="1"/>
  <c r="F1596" i="4"/>
  <c r="C1596" i="4"/>
  <c r="G1596" i="4"/>
  <c r="D1600" i="4"/>
  <c r="C1601" i="4"/>
  <c r="G1597" i="4"/>
  <c r="D1596" i="4"/>
  <c r="J1596" i="4" l="1"/>
  <c r="C1602" i="4" a="1"/>
  <c r="C1602" i="4" s="1"/>
  <c r="C1603" i="4" l="1"/>
  <c r="C1604" i="4" s="1" a="1"/>
  <c r="C1607" i="4" l="1"/>
  <c r="D1606" i="4"/>
  <c r="C1604" i="4"/>
  <c r="C1609" i="4"/>
  <c r="C1606" i="4"/>
  <c r="D1610" i="4"/>
  <c r="F1606" i="4"/>
  <c r="D1607" i="4"/>
  <c r="D1605" i="4"/>
  <c r="G1607" i="4"/>
  <c r="E1605" i="4"/>
  <c r="F1607" i="4" l="1"/>
  <c r="C1610" i="4"/>
  <c r="G1606" i="4"/>
  <c r="C1605" i="4"/>
  <c r="D1609" i="4"/>
  <c r="F1605" i="4"/>
  <c r="G1605" i="4"/>
  <c r="J1605" i="4" l="1"/>
  <c r="C1611" i="4" a="1"/>
  <c r="C1611" i="4" s="1"/>
  <c r="C1612" i="4" l="1"/>
  <c r="C1613" i="4" s="1" a="1"/>
  <c r="C1618" i="4" l="1"/>
  <c r="D1615" i="4"/>
  <c r="D1619" i="4"/>
  <c r="C1616" i="4"/>
  <c r="C1615" i="4"/>
  <c r="G1616" i="4"/>
  <c r="C1613" i="4"/>
  <c r="D1614" i="4"/>
  <c r="E1614" i="4"/>
  <c r="F1615" i="4"/>
  <c r="C1619" i="4" l="1"/>
  <c r="D1618" i="4"/>
  <c r="G1615" i="4"/>
  <c r="F1616" i="4"/>
  <c r="C1614" i="4"/>
  <c r="F1614" i="4"/>
  <c r="G1614" i="4"/>
  <c r="D1616" i="4"/>
  <c r="J1614" i="4" l="1"/>
  <c r="C1620" i="4" a="1"/>
  <c r="C1620" i="4" s="1"/>
  <c r="C1621" i="4" l="1"/>
  <c r="C1622" i="4" s="1" a="1"/>
  <c r="C1625" i="4" l="1"/>
  <c r="D1624" i="4"/>
  <c r="E1623" i="4"/>
  <c r="C1622" i="4"/>
  <c r="C1627" i="4"/>
  <c r="D1628" i="4"/>
  <c r="F1624" i="4"/>
  <c r="D1625" i="4"/>
  <c r="G1625" i="4"/>
  <c r="C1624" i="4"/>
  <c r="D1627" i="4" l="1"/>
  <c r="C1628" i="4"/>
  <c r="G1624" i="4"/>
  <c r="F1625" i="4"/>
  <c r="G1623" i="4"/>
  <c r="C1623" i="4"/>
  <c r="F1623" i="4"/>
  <c r="D1623" i="4"/>
  <c r="J1623" i="4" l="1"/>
  <c r="C1629" i="4" a="1"/>
  <c r="C1629" i="4" s="1"/>
  <c r="C1630" i="4" l="1"/>
  <c r="C1631" i="4" s="1" a="1"/>
  <c r="E1632" i="4" l="1"/>
  <c r="C1636" i="4"/>
  <c r="F1633" i="4"/>
  <c r="C1633" i="4"/>
  <c r="D1633" i="4"/>
  <c r="D1637" i="4"/>
  <c r="C1631" i="4"/>
  <c r="D1632" i="4" s="1"/>
  <c r="C1634" i="4"/>
  <c r="G1634" i="4"/>
  <c r="F1632" i="4" l="1"/>
  <c r="C1637" i="4"/>
  <c r="D1636" i="4"/>
  <c r="C1632" i="4"/>
  <c r="G1632" i="4"/>
  <c r="G1633" i="4"/>
  <c r="F1634" i="4"/>
  <c r="D1634" i="4"/>
  <c r="C1638" i="4" l="1" a="1"/>
  <c r="C1638" i="4" s="1"/>
  <c r="J1632" i="4"/>
  <c r="C1639" i="4" s="1"/>
  <c r="C1640" i="4" s="1" a="1"/>
  <c r="F1642" i="4" l="1"/>
  <c r="C1640" i="4"/>
  <c r="C1645" i="4"/>
  <c r="C1642" i="4"/>
  <c r="D1642" i="4"/>
  <c r="D1646" i="4"/>
  <c r="C1643" i="4"/>
  <c r="D1643" i="4"/>
  <c r="E1641" i="4"/>
  <c r="D1641" i="4"/>
  <c r="G1643" i="4"/>
  <c r="D1645" i="4" l="1"/>
  <c r="G1641" i="4"/>
  <c r="F1643" i="4"/>
  <c r="F1641" i="4"/>
  <c r="G1642" i="4"/>
  <c r="C1641" i="4"/>
  <c r="C1646" i="4"/>
  <c r="J1641" i="4" l="1"/>
  <c r="C1647" i="4" a="1"/>
  <c r="C1647" i="4" s="1"/>
  <c r="C1648" i="4" l="1"/>
  <c r="C1649" i="4" s="1" a="1"/>
  <c r="C1654" i="4" l="1"/>
  <c r="C1651" i="4"/>
  <c r="D1651" i="4"/>
  <c r="C1652" i="4"/>
  <c r="C1649" i="4"/>
  <c r="D1650" i="4"/>
  <c r="E1650" i="4"/>
  <c r="F1651" i="4"/>
  <c r="D1652" i="4"/>
  <c r="G1652" i="4"/>
  <c r="D1655" i="4"/>
  <c r="G1650" i="4" l="1"/>
  <c r="F1652" i="4"/>
  <c r="D1654" i="4"/>
  <c r="G1651" i="4"/>
  <c r="C1650" i="4"/>
  <c r="C1655" i="4"/>
  <c r="F1650" i="4"/>
  <c r="J1650" i="4" l="1"/>
  <c r="C1656" i="4" a="1"/>
  <c r="C1656" i="4" s="1"/>
  <c r="C1657" i="4" l="1"/>
  <c r="C1658" i="4" s="1" a="1"/>
  <c r="C1663" i="4" l="1"/>
  <c r="C1660" i="4"/>
  <c r="D1660" i="4"/>
  <c r="G1661" i="4"/>
  <c r="D1664" i="4"/>
  <c r="C1658" i="4"/>
  <c r="D1661" i="4" s="1"/>
  <c r="E1659" i="4"/>
  <c r="F1660" i="4"/>
  <c r="C1661" i="4"/>
  <c r="C1659" i="4" l="1"/>
  <c r="D1663" i="4"/>
  <c r="G1659" i="4"/>
  <c r="F1661" i="4"/>
  <c r="C1664" i="4"/>
  <c r="F1659" i="4"/>
  <c r="G1660" i="4"/>
  <c r="D1659" i="4"/>
  <c r="J1659" i="4" l="1"/>
  <c r="C1665" i="4" a="1"/>
  <c r="C1665" i="4" s="1"/>
  <c r="C1666" i="4" l="1"/>
  <c r="C1667" i="4" s="1" a="1"/>
  <c r="G1670" i="4" l="1"/>
  <c r="D1669" i="4"/>
  <c r="C1669" i="4"/>
  <c r="C1672" i="4"/>
  <c r="E1668" i="4"/>
  <c r="C1667" i="4"/>
  <c r="D1673" i="4"/>
  <c r="F1669" i="4"/>
  <c r="C1670" i="4"/>
  <c r="D1670" i="4"/>
  <c r="G1669" i="4" l="1"/>
  <c r="D1672" i="4"/>
  <c r="F1668" i="4"/>
  <c r="C1673" i="4"/>
  <c r="C1668" i="4"/>
  <c r="G1668" i="4"/>
  <c r="F1670" i="4"/>
  <c r="D1668" i="4"/>
  <c r="J1668" i="4" l="1"/>
  <c r="C1674" i="4" a="1"/>
  <c r="C1674" i="4" s="1"/>
  <c r="C1675" i="4" l="1"/>
  <c r="C1676" i="4" s="1" a="1"/>
  <c r="C1678" i="4" l="1"/>
  <c r="C1681" i="4"/>
  <c r="D1678" i="4"/>
  <c r="F1678" i="4"/>
  <c r="E1677" i="4"/>
  <c r="C1679" i="4"/>
  <c r="D1682" i="4"/>
  <c r="C1676" i="4"/>
  <c r="D1677" i="4"/>
  <c r="G1679" i="4"/>
  <c r="C1682" i="4" l="1"/>
  <c r="D1681" i="4"/>
  <c r="G1677" i="4"/>
  <c r="F1677" i="4"/>
  <c r="G1678" i="4"/>
  <c r="C1677" i="4"/>
  <c r="F1679" i="4"/>
  <c r="D1679" i="4"/>
  <c r="J1677" i="4" l="1"/>
  <c r="C1683" i="4" a="1"/>
  <c r="C1683" i="4" s="1"/>
  <c r="C1684" i="4" l="1"/>
  <c r="C1685" i="4" s="1" a="1"/>
  <c r="C1690" i="4" l="1"/>
  <c r="E1686" i="4"/>
  <c r="F1687" i="4"/>
  <c r="C1687" i="4"/>
  <c r="D1687" i="4"/>
  <c r="G1688" i="4"/>
  <c r="D1691" i="4"/>
  <c r="C1685" i="4"/>
  <c r="D1686" i="4"/>
  <c r="C1688" i="4"/>
  <c r="D1690" i="4" l="1"/>
  <c r="F1688" i="4"/>
  <c r="C1691" i="4"/>
  <c r="C1686" i="4"/>
  <c r="F1686" i="4"/>
  <c r="G1686" i="4"/>
  <c r="G1687" i="4"/>
  <c r="D1688" i="4"/>
  <c r="J1686" i="4" l="1"/>
  <c r="C1692" i="4" a="1"/>
  <c r="C1692" i="4" s="1"/>
  <c r="C1693" i="4" l="1"/>
  <c r="C1694" i="4" s="1" a="1"/>
  <c r="C1694" i="4" l="1"/>
  <c r="C1699" i="4"/>
  <c r="D1696" i="4"/>
  <c r="C1696" i="4"/>
  <c r="G1697" i="4"/>
  <c r="D1695" i="4"/>
  <c r="E1695" i="4"/>
  <c r="F1696" i="4"/>
  <c r="D1700" i="4"/>
  <c r="C1697" i="4"/>
  <c r="D1697" i="4"/>
  <c r="G1695" i="4" l="1"/>
  <c r="D1699" i="4"/>
  <c r="F1697" i="4"/>
  <c r="F1695" i="4"/>
  <c r="C1695" i="4"/>
  <c r="G1696" i="4"/>
  <c r="C1700" i="4"/>
  <c r="C1701" i="4" l="1" a="1"/>
  <c r="C1701" i="4" s="1"/>
  <c r="J1695" i="4"/>
  <c r="C1702" i="4" s="1"/>
  <c r="C1703" i="4" s="1" a="1"/>
  <c r="D1705" i="4" l="1"/>
  <c r="C1703" i="4"/>
  <c r="D1709" i="4"/>
  <c r="C1706" i="4"/>
  <c r="G1706" i="4"/>
  <c r="D1704" i="4"/>
  <c r="E1704" i="4"/>
  <c r="C1705" i="4"/>
  <c r="F1705" i="4"/>
  <c r="C1708" i="4"/>
  <c r="G1704" i="4" l="1"/>
  <c r="F1704" i="4"/>
  <c r="D1708" i="4"/>
  <c r="C1704" i="4"/>
  <c r="C1709" i="4"/>
  <c r="F1706" i="4"/>
  <c r="G1705" i="4"/>
  <c r="D1706" i="4"/>
  <c r="J1704" i="4" l="1"/>
  <c r="C1710" i="4" a="1"/>
  <c r="C1710" i="4" s="1"/>
  <c r="C1711" i="4" l="1"/>
  <c r="C1712" i="4" s="1" a="1"/>
  <c r="F1714" i="4" l="1"/>
  <c r="E1713" i="4"/>
  <c r="C1717" i="4"/>
  <c r="C1714" i="4"/>
  <c r="D1714" i="4"/>
  <c r="D1718" i="4"/>
  <c r="G1715" i="4"/>
  <c r="C1715" i="4"/>
  <c r="C1712" i="4"/>
  <c r="D1717" i="4" l="1"/>
  <c r="G1713" i="4"/>
  <c r="F1715" i="4"/>
  <c r="C1718" i="4"/>
  <c r="C1713" i="4"/>
  <c r="F1713" i="4"/>
  <c r="G1714" i="4"/>
  <c r="D1715" i="4"/>
  <c r="D1713" i="4"/>
  <c r="J1713" i="4" l="1"/>
  <c r="C1719" i="4" a="1"/>
  <c r="C1719" i="4" s="1"/>
  <c r="C1720" i="4" l="1"/>
  <c r="C1721" i="4" s="1" a="1"/>
  <c r="D1723" i="4" l="1"/>
  <c r="E1722" i="4"/>
  <c r="C1721" i="4"/>
  <c r="C1723" i="4"/>
  <c r="D1727" i="4"/>
  <c r="F1723" i="4"/>
  <c r="C1724" i="4"/>
  <c r="G1724" i="4"/>
  <c r="C1726" i="4"/>
  <c r="G1722" i="4" l="1"/>
  <c r="F1724" i="4"/>
  <c r="C1722" i="4"/>
  <c r="D1726" i="4"/>
  <c r="C1727" i="4"/>
  <c r="F1722" i="4"/>
  <c r="G1723" i="4"/>
  <c r="D1722" i="4"/>
  <c r="D1724" i="4"/>
  <c r="J1722" i="4" l="1"/>
  <c r="C1728" i="4" a="1"/>
  <c r="C1728" i="4" s="1"/>
  <c r="C1729" i="4" l="1"/>
  <c r="C1730" i="4" s="1" a="1"/>
  <c r="C1735" i="4" l="1"/>
  <c r="E1731" i="4"/>
  <c r="F1732" i="4"/>
  <c r="C1732" i="4"/>
  <c r="D1732" i="4"/>
  <c r="D1736" i="4"/>
  <c r="C1733" i="4"/>
  <c r="G1733" i="4"/>
  <c r="C1730" i="4"/>
  <c r="C1731" i="4" l="1"/>
  <c r="F1733" i="4"/>
  <c r="G1732" i="4"/>
  <c r="F1731" i="4"/>
  <c r="D1735" i="4"/>
  <c r="C1736" i="4"/>
  <c r="G1731" i="4"/>
  <c r="D1733" i="4"/>
  <c r="D1731" i="4"/>
  <c r="C1737" i="4" l="1" a="1"/>
  <c r="C1737" i="4" s="1"/>
  <c r="J1731" i="4"/>
  <c r="C1738" i="4" s="1"/>
  <c r="C1739" i="4" s="1" a="1"/>
  <c r="C1742" i="4" l="1"/>
  <c r="F1741" i="4"/>
  <c r="D1745" i="4"/>
  <c r="C1744" i="4"/>
  <c r="E1740" i="4"/>
  <c r="D1741" i="4"/>
  <c r="G1742" i="4"/>
  <c r="C1739" i="4"/>
  <c r="C1741" i="4"/>
  <c r="F1740" i="4" l="1"/>
  <c r="C1745" i="4"/>
  <c r="G1741" i="4"/>
  <c r="C1740" i="4"/>
  <c r="G1740" i="4"/>
  <c r="F1742" i="4"/>
  <c r="D1744" i="4"/>
  <c r="D1740" i="4"/>
  <c r="D1742" i="4"/>
  <c r="C1746" i="4" l="1" a="1"/>
  <c r="C1746" i="4" s="1"/>
  <c r="J1740" i="4"/>
  <c r="C1747" i="4" s="1"/>
  <c r="C1748" i="4" s="1" a="1"/>
  <c r="G1751" i="4" l="1"/>
  <c r="D1750" i="4"/>
  <c r="F1750" i="4"/>
  <c r="D1754" i="4"/>
  <c r="C1751" i="4"/>
  <c r="C1753" i="4"/>
  <c r="C1750" i="4"/>
  <c r="C1748" i="4"/>
  <c r="D1749" i="4"/>
  <c r="E1749" i="4"/>
  <c r="C1754" i="4" l="1"/>
  <c r="C1749" i="4"/>
  <c r="G1750" i="4"/>
  <c r="F1751" i="4"/>
  <c r="D1753" i="4"/>
  <c r="F1749" i="4"/>
  <c r="G1749" i="4"/>
  <c r="D1751" i="4"/>
  <c r="C1755" i="4" l="1" a="1"/>
  <c r="C1755" i="4" s="1"/>
  <c r="J1749" i="4"/>
  <c r="C1756" i="4" l="1"/>
  <c r="C1757" i="4" s="1" a="1"/>
  <c r="C1762" i="4" l="1"/>
  <c r="C1760" i="4"/>
  <c r="C1757" i="4"/>
  <c r="F1759" i="4"/>
  <c r="D1758" i="4"/>
  <c r="D1759" i="4"/>
  <c r="D1760" i="4"/>
  <c r="E1758" i="4"/>
  <c r="D1763" i="4"/>
  <c r="C1759" i="4"/>
  <c r="G1760" i="4"/>
  <c r="G1758" i="4" l="1"/>
  <c r="C1763" i="4"/>
  <c r="G1759" i="4"/>
  <c r="C1758" i="4"/>
  <c r="D1762" i="4"/>
  <c r="F1760" i="4"/>
  <c r="F1758" i="4"/>
  <c r="C1764" i="4" l="1" a="1"/>
  <c r="C1764" i="4" s="1"/>
  <c r="J1758" i="4"/>
  <c r="C1765" i="4" s="1"/>
  <c r="C1766" i="4" s="1" a="1"/>
  <c r="E1767" i="4" l="1"/>
  <c r="F1768" i="4"/>
  <c r="D1768" i="4"/>
  <c r="C1766" i="4"/>
  <c r="C1768" i="4"/>
  <c r="D1772" i="4"/>
  <c r="C1771" i="4"/>
  <c r="C1769" i="4"/>
  <c r="D1769" i="4"/>
  <c r="G1769" i="4"/>
  <c r="G1768" i="4" l="1"/>
  <c r="F1767" i="4"/>
  <c r="G1767" i="4"/>
  <c r="C1767" i="4"/>
  <c r="C1772" i="4"/>
  <c r="D1771" i="4"/>
  <c r="F1769" i="4"/>
  <c r="D1767" i="4"/>
  <c r="C1773" i="4" l="1" a="1"/>
  <c r="C1773" i="4" s="1"/>
  <c r="J1767" i="4"/>
  <c r="C1774" i="4" s="1"/>
  <c r="C1775" i="4" s="1" a="1"/>
  <c r="F1777" i="4" l="1"/>
  <c r="E1776" i="4"/>
  <c r="C1778" i="4"/>
  <c r="C1780" i="4"/>
  <c r="D1781" i="4"/>
  <c r="C1775" i="4"/>
  <c r="D1776" i="4"/>
  <c r="C1777" i="4"/>
  <c r="D1777" i="4"/>
  <c r="G1778" i="4"/>
  <c r="G1776" i="4" l="1"/>
  <c r="F1776" i="4"/>
  <c r="F1778" i="4"/>
  <c r="G1777" i="4"/>
  <c r="D1780" i="4"/>
  <c r="C1781" i="4"/>
  <c r="C1776" i="4"/>
  <c r="D1778" i="4"/>
  <c r="J1776" i="4" l="1"/>
  <c r="C1782" i="4" a="1"/>
  <c r="C1782" i="4" s="1"/>
  <c r="C1783" i="4" l="1"/>
  <c r="C1784" i="4" s="1" a="1"/>
  <c r="F1786" i="4" l="1"/>
  <c r="D1786" i="4"/>
  <c r="G1787" i="4"/>
  <c r="C1784" i="4"/>
  <c r="D1785" i="4" s="1"/>
  <c r="E1785" i="4"/>
  <c r="D1790" i="4"/>
  <c r="C1786" i="4"/>
  <c r="C1787" i="4"/>
  <c r="D1787" i="4"/>
  <c r="C1789" i="4"/>
  <c r="D1789" i="4" l="1"/>
  <c r="F1785" i="4"/>
  <c r="G1785" i="4"/>
  <c r="F1787" i="4"/>
  <c r="C1785" i="4"/>
  <c r="C1790" i="4"/>
  <c r="G1786" i="4"/>
  <c r="J1785" i="4" l="1"/>
  <c r="C1791" i="4" a="1"/>
  <c r="C1791" i="4" s="1"/>
  <c r="C1792" i="4" l="1"/>
  <c r="C1793" i="4" s="1" a="1"/>
  <c r="C1798" i="4" l="1"/>
  <c r="C1795" i="4"/>
  <c r="D1795" i="4"/>
  <c r="E1794" i="4"/>
  <c r="C1793" i="4"/>
  <c r="D1794" i="4"/>
  <c r="G1796" i="4"/>
  <c r="F1795" i="4"/>
  <c r="D1799" i="4"/>
  <c r="C1796" i="4"/>
  <c r="D1796" i="4"/>
  <c r="G1794" i="4" l="1"/>
  <c r="F1796" i="4"/>
  <c r="D1798" i="4"/>
  <c r="F1794" i="4"/>
  <c r="C1794" i="4"/>
  <c r="C1799" i="4"/>
  <c r="G1795" i="4"/>
  <c r="J1794" i="4" l="1"/>
  <c r="C1800" i="4" a="1"/>
  <c r="C1800" i="4" s="1"/>
  <c r="C1801" i="4" l="1"/>
  <c r="C1802" i="4" s="1" a="1"/>
  <c r="C1807" i="4" l="1"/>
  <c r="C1804" i="4"/>
  <c r="D1808" i="4"/>
  <c r="F1804" i="4"/>
  <c r="C1805" i="4"/>
  <c r="D1804" i="4"/>
  <c r="C1802" i="4"/>
  <c r="E1803" i="4"/>
  <c r="G1805" i="4"/>
  <c r="C1803" i="4" l="1"/>
  <c r="C1808" i="4"/>
  <c r="G1804" i="4"/>
  <c r="D1807" i="4"/>
  <c r="F1803" i="4"/>
  <c r="G1803" i="4"/>
  <c r="F1805" i="4"/>
  <c r="D1805" i="4"/>
  <c r="D1803" i="4"/>
  <c r="J1803" i="4" l="1"/>
  <c r="C1809" i="4" a="1"/>
  <c r="C1809" i="4" s="1"/>
  <c r="C1810" i="4" l="1"/>
  <c r="C1811" i="4" s="1" a="1"/>
  <c r="D1817" i="4" l="1"/>
  <c r="C1816" i="4"/>
  <c r="C1813" i="4"/>
  <c r="G1814" i="4"/>
  <c r="E1812" i="4"/>
  <c r="D1813" i="4"/>
  <c r="F1813" i="4"/>
  <c r="C1814" i="4"/>
  <c r="C1811" i="4"/>
  <c r="D1814" i="4" s="1"/>
  <c r="G1813" i="4" l="1"/>
  <c r="F1814" i="4"/>
  <c r="D1816" i="4"/>
  <c r="C1812" i="4"/>
  <c r="F1812" i="4"/>
  <c r="G1812" i="4"/>
  <c r="C1817" i="4"/>
  <c r="D1812" i="4"/>
  <c r="J1812" i="4" l="1"/>
  <c r="C1818" i="4" a="1"/>
  <c r="C1818" i="4" s="1"/>
  <c r="C1819" i="4" l="1"/>
  <c r="C1820" i="4" s="1" a="1"/>
  <c r="C1822" i="4" l="1"/>
  <c r="G1823" i="4"/>
  <c r="C1820" i="4"/>
  <c r="D1821" i="4"/>
  <c r="E1821" i="4"/>
  <c r="D1826" i="4"/>
  <c r="C1825" i="4"/>
  <c r="D1822" i="4"/>
  <c r="F1822" i="4"/>
  <c r="C1823" i="4"/>
  <c r="D1823" i="4"/>
  <c r="F1821" i="4" l="1"/>
  <c r="G1821" i="4"/>
  <c r="F1823" i="4"/>
  <c r="C1821" i="4"/>
  <c r="D1825" i="4"/>
  <c r="C1826" i="4"/>
  <c r="G1822" i="4"/>
  <c r="C1827" i="4" l="1" a="1"/>
  <c r="C1827" i="4" s="1"/>
  <c r="J1821" i="4"/>
  <c r="C1828" i="4" s="1"/>
  <c r="C1829" i="4" s="1" a="1"/>
  <c r="C1834" i="4" l="1"/>
  <c r="E1830" i="4"/>
  <c r="G1832" i="4"/>
  <c r="C1829" i="4"/>
  <c r="C1831" i="4"/>
  <c r="D1831" i="4"/>
  <c r="D1835" i="4"/>
  <c r="C1832" i="4"/>
  <c r="D1832" i="4"/>
  <c r="F1831" i="4"/>
  <c r="D1834" i="4" l="1"/>
  <c r="C1830" i="4"/>
  <c r="F1832" i="4"/>
  <c r="F1830" i="4"/>
  <c r="G1830" i="4"/>
  <c r="G1831" i="4"/>
  <c r="C1835" i="4"/>
  <c r="D1830" i="4"/>
  <c r="C1836" i="4" l="1" a="1"/>
  <c r="C1836" i="4" s="1"/>
  <c r="J1830" i="4"/>
  <c r="C1837" i="4" l="1"/>
  <c r="C1838" i="4" s="1" a="1"/>
  <c r="C1838" i="4" l="1"/>
  <c r="G1841" i="4"/>
  <c r="D1839" i="4"/>
  <c r="C1840" i="4"/>
  <c r="D1840" i="4"/>
  <c r="C1841" i="4"/>
  <c r="D1841" i="4"/>
  <c r="E1839" i="4"/>
  <c r="F1840" i="4"/>
  <c r="C1843" i="4"/>
  <c r="D1844" i="4"/>
  <c r="F1841" i="4" l="1"/>
  <c r="C1839" i="4"/>
  <c r="G1840" i="4"/>
  <c r="D1843" i="4"/>
  <c r="F1839" i="4"/>
  <c r="G1839" i="4"/>
  <c r="C1844" i="4"/>
  <c r="C1845" i="4" l="1" a="1"/>
  <c r="C1845" i="4" s="1"/>
  <c r="J1839" i="4"/>
  <c r="C1846" i="4" s="1"/>
  <c r="C1847" i="4" s="1" a="1"/>
  <c r="F1849" i="4" l="1"/>
  <c r="C1847" i="4"/>
  <c r="C1852" i="4"/>
  <c r="C1850" i="4"/>
  <c r="D1848" i="4"/>
  <c r="E1848" i="4"/>
  <c r="D1853" i="4"/>
  <c r="C1849" i="4"/>
  <c r="G1850" i="4"/>
  <c r="D1849" i="4"/>
  <c r="F1850" i="4" l="1"/>
  <c r="G1849" i="4"/>
  <c r="D1852" i="4"/>
  <c r="C1848" i="4"/>
  <c r="C1853" i="4"/>
  <c r="F1848" i="4"/>
  <c r="G1848" i="4"/>
  <c r="D1850" i="4"/>
  <c r="C1854" i="4" l="1" a="1"/>
  <c r="C1854" i="4" s="1"/>
  <c r="J1848" i="4"/>
  <c r="C1855" i="4" s="1"/>
  <c r="C1856" i="4" s="1" a="1"/>
  <c r="F1858" i="4" l="1"/>
  <c r="C1858" i="4"/>
  <c r="C1859" i="4"/>
  <c r="C1856" i="4"/>
  <c r="C1861" i="4"/>
  <c r="D1862" i="4"/>
  <c r="D1858" i="4"/>
  <c r="D1857" i="4"/>
  <c r="E1857" i="4"/>
  <c r="G1859" i="4"/>
  <c r="C1857" i="4" l="1"/>
  <c r="D1861" i="4"/>
  <c r="C1862" i="4"/>
  <c r="G1858" i="4"/>
  <c r="F1857" i="4"/>
  <c r="G1857" i="4"/>
  <c r="F1859" i="4"/>
  <c r="D1859" i="4"/>
  <c r="C1863" i="4" l="1" a="1"/>
  <c r="C1863" i="4" s="1"/>
  <c r="J1857" i="4"/>
  <c r="C1864" i="4" s="1"/>
  <c r="C1865" i="4" s="1" a="1"/>
  <c r="G1868" i="4" l="1"/>
  <c r="C1868" i="4"/>
  <c r="C1865" i="4"/>
  <c r="D1866" i="4"/>
  <c r="E1866" i="4"/>
  <c r="C1867" i="4"/>
  <c r="D1867" i="4"/>
  <c r="D1871" i="4"/>
  <c r="F1867" i="4"/>
  <c r="D1868" i="4"/>
  <c r="C1870" i="4"/>
  <c r="G1866" i="4" l="1"/>
  <c r="F1866" i="4"/>
  <c r="G1867" i="4"/>
  <c r="C1866" i="4"/>
  <c r="F1868" i="4"/>
  <c r="C1871" i="4"/>
  <c r="D1870" i="4"/>
  <c r="J1866" i="4" l="1"/>
  <c r="C1872" i="4" a="1"/>
  <c r="C1872" i="4" s="1"/>
  <c r="C1873" i="4" l="1"/>
  <c r="C1874" i="4" s="1" a="1"/>
  <c r="C1879" i="4" l="1"/>
  <c r="C1877" i="4"/>
  <c r="D1880" i="4"/>
  <c r="E1875" i="4"/>
  <c r="C1876" i="4"/>
  <c r="D1876" i="4"/>
  <c r="F1876" i="4"/>
  <c r="G1877" i="4"/>
  <c r="C1874" i="4"/>
  <c r="D1877" i="4" s="1"/>
  <c r="C1875" i="4" l="1"/>
  <c r="F1875" i="4"/>
  <c r="F1877" i="4"/>
  <c r="G1876" i="4"/>
  <c r="G1875" i="4"/>
  <c r="C1880" i="4"/>
  <c r="D1879" i="4"/>
  <c r="D1875" i="4"/>
  <c r="C1881" i="4" l="1" a="1"/>
  <c r="C1881" i="4" s="1"/>
  <c r="J1875" i="4"/>
  <c r="C1882" i="4" s="1"/>
  <c r="C1883" i="4" s="1" a="1"/>
  <c r="C1886" i="4" l="1"/>
  <c r="F1885" i="4"/>
  <c r="C1885" i="4"/>
  <c r="D1885" i="4"/>
  <c r="C1888" i="4"/>
  <c r="D1889" i="4"/>
  <c r="C1883" i="4"/>
  <c r="E1884" i="4"/>
  <c r="G1886" i="4"/>
  <c r="F1886" i="4" l="1"/>
  <c r="D1888" i="4"/>
  <c r="C1889" i="4"/>
  <c r="C1884" i="4"/>
  <c r="F1884" i="4"/>
  <c r="G1884" i="4"/>
  <c r="G1885" i="4"/>
  <c r="D1886" i="4"/>
  <c r="D1884" i="4"/>
  <c r="C1890" i="4" l="1" a="1"/>
  <c r="C1890" i="4" s="1"/>
  <c r="J1884" i="4"/>
  <c r="C1891" i="4" s="1"/>
  <c r="C1892" i="4" s="1" a="1"/>
  <c r="G1895" i="4" l="1"/>
  <c r="C1895" i="4"/>
  <c r="F1894" i="4"/>
  <c r="E1893" i="4"/>
  <c r="D1898" i="4"/>
  <c r="C1892" i="4"/>
  <c r="C1894" i="4"/>
  <c r="D1894" i="4"/>
  <c r="C1897" i="4"/>
  <c r="G1894" i="4" l="1"/>
  <c r="F1895" i="4"/>
  <c r="C1893" i="4"/>
  <c r="F1893" i="4"/>
  <c r="G1893" i="4"/>
  <c r="D1897" i="4"/>
  <c r="C1898" i="4"/>
  <c r="D1893" i="4"/>
  <c r="D1895" i="4"/>
  <c r="C1899" i="4" l="1" a="1"/>
  <c r="C1899" i="4" s="1"/>
  <c r="J1893" i="4"/>
  <c r="C1900" i="4" l="1"/>
  <c r="C1901" i="4" s="1" a="1"/>
  <c r="C1906" i="4" l="1"/>
  <c r="C1904" i="4"/>
  <c r="D1903" i="4"/>
  <c r="C1903" i="4"/>
  <c r="E1902" i="4"/>
  <c r="C1901" i="4"/>
  <c r="F1903" i="4"/>
  <c r="G1904" i="4"/>
  <c r="D1907" i="4"/>
  <c r="C1907" i="4" l="1"/>
  <c r="G1903" i="4"/>
  <c r="D1906" i="4"/>
  <c r="F1902" i="4"/>
  <c r="C1902" i="4"/>
  <c r="G1902" i="4"/>
  <c r="F1904" i="4"/>
  <c r="D1902" i="4"/>
  <c r="D1904" i="4"/>
  <c r="C1908" i="4" l="1" a="1"/>
  <c r="C1908" i="4" s="1"/>
  <c r="J1902" i="4"/>
  <c r="C1909" i="4" s="1"/>
  <c r="C1910" i="4" s="1" a="1"/>
  <c r="D1912" i="4" l="1"/>
  <c r="C1912" i="4"/>
  <c r="D1916" i="4"/>
  <c r="C1913" i="4"/>
  <c r="G1913" i="4"/>
  <c r="F1912" i="4"/>
  <c r="C1915" i="4"/>
  <c r="C1910" i="4"/>
  <c r="D1911" i="4"/>
  <c r="E1911" i="4"/>
  <c r="D1915" i="4" l="1"/>
  <c r="C1916" i="4"/>
  <c r="F1913" i="4"/>
  <c r="G1912" i="4"/>
  <c r="C1911" i="4"/>
  <c r="G1911" i="4"/>
  <c r="F1911" i="4"/>
  <c r="D1913" i="4"/>
  <c r="C1917" i="4" l="1" a="1"/>
  <c r="C1917" i="4" s="1"/>
  <c r="J1911" i="4"/>
  <c r="C1918" i="4" s="1"/>
  <c r="C1919" i="4" s="1" a="1"/>
  <c r="C1921" i="4" l="1"/>
  <c r="D1921" i="4"/>
  <c r="G1922" i="4"/>
  <c r="C1919" i="4"/>
  <c r="C1924" i="4"/>
  <c r="D1925" i="4"/>
  <c r="D1920" i="4"/>
  <c r="E1920" i="4"/>
  <c r="F1921" i="4"/>
  <c r="C1922" i="4"/>
  <c r="G1920" i="4" l="1"/>
  <c r="C1925" i="4"/>
  <c r="D1924" i="4"/>
  <c r="C1920" i="4"/>
  <c r="F1920" i="4"/>
  <c r="G1921" i="4"/>
  <c r="F1922" i="4"/>
  <c r="D1922" i="4"/>
  <c r="J1920" i="4" l="1"/>
  <c r="C1926" i="4" a="1"/>
  <c r="C1926" i="4" s="1"/>
  <c r="C1927" i="4" l="1"/>
  <c r="C1928" i="4" s="1" a="1"/>
  <c r="F1930" i="4" l="1"/>
  <c r="C1930" i="4"/>
  <c r="C1928" i="4"/>
  <c r="D1934" i="4"/>
  <c r="D1930" i="4"/>
  <c r="C1931" i="4"/>
  <c r="G1931" i="4"/>
  <c r="E1929" i="4"/>
  <c r="D1931" i="4"/>
  <c r="C1933" i="4"/>
  <c r="F1929" i="4" l="1"/>
  <c r="C1929" i="4"/>
  <c r="G1930" i="4"/>
  <c r="F1931" i="4"/>
  <c r="C1934" i="4"/>
  <c r="G1929" i="4"/>
  <c r="D1933" i="4"/>
  <c r="D1929" i="4"/>
  <c r="J1929" i="4" l="1"/>
  <c r="C1935" i="4" a="1"/>
  <c r="C1935" i="4" s="1"/>
  <c r="C1936" i="4" l="1"/>
  <c r="C1937" i="4" s="1" a="1"/>
  <c r="C1939" i="4" l="1"/>
  <c r="D1939" i="4"/>
  <c r="C1942" i="4"/>
  <c r="E1938" i="4"/>
  <c r="G1940" i="4"/>
  <c r="C1937" i="4"/>
  <c r="F1939" i="4"/>
  <c r="C1940" i="4"/>
  <c r="D1940" i="4"/>
  <c r="D1943" i="4"/>
  <c r="G1938" i="4" l="1"/>
  <c r="F1940" i="4"/>
  <c r="C1943" i="4"/>
  <c r="C1938" i="4"/>
  <c r="F1938" i="4"/>
  <c r="D1942" i="4"/>
  <c r="G1939" i="4"/>
  <c r="D1938" i="4"/>
  <c r="J1938" i="4" l="1"/>
  <c r="C1944" i="4" a="1"/>
  <c r="C1944" i="4" s="1"/>
  <c r="C1945" i="4" l="1"/>
  <c r="C1946" i="4" s="1" a="1"/>
  <c r="D1948" i="4" l="1"/>
  <c r="D1952" i="4"/>
  <c r="F1948" i="4"/>
  <c r="E1947" i="4"/>
  <c r="C1948" i="4"/>
  <c r="C1951" i="4"/>
  <c r="G1949" i="4"/>
  <c r="C1946" i="4"/>
  <c r="C1949" i="4"/>
  <c r="C1947" i="4" l="1"/>
  <c r="F1947" i="4"/>
  <c r="C1952" i="4"/>
  <c r="G1948" i="4"/>
  <c r="D1951" i="4"/>
  <c r="G1947" i="4"/>
  <c r="F1949" i="4"/>
  <c r="D1949" i="4"/>
  <c r="D1947" i="4"/>
  <c r="J1947" i="4" l="1"/>
  <c r="C1953" i="4" a="1"/>
  <c r="C1953" i="4" s="1"/>
  <c r="C1954" i="4" l="1"/>
  <c r="C1955" i="4" s="1" a="1"/>
  <c r="E1956" i="4" l="1"/>
  <c r="D1957" i="4"/>
  <c r="D1961" i="4"/>
  <c r="F1957" i="4"/>
  <c r="G1958" i="4"/>
  <c r="C1955" i="4"/>
  <c r="D1956" i="4"/>
  <c r="C1957" i="4"/>
  <c r="C1960" i="4"/>
  <c r="C1958" i="4"/>
  <c r="G1957" i="4" l="1"/>
  <c r="C1961" i="4"/>
  <c r="F1958" i="4"/>
  <c r="C1956" i="4"/>
  <c r="F1956" i="4"/>
  <c r="G1956" i="4"/>
  <c r="D1960" i="4"/>
  <c r="D1958" i="4"/>
  <c r="C1962" i="4" l="1" a="1"/>
  <c r="C1962" i="4" s="1"/>
  <c r="J1956" i="4"/>
  <c r="C1963" i="4" s="1"/>
  <c r="C1964" i="4" s="1" a="1"/>
  <c r="C1966" i="4" l="1"/>
  <c r="C1964" i="4"/>
  <c r="D1966" i="4"/>
  <c r="G1967" i="4"/>
  <c r="C1969" i="4"/>
  <c r="C1967" i="4"/>
  <c r="D1967" i="4"/>
  <c r="D1965" i="4"/>
  <c r="E1965" i="4"/>
  <c r="F1966" i="4"/>
  <c r="D1970" i="4"/>
  <c r="F1967" i="4" l="1"/>
  <c r="C1965" i="4"/>
  <c r="F1965" i="4"/>
  <c r="G1965" i="4"/>
  <c r="G1966" i="4"/>
  <c r="D1969" i="4"/>
  <c r="C1970" i="4"/>
  <c r="J1965" i="4" l="1"/>
  <c r="C1971" i="4" a="1"/>
  <c r="C1971" i="4" s="1"/>
  <c r="C1972" i="4" l="1"/>
  <c r="C1973" i="4" s="1" a="1"/>
  <c r="C1978" i="4" l="1"/>
  <c r="E1974" i="4"/>
  <c r="G1976" i="4"/>
  <c r="C1973" i="4"/>
  <c r="C1975" i="4"/>
  <c r="D1975" i="4"/>
  <c r="F1975" i="4"/>
  <c r="C1976" i="4"/>
  <c r="D1976" i="4"/>
  <c r="D1979" i="4"/>
  <c r="D1974" i="4"/>
  <c r="G1974" i="4" l="1"/>
  <c r="F1976" i="4"/>
  <c r="C1974" i="4"/>
  <c r="D1978" i="4"/>
  <c r="F1974" i="4"/>
  <c r="G1975" i="4"/>
  <c r="C1979" i="4"/>
  <c r="J1974" i="4" l="1"/>
  <c r="C1980" i="4" a="1"/>
  <c r="C1980" i="4" s="1"/>
  <c r="C1981" i="4" l="1"/>
  <c r="C1982" i="4" s="1" a="1"/>
  <c r="C1982" i="4" l="1"/>
  <c r="D1988" i="4"/>
  <c r="E1983" i="4"/>
  <c r="C1987" i="4"/>
  <c r="G1985" i="4"/>
  <c r="D1983" i="4"/>
  <c r="D1985" i="4"/>
  <c r="C1984" i="4"/>
  <c r="D1984" i="4"/>
  <c r="F1984" i="4"/>
  <c r="C1985" i="4"/>
  <c r="F1983" i="4" l="1"/>
  <c r="F1985" i="4"/>
  <c r="C1983" i="4"/>
  <c r="G1983" i="4"/>
  <c r="C1988" i="4"/>
  <c r="D1987" i="4"/>
  <c r="G1984" i="4"/>
  <c r="C1989" i="4" l="1" a="1"/>
  <c r="C1989" i="4" s="1"/>
  <c r="J1983" i="4"/>
  <c r="C1990" i="4" l="1"/>
  <c r="C1991" i="4" s="1" a="1"/>
  <c r="C1996" i="4" l="1"/>
  <c r="C1993" i="4"/>
  <c r="D1993" i="4"/>
  <c r="F1993" i="4"/>
  <c r="C1991" i="4"/>
  <c r="D1992" i="4" s="1"/>
  <c r="D1997" i="4"/>
  <c r="C1994" i="4"/>
  <c r="G1994" i="4"/>
  <c r="E1992" i="4"/>
  <c r="F1994" i="4" l="1"/>
  <c r="C1997" i="4"/>
  <c r="C1992" i="4"/>
  <c r="D1996" i="4"/>
  <c r="F1992" i="4"/>
  <c r="G1992" i="4"/>
  <c r="G1993" i="4"/>
  <c r="D1994" i="4"/>
  <c r="C1998" i="4" l="1" a="1"/>
  <c r="C1998" i="4" s="1"/>
  <c r="J1992" i="4"/>
  <c r="C1999" i="4" s="1"/>
  <c r="C2000" i="4" s="1" a="1"/>
  <c r="F2002" i="4" l="1"/>
  <c r="C2003" i="4"/>
  <c r="C2000" i="4"/>
  <c r="C2005" i="4"/>
  <c r="D2003" i="4"/>
  <c r="G2003" i="4"/>
  <c r="C2002" i="4"/>
  <c r="D2002" i="4"/>
  <c r="D2001" i="4"/>
  <c r="E2001" i="4"/>
  <c r="D2006" i="4"/>
  <c r="C2001" i="4" l="1"/>
  <c r="F2003" i="4"/>
  <c r="G2002" i="4"/>
  <c r="F2001" i="4"/>
  <c r="G2001" i="4"/>
  <c r="D2005" i="4"/>
  <c r="C2006" i="4"/>
  <c r="C2007" i="4" l="1" a="1"/>
  <c r="C2007" i="4" s="1"/>
  <c r="J2001" i="4"/>
  <c r="C2008" i="4" s="1"/>
  <c r="C2009" i="4" s="1" a="1"/>
  <c r="F2011" i="4" l="1"/>
  <c r="C2009" i="4"/>
  <c r="C2014" i="4"/>
  <c r="D2010" i="4"/>
  <c r="E2010" i="4"/>
  <c r="C2011" i="4"/>
  <c r="D2011" i="4"/>
  <c r="C2012" i="4"/>
  <c r="D2012" i="4"/>
  <c r="G2012" i="4"/>
  <c r="D2015" i="4"/>
  <c r="G2010" i="4" l="1"/>
  <c r="C2010" i="4"/>
  <c r="D2014" i="4"/>
  <c r="F2010" i="4"/>
  <c r="G2011" i="4"/>
  <c r="F2012" i="4"/>
  <c r="C2015" i="4"/>
  <c r="J2010" i="4" l="1"/>
  <c r="C2016" i="4" a="1"/>
  <c r="C2016" i="4" s="1"/>
  <c r="C2017" i="4" l="1"/>
  <c r="C2018" i="4" s="1" a="1"/>
  <c r="C2023" i="4" l="1"/>
  <c r="D2020" i="4"/>
  <c r="E2019" i="4"/>
  <c r="D2024" i="4"/>
  <c r="F2020" i="4"/>
  <c r="C2021" i="4"/>
  <c r="G2021" i="4"/>
  <c r="C2018" i="4"/>
  <c r="C2020" i="4"/>
  <c r="D2021" i="4"/>
  <c r="C2019" i="4" l="1"/>
  <c r="F2019" i="4"/>
  <c r="D2023" i="4"/>
  <c r="G2019" i="4"/>
  <c r="C2024" i="4"/>
  <c r="G2020" i="4"/>
  <c r="F2021" i="4"/>
  <c r="D2019" i="4"/>
  <c r="C2025" i="4" l="1" a="1"/>
  <c r="C2025" i="4" s="1"/>
  <c r="J2019" i="4"/>
  <c r="C2026" i="4" s="1"/>
  <c r="C2027" i="4" s="1" a="1"/>
  <c r="C2027" i="4" l="1"/>
  <c r="C2029" i="4"/>
  <c r="G2030" i="4"/>
  <c r="D2028" i="4"/>
  <c r="E2028" i="4"/>
  <c r="D2033" i="4"/>
  <c r="D2029" i="4"/>
  <c r="F2029" i="4"/>
  <c r="C2030" i="4"/>
  <c r="D2030" i="4"/>
  <c r="C2032" i="4"/>
  <c r="D2032" i="4" l="1"/>
  <c r="G2028" i="4"/>
  <c r="C2033" i="4"/>
  <c r="G2029" i="4"/>
  <c r="C2028" i="4"/>
  <c r="F2028" i="4"/>
  <c r="F2030" i="4"/>
  <c r="J2028" i="4" l="1"/>
  <c r="C2034" i="4" a="1"/>
  <c r="C2034" i="4" s="1"/>
  <c r="C2035" i="4" l="1"/>
  <c r="C2036" i="4" s="1" a="1"/>
  <c r="G2039" i="4" l="1"/>
  <c r="C2038" i="4"/>
  <c r="C2036" i="4"/>
  <c r="C2041" i="4"/>
  <c r="C2039" i="4"/>
  <c r="D2039" i="4"/>
  <c r="E2037" i="4"/>
  <c r="D2042" i="4"/>
  <c r="D2038" i="4"/>
  <c r="F2038" i="4"/>
  <c r="C2042" i="4" l="1"/>
  <c r="G2038" i="4"/>
  <c r="C2037" i="4"/>
  <c r="F2037" i="4"/>
  <c r="G2037" i="4"/>
  <c r="D2041" i="4"/>
  <c r="F2039" i="4"/>
  <c r="D2037" i="4"/>
  <c r="C2043" i="4" l="1" a="1"/>
  <c r="C2043" i="4" s="1"/>
  <c r="J2037" i="4"/>
  <c r="C2044" i="4" s="1"/>
  <c r="C2045" i="4" s="1" a="1"/>
  <c r="C2050" i="4" l="1"/>
  <c r="C2048" i="4"/>
  <c r="G2048" i="4"/>
  <c r="D2051" i="4"/>
  <c r="C2045" i="4"/>
  <c r="D2046" i="4"/>
  <c r="E2046" i="4"/>
  <c r="C2047" i="4"/>
  <c r="D2047" i="4"/>
  <c r="F2047" i="4"/>
  <c r="D2048" i="4"/>
  <c r="F2048" i="4" l="1"/>
  <c r="G2046" i="4"/>
  <c r="C2051" i="4"/>
  <c r="C2046" i="4"/>
  <c r="D2050" i="4"/>
  <c r="F2046" i="4"/>
  <c r="G2047" i="4"/>
  <c r="J2046" i="4" l="1"/>
  <c r="C2052" i="4" a="1"/>
  <c r="C2052" i="4" s="1"/>
  <c r="C2053" i="4" l="1"/>
  <c r="C2054" i="4" s="1" a="1"/>
  <c r="G2057" i="4" l="1"/>
  <c r="D2060" i="4"/>
  <c r="C2057" i="4"/>
  <c r="C2056" i="4"/>
  <c r="D2056" i="4"/>
  <c r="C2059" i="4"/>
  <c r="E2055" i="4"/>
  <c r="F2056" i="4"/>
  <c r="C2054" i="4"/>
  <c r="D2055" i="4"/>
  <c r="C2060" i="4" l="1"/>
  <c r="G2055" i="4"/>
  <c r="D2059" i="4"/>
  <c r="F2055" i="4"/>
  <c r="F2057" i="4"/>
  <c r="G2056" i="4"/>
  <c r="C2055" i="4"/>
  <c r="D2057" i="4"/>
  <c r="J2055" i="4" l="1"/>
  <c r="C2061" i="4" a="1"/>
  <c r="C2061" i="4" s="1"/>
  <c r="C2062" i="4" l="1"/>
  <c r="C2063" i="4" s="1" a="1"/>
  <c r="D2069" i="4" l="1"/>
  <c r="C2066" i="4"/>
  <c r="C2065" i="4"/>
  <c r="D2065" i="4"/>
  <c r="G2066" i="4"/>
  <c r="C2063" i="4"/>
  <c r="F2065" i="4"/>
  <c r="C2068" i="4"/>
  <c r="D2064" i="4"/>
  <c r="E2064" i="4"/>
  <c r="G2064" i="4" l="1"/>
  <c r="F2066" i="4"/>
  <c r="C2069" i="4"/>
  <c r="G2065" i="4"/>
  <c r="C2064" i="4"/>
  <c r="F2064" i="4"/>
  <c r="D2068" i="4"/>
  <c r="D2066" i="4"/>
  <c r="C2070" i="4" l="1" a="1"/>
  <c r="C2070" i="4" s="1"/>
  <c r="J2064" i="4"/>
  <c r="C2071" i="4" s="1"/>
  <c r="C2072" i="4" s="1" a="1"/>
  <c r="F2074" i="4" l="1"/>
  <c r="C2075" i="4"/>
  <c r="C2077" i="4"/>
  <c r="E2073" i="4"/>
  <c r="G2075" i="4"/>
  <c r="C2072" i="4"/>
  <c r="C2074" i="4"/>
  <c r="D2074" i="4"/>
  <c r="D2078" i="4"/>
  <c r="C2078" i="4" l="1"/>
  <c r="G2074" i="4"/>
  <c r="F2075" i="4"/>
  <c r="D2077" i="4"/>
  <c r="F2073" i="4"/>
  <c r="G2073" i="4"/>
  <c r="C2073" i="4"/>
  <c r="D2075" i="4"/>
  <c r="D2073" i="4"/>
  <c r="J2073" i="4" l="1"/>
  <c r="C2079" i="4" a="1"/>
  <c r="C2079" i="4" s="1"/>
  <c r="C2080" i="4" l="1"/>
  <c r="C2081" i="4" s="1" a="1"/>
  <c r="C2084" i="4" l="1"/>
  <c r="D2084" i="4"/>
  <c r="C2081" i="4"/>
  <c r="E2082" i="4"/>
  <c r="G2084" i="4"/>
  <c r="D2087" i="4"/>
  <c r="C2083" i="4"/>
  <c r="D2083" i="4"/>
  <c r="F2083" i="4"/>
  <c r="C2086" i="4"/>
  <c r="D2082" i="4"/>
  <c r="G2082" i="4" l="1"/>
  <c r="C2087" i="4"/>
  <c r="G2083" i="4"/>
  <c r="F2084" i="4"/>
  <c r="D2086" i="4"/>
  <c r="C2082" i="4"/>
  <c r="F2082" i="4"/>
  <c r="J2082" i="4" l="1"/>
  <c r="C2088" i="4" a="1"/>
  <c r="C2088" i="4" s="1"/>
  <c r="C2089" i="4" l="1"/>
  <c r="C2090" i="4" s="1" a="1"/>
  <c r="C2093" i="4" l="1"/>
  <c r="E2091" i="4"/>
  <c r="C2095" i="4"/>
  <c r="D2096" i="4"/>
  <c r="C2090" i="4"/>
  <c r="D2093" i="4" s="1"/>
  <c r="C2092" i="4"/>
  <c r="D2092" i="4"/>
  <c r="F2092" i="4"/>
  <c r="G2093" i="4"/>
  <c r="C2091" i="4" l="1"/>
  <c r="G2092" i="4"/>
  <c r="C2096" i="4"/>
  <c r="F2091" i="4"/>
  <c r="G2091" i="4"/>
  <c r="D2095" i="4"/>
  <c r="F2093" i="4"/>
  <c r="D2091" i="4"/>
  <c r="J2091" i="4" l="1"/>
  <c r="C2097" i="4" a="1"/>
  <c r="C2097" i="4" s="1"/>
  <c r="C2098" i="4" l="1"/>
  <c r="C2099" i="4" s="1" a="1"/>
  <c r="F2101" i="4" l="1"/>
  <c r="C2104" i="4"/>
  <c r="C2101" i="4"/>
  <c r="E2100" i="4"/>
  <c r="D2105" i="4"/>
  <c r="D2101" i="4"/>
  <c r="C2102" i="4"/>
  <c r="C2099" i="4"/>
  <c r="D2102" i="4" s="1"/>
  <c r="G2102" i="4"/>
  <c r="F2102" i="4" l="1"/>
  <c r="G2101" i="4"/>
  <c r="D2104" i="4"/>
  <c r="G2100" i="4"/>
  <c r="C2100" i="4"/>
  <c r="F2100" i="4"/>
  <c r="C2105" i="4"/>
  <c r="D2100" i="4"/>
  <c r="J2100" i="4" l="1"/>
  <c r="C2106" i="4" a="1"/>
  <c r="C2106" i="4" s="1"/>
  <c r="C2107" i="4" l="1"/>
  <c r="C2108" i="4" s="1" a="1"/>
  <c r="D2110" i="4" l="1"/>
  <c r="C2113" i="4"/>
  <c r="C2110" i="4"/>
  <c r="F2110" i="4"/>
  <c r="C2111" i="4"/>
  <c r="C2108" i="4"/>
  <c r="D2109" i="4"/>
  <c r="E2109" i="4"/>
  <c r="G2111" i="4"/>
  <c r="D2114" i="4"/>
  <c r="G2110" i="4" l="1"/>
  <c r="D2113" i="4"/>
  <c r="F2109" i="4"/>
  <c r="G2109" i="4"/>
  <c r="C2109" i="4"/>
  <c r="F2111" i="4"/>
  <c r="C2114" i="4"/>
  <c r="D2111" i="4"/>
  <c r="J2109" i="4" l="1"/>
  <c r="C2115" i="4" a="1"/>
  <c r="C2115" i="4" s="1"/>
  <c r="C2116" i="4" l="1"/>
  <c r="C2117" i="4" s="1" a="1"/>
  <c r="C2122" i="4" l="1"/>
  <c r="C2119" i="4"/>
  <c r="E2118" i="4"/>
  <c r="D2119" i="4"/>
  <c r="F2119" i="4"/>
  <c r="G2120" i="4"/>
  <c r="C2117" i="4"/>
  <c r="D2118" i="4"/>
  <c r="C2120" i="4"/>
  <c r="D2123" i="4"/>
  <c r="D2122" i="4" l="1"/>
  <c r="G2118" i="4"/>
  <c r="F2120" i="4"/>
  <c r="C2118" i="4"/>
  <c r="F2118" i="4"/>
  <c r="G2119" i="4"/>
  <c r="C2123" i="4"/>
  <c r="D2120" i="4"/>
  <c r="J2118" i="4" l="1"/>
  <c r="C2124" i="4" a="1"/>
  <c r="C2124" i="4" s="1"/>
  <c r="C2125" i="4" l="1"/>
  <c r="C2126" i="4" s="1" a="1"/>
  <c r="C2128" i="4" l="1"/>
  <c r="F2128" i="4"/>
  <c r="C2129" i="4"/>
  <c r="C2131" i="4"/>
  <c r="C2126" i="4"/>
  <c r="D2127" i="4"/>
  <c r="E2127" i="4"/>
  <c r="D2132" i="4"/>
  <c r="G2129" i="4"/>
  <c r="D2128" i="4"/>
  <c r="D2129" i="4"/>
  <c r="F2127" i="4" l="1"/>
  <c r="C2127" i="4"/>
  <c r="G2128" i="4"/>
  <c r="D2131" i="4"/>
  <c r="C2132" i="4"/>
  <c r="G2127" i="4"/>
  <c r="F2129" i="4"/>
  <c r="J2127" i="4" l="1"/>
  <c r="C2133" i="4" a="1"/>
  <c r="C2133" i="4" s="1"/>
  <c r="C2134" i="4" l="1"/>
  <c r="C2135" i="4" s="1" a="1"/>
  <c r="C2135" i="4" l="1"/>
  <c r="F2137" i="4"/>
  <c r="C2138" i="4"/>
  <c r="D2141" i="4"/>
  <c r="D2137" i="4"/>
  <c r="C2137" i="4"/>
  <c r="G2138" i="4"/>
  <c r="D2136" i="4"/>
  <c r="E2136" i="4"/>
  <c r="C2140" i="4"/>
  <c r="F2138" i="4" l="1"/>
  <c r="F2136" i="4"/>
  <c r="G2136" i="4"/>
  <c r="C2141" i="4"/>
  <c r="G2137" i="4"/>
  <c r="C2136" i="4"/>
  <c r="D2140" i="4"/>
  <c r="D2138" i="4"/>
  <c r="J2136" i="4" l="1"/>
  <c r="C2142" i="4" a="1"/>
  <c r="C2142" i="4" s="1"/>
  <c r="C2143" i="4" l="1"/>
  <c r="C2144" i="4" s="1" a="1"/>
  <c r="F2146" i="4" l="1"/>
  <c r="C2147" i="4"/>
  <c r="D2150" i="4"/>
  <c r="G2147" i="4"/>
  <c r="C2149" i="4"/>
  <c r="C2144" i="4"/>
  <c r="D2145" i="4"/>
  <c r="E2145" i="4"/>
  <c r="C2146" i="4"/>
  <c r="D2146" i="4"/>
  <c r="D2147" i="4"/>
  <c r="F2145" i="4" l="1"/>
  <c r="G2145" i="4"/>
  <c r="F2147" i="4"/>
  <c r="D2149" i="4"/>
  <c r="C2145" i="4"/>
  <c r="G2146" i="4"/>
  <c r="C2150" i="4"/>
  <c r="C2151" i="4" l="1" a="1"/>
  <c r="C2151" i="4" s="1"/>
  <c r="J2145" i="4"/>
  <c r="C2152" i="4" s="1"/>
  <c r="C2153" i="4" s="1" a="1"/>
  <c r="F2155" i="4" l="1"/>
  <c r="D2159" i="4"/>
  <c r="E2154" i="4"/>
  <c r="G2156" i="4"/>
  <c r="C2153" i="4"/>
  <c r="C2158" i="4"/>
  <c r="D2154" i="4"/>
  <c r="C2155" i="4"/>
  <c r="C2156" i="4"/>
  <c r="D2155" i="4"/>
  <c r="G2154" i="4" l="1"/>
  <c r="F2154" i="4"/>
  <c r="C2154" i="4"/>
  <c r="F2156" i="4"/>
  <c r="D2158" i="4"/>
  <c r="G2155" i="4"/>
  <c r="C2159" i="4"/>
  <c r="D2156" i="4"/>
  <c r="J2154" i="4" l="1"/>
  <c r="C2160" i="4" a="1"/>
  <c r="C2160" i="4" s="1"/>
  <c r="C2161" i="4" l="1"/>
  <c r="C2162" i="4" s="1" a="1"/>
  <c r="D2164" i="4" l="1"/>
  <c r="C2167" i="4"/>
  <c r="C2164" i="4"/>
  <c r="F2164" i="4"/>
  <c r="C2165" i="4"/>
  <c r="D2168" i="4"/>
  <c r="C2162" i="4"/>
  <c r="E2163" i="4"/>
  <c r="D2165" i="4"/>
  <c r="G2165" i="4"/>
  <c r="C2163" i="4" l="1"/>
  <c r="G2164" i="4"/>
  <c r="C2168" i="4"/>
  <c r="F2163" i="4"/>
  <c r="G2163" i="4"/>
  <c r="F2165" i="4"/>
  <c r="D2167" i="4"/>
  <c r="D2163" i="4"/>
  <c r="J2163" i="4" l="1"/>
  <c r="C2169" i="4" a="1"/>
  <c r="C2169" i="4" s="1"/>
  <c r="C2170" i="4" l="1"/>
  <c r="C2171" i="4" s="1" a="1"/>
  <c r="C2173" i="4" l="1"/>
  <c r="C2171" i="4"/>
  <c r="C2176" i="4"/>
  <c r="D2174" i="4"/>
  <c r="G2174" i="4"/>
  <c r="D2173" i="4"/>
  <c r="F2173" i="4"/>
  <c r="D2177" i="4"/>
  <c r="D2172" i="4"/>
  <c r="E2172" i="4"/>
  <c r="C2174" i="4"/>
  <c r="G2172" i="4" l="1"/>
  <c r="C2172" i="4"/>
  <c r="D2176" i="4"/>
  <c r="F2174" i="4"/>
  <c r="G2173" i="4"/>
  <c r="C2177" i="4"/>
  <c r="F2172" i="4"/>
  <c r="J2172" i="4" l="1"/>
  <c r="C2178" i="4" a="1"/>
  <c r="C2178" i="4" s="1"/>
  <c r="C2179" i="4" l="1"/>
  <c r="C2180" i="4" s="1" a="1"/>
  <c r="E2181" i="4" l="1"/>
  <c r="C2180" i="4"/>
  <c r="C2185" i="4"/>
  <c r="G2183" i="4"/>
  <c r="C2182" i="4"/>
  <c r="D2182" i="4"/>
  <c r="F2182" i="4"/>
  <c r="C2183" i="4"/>
  <c r="D2183" i="4"/>
  <c r="D2186" i="4"/>
  <c r="C2186" i="4" l="1"/>
  <c r="F2181" i="4"/>
  <c r="C2181" i="4"/>
  <c r="G2181" i="4"/>
  <c r="G2182" i="4"/>
  <c r="F2183" i="4"/>
  <c r="D2185" i="4"/>
  <c r="D2181" i="4"/>
  <c r="J2181" i="4" l="1"/>
  <c r="C2187" i="4" a="1"/>
  <c r="C2187" i="4" s="1"/>
  <c r="C2188" i="4" l="1"/>
  <c r="C2189" i="4" s="1" a="1"/>
  <c r="C2194" i="4" l="1"/>
  <c r="G2192" i="4"/>
  <c r="C2189" i="4"/>
  <c r="E2190" i="4"/>
  <c r="C2191" i="4"/>
  <c r="D2191" i="4"/>
  <c r="D2195" i="4"/>
  <c r="C2192" i="4"/>
  <c r="D2192" i="4"/>
  <c r="F2191" i="4"/>
  <c r="F2192" i="4" l="1"/>
  <c r="C2190" i="4"/>
  <c r="D2194" i="4"/>
  <c r="G2191" i="4"/>
  <c r="C2195" i="4"/>
  <c r="F2190" i="4"/>
  <c r="G2190" i="4"/>
  <c r="D2190" i="4"/>
  <c r="C2196" i="4" l="1" a="1"/>
  <c r="C2196" i="4" s="1"/>
  <c r="J2190" i="4"/>
  <c r="C2197" i="4" s="1"/>
  <c r="C2198" i="4" s="1" a="1"/>
  <c r="C2198" i="4" l="1"/>
  <c r="E2199" i="4"/>
  <c r="D2204" i="4"/>
  <c r="C2201" i="4"/>
  <c r="C2203" i="4"/>
  <c r="C2200" i="4"/>
  <c r="D2200" i="4"/>
  <c r="F2200" i="4"/>
  <c r="G2201" i="4"/>
  <c r="D2199" i="4"/>
  <c r="C2204" i="4" l="1"/>
  <c r="D2203" i="4"/>
  <c r="F2201" i="4"/>
  <c r="F2199" i="4"/>
  <c r="G2200" i="4"/>
  <c r="G2199" i="4"/>
  <c r="C2199" i="4"/>
  <c r="D2201" i="4"/>
  <c r="C2205" i="4" l="1" a="1"/>
  <c r="C2205" i="4" s="1"/>
  <c r="J2199" i="4"/>
  <c r="C2206" i="4" s="1"/>
  <c r="C2207" i="4" s="1" a="1"/>
  <c r="C2210" i="4" l="1"/>
  <c r="E2208" i="4"/>
  <c r="C2209" i="4"/>
  <c r="D2209" i="4"/>
  <c r="D2213" i="4"/>
  <c r="C2207" i="4"/>
  <c r="D2208" i="4" s="1"/>
  <c r="F2209" i="4"/>
  <c r="G2210" i="4"/>
  <c r="C2212" i="4"/>
  <c r="G2208" i="4" l="1"/>
  <c r="C2213" i="4"/>
  <c r="F2208" i="4"/>
  <c r="C2208" i="4"/>
  <c r="G2209" i="4"/>
  <c r="F2210" i="4"/>
  <c r="D2212" i="4"/>
  <c r="D2210" i="4"/>
  <c r="C2214" i="4" l="1" a="1"/>
  <c r="C2214" i="4" s="1"/>
  <c r="J2208" i="4"/>
  <c r="C2215" i="4" s="1"/>
  <c r="C2216" i="4" s="1" a="1"/>
  <c r="F2218" i="4" l="1"/>
  <c r="C2219" i="4"/>
  <c r="D2222" i="4"/>
  <c r="C2218" i="4"/>
  <c r="C2216" i="4"/>
  <c r="G2219" i="4"/>
  <c r="D2217" i="4"/>
  <c r="E2217" i="4"/>
  <c r="D2218" i="4"/>
  <c r="C2221" i="4"/>
  <c r="D2219" i="4"/>
  <c r="G2218" i="4" l="1"/>
  <c r="F2217" i="4"/>
  <c r="G2217" i="4"/>
  <c r="C2222" i="4"/>
  <c r="D2221" i="4"/>
  <c r="C2217" i="4"/>
  <c r="F2219" i="4"/>
  <c r="J2217" i="4" l="1"/>
  <c r="C2223" i="4" a="1"/>
  <c r="C2223" i="4" s="1"/>
  <c r="C2224" i="4" l="1"/>
  <c r="C2225" i="4" s="1" a="1"/>
  <c r="E2226" i="4" l="1"/>
  <c r="F2227" i="4"/>
  <c r="D2231" i="4"/>
  <c r="C2227" i="4"/>
  <c r="D2227" i="4"/>
  <c r="C2228" i="4"/>
  <c r="G2228" i="4"/>
  <c r="C2230" i="4"/>
  <c r="C2225" i="4"/>
  <c r="D2228" i="4" s="1"/>
  <c r="G2226" i="4" l="1"/>
  <c r="G2227" i="4"/>
  <c r="C2231" i="4"/>
  <c r="F2228" i="4"/>
  <c r="F2226" i="4"/>
  <c r="D2230" i="4"/>
  <c r="C2226" i="4"/>
  <c r="D2226" i="4"/>
  <c r="J2226" i="4" l="1"/>
  <c r="C2232" i="4" a="1"/>
  <c r="C2232" i="4" s="1"/>
  <c r="C2233" i="4" l="1"/>
  <c r="C2234" i="4" s="1" a="1"/>
  <c r="E2235" i="4" l="1"/>
  <c r="F2236" i="4"/>
  <c r="D2240" i="4"/>
  <c r="G2237" i="4"/>
  <c r="C2239" i="4"/>
  <c r="C2234" i="4"/>
  <c r="C2236" i="4"/>
  <c r="D2236" i="4"/>
  <c r="C2237" i="4"/>
  <c r="C2235" i="4" l="1"/>
  <c r="C2240" i="4"/>
  <c r="G2236" i="4"/>
  <c r="F2237" i="4"/>
  <c r="D2239" i="4"/>
  <c r="F2235" i="4"/>
  <c r="G2235" i="4"/>
  <c r="D2237" i="4"/>
  <c r="D2235" i="4"/>
  <c r="C2241" i="4" l="1" a="1"/>
  <c r="C2241" i="4" s="1"/>
  <c r="J2235" i="4"/>
  <c r="C2242" i="4" l="1"/>
  <c r="C2243" i="4" s="1" a="1"/>
  <c r="D2245" i="4" l="1"/>
  <c r="D2249" i="4"/>
  <c r="C2246" i="4"/>
  <c r="C2248" i="4"/>
  <c r="E2244" i="4"/>
  <c r="C2245" i="4"/>
  <c r="F2245" i="4"/>
  <c r="C2243" i="4"/>
  <c r="D2246" i="4" s="1"/>
  <c r="G2246" i="4"/>
  <c r="D2244" i="4" l="1"/>
  <c r="F2246" i="4"/>
  <c r="C2244" i="4"/>
  <c r="C2249" i="4"/>
  <c r="F2244" i="4"/>
  <c r="G2245" i="4"/>
  <c r="D2248" i="4"/>
  <c r="G2244" i="4"/>
  <c r="C2250" i="4" l="1" a="1"/>
  <c r="C2250" i="4" s="1"/>
  <c r="J2244" i="4"/>
  <c r="C2251" i="4" l="1"/>
  <c r="C2252" i="4" s="1" a="1"/>
  <c r="C2252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<sst xmlns="http://schemas.openxmlformats.org/spreadsheetml/2006/main" count="2681" uniqueCount="24">
  <si>
    <t>x1</t>
  </si>
  <si>
    <t>x2</t>
  </si>
  <si>
    <t>x3</t>
  </si>
  <si>
    <t>||F(x)||</t>
  </si>
  <si>
    <t>k=</t>
  </si>
  <si>
    <t>xk=</t>
  </si>
  <si>
    <t>F(x)=</t>
  </si>
  <si>
    <t>J(x)=</t>
  </si>
  <si>
    <t>J(x)逆=</t>
  </si>
  <si>
    <t>dk=</t>
  </si>
  <si>
    <t>系数</t>
  </si>
  <si>
    <r>
      <rPr>
        <sz val="11"/>
        <color theme="1"/>
        <rFont val="Times New Roman"/>
        <family val="1"/>
      </rPr>
      <t>Phi</t>
    </r>
    <r>
      <rPr>
        <sz val="11"/>
        <color theme="1"/>
        <rFont val="宋体"/>
        <charset val="134"/>
      </rPr>
      <t>函数</t>
    </r>
  </si>
  <si>
    <t>下降方向=</t>
  </si>
  <si>
    <t>步长=</t>
  </si>
  <si>
    <t>lamda_1</t>
  </si>
  <si>
    <t>lamda_2</t>
  </si>
  <si>
    <t>alpha</t>
  </si>
  <si>
    <t>phi</t>
  </si>
  <si>
    <t>xk</t>
  </si>
  <si>
    <t>F(xk)=</t>
  </si>
  <si>
    <t>J(xk)=</t>
  </si>
  <si>
    <t>梯度=</t>
  </si>
  <si>
    <t>InvJ(xk)=</t>
    <phoneticPr fontId="4" type="noConversion"/>
  </si>
  <si>
    <t>dk=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</si>
</sst>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_ "/>
    <numFmt numFmtId="177" formatCode="0.00000"/>
    <numFmt numFmtId="178" formatCode="0.00000000E+00"/>
  </numFmts>
  <fonts count="7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宋体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177" fontId="0" fillId="0" borderId="1" xfId="0" applyNumberForma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  <xf numFmtId="178" fontId="0" fillId="0" borderId="2" xfId="0" applyNumberFormat="1" applyBorder="1" applyAlignment="1">
      <alignment horizontal="center" vertical="center" wrapText="1"/>
    </xf>
    <xf numFmtId="178" fontId="0" fillId="0" borderId="3" xfId="0" applyNumberFormat="1" applyBorder="1" applyAlignment="1">
      <alignment horizontal="center" vertical="center" wrapText="1"/>
    </xf>
    <xf numFmtId="177" fontId="0" fillId="0" borderId="4" xfId="0" applyNumberFormat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178" fontId="0" fillId="0" borderId="5" xfId="0" applyNumberFormat="1" applyBorder="1" applyAlignment="1">
      <alignment horizontal="center" vertical="center" wrapText="1"/>
    </xf>
    <xf numFmtId="177" fontId="0" fillId="0" borderId="6" xfId="0" applyNumberFormat="1" applyBorder="1" applyAlignment="1">
      <alignment horizontal="center" vertical="center" wrapText="1"/>
    </xf>
    <xf numFmtId="178" fontId="0" fillId="0" borderId="7" xfId="0" applyNumberFormat="1" applyBorder="1" applyAlignment="1">
      <alignment horizontal="center" vertical="center" wrapText="1"/>
    </xf>
    <xf numFmtId="178" fontId="0" fillId="0" borderId="8" xfId="0" applyNumberFormat="1" applyBorder="1" applyAlignment="1">
      <alignment horizontal="center" vertical="center" wrapText="1"/>
    </xf>
    <xf numFmtId="177" fontId="0" fillId="2" borderId="0" xfId="0" applyNumberFormat="1" applyFill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wmf"/><Relationship Id="rId2" Type="http://schemas.openxmlformats.org/officeDocument/2006/relationships/image" Target="../media/image5.wmf"/><Relationship Id="rId1" Type="http://schemas.openxmlformats.org/officeDocument/2006/relationships/image" Target="../media/image4.wmf"/><Relationship Id="rId4" Type="http://schemas.openxmlformats.org/officeDocument/2006/relationships/image" Target="../media/image2.w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wmf"/><Relationship Id="rId2" Type="http://schemas.openxmlformats.org/officeDocument/2006/relationships/image" Target="../media/image7.wmf"/><Relationship Id="rId1" Type="http://schemas.openxmlformats.org/officeDocument/2006/relationships/image" Target="../media/image6.wmf"/><Relationship Id="rId4" Type="http://schemas.openxmlformats.org/officeDocument/2006/relationships/image" Target="../media/image9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361950</xdr:colOff>
          <xdr:row>9</xdr:row>
          <xdr:rowOff>95250</xdr:rowOff>
        </xdr:from>
        <xdr:to>
          <xdr:col>18</xdr:col>
          <xdr:colOff>533400</xdr:colOff>
          <xdr:row>17</xdr:row>
          <xdr:rowOff>146050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393700</xdr:colOff>
          <xdr:row>2</xdr:row>
          <xdr:rowOff>88900</xdr:rowOff>
        </xdr:from>
        <xdr:to>
          <xdr:col>18</xdr:col>
          <xdr:colOff>419100</xdr:colOff>
          <xdr:row>8</xdr:row>
          <xdr:rowOff>57150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495300</xdr:colOff>
          <xdr:row>21</xdr:row>
          <xdr:rowOff>0</xdr:rowOff>
        </xdr:from>
        <xdr:to>
          <xdr:col>18</xdr:col>
          <xdr:colOff>228600</xdr:colOff>
          <xdr:row>28</xdr:row>
          <xdr:rowOff>146050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50800</xdr:colOff>
          <xdr:row>15</xdr:row>
          <xdr:rowOff>127000</xdr:rowOff>
        </xdr:from>
        <xdr:to>
          <xdr:col>12</xdr:col>
          <xdr:colOff>622300</xdr:colOff>
          <xdr:row>22</xdr:row>
          <xdr:rowOff>19050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1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50800</xdr:colOff>
          <xdr:row>23</xdr:row>
          <xdr:rowOff>133350</xdr:rowOff>
        </xdr:from>
        <xdr:to>
          <xdr:col>14</xdr:col>
          <xdr:colOff>419100</xdr:colOff>
          <xdr:row>35</xdr:row>
          <xdr:rowOff>146050</xdr:rowOff>
        </xdr:to>
        <xdr:sp macro="" textlink="">
          <xdr:nvSpPr>
            <xdr:cNvPr id="6148" name="Object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1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3810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508000</xdr:colOff>
          <xdr:row>7</xdr:row>
          <xdr:rowOff>57150</xdr:rowOff>
        </xdr:from>
        <xdr:to>
          <xdr:col>18</xdr:col>
          <xdr:colOff>304800</xdr:colOff>
          <xdr:row>15</xdr:row>
          <xdr:rowOff>165100</xdr:rowOff>
        </xdr:to>
        <xdr:sp macro="" textlink="">
          <xdr:nvSpPr>
            <xdr:cNvPr id="6149" name="Object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1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488950</xdr:colOff>
          <xdr:row>0</xdr:row>
          <xdr:rowOff>127000</xdr:rowOff>
        </xdr:from>
        <xdr:to>
          <xdr:col>18</xdr:col>
          <xdr:colOff>209550</xdr:colOff>
          <xdr:row>6</xdr:row>
          <xdr:rowOff>95250</xdr:rowOff>
        </xdr:to>
        <xdr:sp macro="" textlink="">
          <xdr:nvSpPr>
            <xdr:cNvPr id="6150" name="Object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1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17</xdr:row>
          <xdr:rowOff>31750</xdr:rowOff>
        </xdr:from>
        <xdr:to>
          <xdr:col>19</xdr:col>
          <xdr:colOff>57150</xdr:colOff>
          <xdr:row>27</xdr:row>
          <xdr:rowOff>88900</xdr:rowOff>
        </xdr:to>
        <xdr:sp macro="" textlink="">
          <xdr:nvSpPr>
            <xdr:cNvPr id="5124" name="Object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2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0</xdr:row>
          <xdr:rowOff>12700</xdr:rowOff>
        </xdr:from>
        <xdr:to>
          <xdr:col>16</xdr:col>
          <xdr:colOff>355600</xdr:colOff>
          <xdr:row>17</xdr:row>
          <xdr:rowOff>57150</xdr:rowOff>
        </xdr:to>
        <xdr:sp macro="" textlink="">
          <xdr:nvSpPr>
            <xdr:cNvPr id="5125" name="Object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2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165100</xdr:colOff>
          <xdr:row>28</xdr:row>
          <xdr:rowOff>38100</xdr:rowOff>
        </xdr:from>
        <xdr:to>
          <xdr:col>15</xdr:col>
          <xdr:colOff>450850</xdr:colOff>
          <xdr:row>39</xdr:row>
          <xdr:rowOff>31750</xdr:rowOff>
        </xdr:to>
        <xdr:sp macro="" textlink="">
          <xdr:nvSpPr>
            <xdr:cNvPr id="5126" name="Object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2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3810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393700</xdr:colOff>
          <xdr:row>27</xdr:row>
          <xdr:rowOff>95250</xdr:rowOff>
        </xdr:from>
        <xdr:to>
          <xdr:col>21</xdr:col>
          <xdr:colOff>0</xdr:colOff>
          <xdr:row>39</xdr:row>
          <xdr:rowOff>107950</xdr:rowOff>
        </xdr:to>
        <xdr:sp macro="" textlink="">
          <xdr:nvSpPr>
            <xdr:cNvPr id="5127" name="Object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2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3810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3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w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w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wmf"/><Relationship Id="rId3" Type="http://schemas.openxmlformats.org/officeDocument/2006/relationships/oleObject" Target="../embeddings/oleObject4.bin"/><Relationship Id="rId7" Type="http://schemas.openxmlformats.org/officeDocument/2006/relationships/oleObject" Target="../embeddings/oleObject6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image" Target="../media/image5.wmf"/><Relationship Id="rId5" Type="http://schemas.openxmlformats.org/officeDocument/2006/relationships/oleObject" Target="../embeddings/oleObject5.bin"/><Relationship Id="rId10" Type="http://schemas.openxmlformats.org/officeDocument/2006/relationships/image" Target="../media/image2.wmf"/><Relationship Id="rId4" Type="http://schemas.openxmlformats.org/officeDocument/2006/relationships/image" Target="../media/image4.wmf"/><Relationship Id="rId9" Type="http://schemas.openxmlformats.org/officeDocument/2006/relationships/oleObject" Target="../embeddings/oleObject7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wmf"/><Relationship Id="rId3" Type="http://schemas.openxmlformats.org/officeDocument/2006/relationships/oleObject" Target="../embeddings/oleObject8.bin"/><Relationship Id="rId7" Type="http://schemas.openxmlformats.org/officeDocument/2006/relationships/oleObject" Target="../embeddings/oleObject10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image" Target="../media/image7.wmf"/><Relationship Id="rId5" Type="http://schemas.openxmlformats.org/officeDocument/2006/relationships/oleObject" Target="../embeddings/oleObject9.bin"/><Relationship Id="rId10" Type="http://schemas.openxmlformats.org/officeDocument/2006/relationships/image" Target="../media/image9.wmf"/><Relationship Id="rId4" Type="http://schemas.openxmlformats.org/officeDocument/2006/relationships/image" Target="../media/image6.wmf"/><Relationship Id="rId9" Type="http://schemas.openxmlformats.org/officeDocument/2006/relationships/oleObject" Target="../embeddings/oleObject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65"/>
  <sheetViews>
    <sheetView workbookViewId="0">
      <selection activeCell="D14" sqref="D14"/>
    </sheetView>
  </sheetViews>
  <sheetFormatPr defaultColWidth="9" defaultRowHeight="14" x14ac:dyDescent="0.25"/>
  <cols>
    <col min="3" max="3" width="18.90625" style="13" customWidth="1"/>
    <col min="4" max="4" width="17.36328125" style="14" customWidth="1"/>
    <col min="5" max="5" width="16.26953125" style="14" customWidth="1"/>
    <col min="6" max="6" width="5.54296875" customWidth="1"/>
    <col min="7" max="7" width="13.36328125" style="1" customWidth="1"/>
  </cols>
  <sheetData>
    <row r="2" spans="1:7" x14ac:dyDescent="0.25">
      <c r="A2" s="1"/>
    </row>
    <row r="3" spans="1:7" x14ac:dyDescent="0.25">
      <c r="C3" s="13" t="s">
        <v>0</v>
      </c>
      <c r="D3" s="14" t="s">
        <v>1</v>
      </c>
      <c r="E3" s="14" t="s">
        <v>2</v>
      </c>
      <c r="G3" s="15" t="s">
        <v>3</v>
      </c>
    </row>
    <row r="4" spans="1:7" x14ac:dyDescent="0.25">
      <c r="A4" t="s">
        <v>4</v>
      </c>
      <c r="B4" s="16" t="s">
        <v>5</v>
      </c>
      <c r="C4" s="4">
        <v>1</v>
      </c>
      <c r="D4" s="4">
        <v>1</v>
      </c>
      <c r="E4" s="4">
        <v>1</v>
      </c>
    </row>
    <row r="5" spans="1:7" x14ac:dyDescent="0.25">
      <c r="A5" s="1">
        <v>1</v>
      </c>
      <c r="B5" t="s">
        <v>6</v>
      </c>
      <c r="C5" s="13">
        <f>3*C4-D4^3-0.5*C4*E4</f>
        <v>1.5</v>
      </c>
      <c r="D5" s="14">
        <f>C4^2-(D4+0.1)^2+2*E4+0.9</f>
        <v>2.69</v>
      </c>
      <c r="E5" s="14">
        <f>EXP(-C4)+1/D4+1.5*E4+2</f>
        <v>4.8678794411714428</v>
      </c>
      <c r="G5" s="1">
        <f>MAX(ABS(C5),ABS(D5),ABS(E5))</f>
        <v>4.8678794411714428</v>
      </c>
    </row>
    <row r="6" spans="1:7" x14ac:dyDescent="0.25">
      <c r="C6" s="17">
        <f>3-0.5*E4</f>
        <v>2.5</v>
      </c>
      <c r="D6" s="18">
        <f>-3*D4^2</f>
        <v>-3</v>
      </c>
      <c r="E6" s="19">
        <f>-0.5*C4</f>
        <v>-0.5</v>
      </c>
    </row>
    <row r="7" spans="1:7" x14ac:dyDescent="0.25">
      <c r="B7" t="s">
        <v>7</v>
      </c>
      <c r="C7" s="20">
        <f>2*C4</f>
        <v>2</v>
      </c>
      <c r="D7" s="14">
        <f>-2*(D4+0.1)</f>
        <v>-2.2000000000000002</v>
      </c>
      <c r="E7" s="21">
        <f>2</f>
        <v>2</v>
      </c>
    </row>
    <row r="8" spans="1:7" x14ac:dyDescent="0.25">
      <c r="C8" s="22">
        <f>-EXP(-C4)</f>
        <v>-0.36787944117144233</v>
      </c>
      <c r="D8" s="23">
        <f>-1/D4^2</f>
        <v>-1</v>
      </c>
      <c r="E8" s="24">
        <f>1.5</f>
        <v>1.5</v>
      </c>
    </row>
    <row r="10" spans="1:7" x14ac:dyDescent="0.25">
      <c r="C10" s="25" cm="1">
        <f t="array" ref="C10:E12">MINVERSE(C6:E8)</f>
        <v>-0.13886004824558076</v>
      </c>
      <c r="D10" s="26">
        <v>0.53407710863684943</v>
      </c>
      <c r="E10" s="27">
        <v>-0.75838949426432634</v>
      </c>
    </row>
    <row r="11" spans="1:7" x14ac:dyDescent="0.25">
      <c r="B11" t="s">
        <v>8</v>
      </c>
      <c r="C11" s="28">
        <v>-0.3990366604892232</v>
      </c>
      <c r="D11" s="29">
        <v>0.38091023265085872</v>
      </c>
      <c r="E11" s="30">
        <v>-0.64089253036421934</v>
      </c>
    </row>
    <row r="12" spans="1:7" x14ac:dyDescent="0.25">
      <c r="C12" s="31">
        <v>-0.30008027829256473</v>
      </c>
      <c r="D12" s="32">
        <v>0.38492414727909513</v>
      </c>
      <c r="E12" s="33">
        <v>5.3407710863684996E-2</v>
      </c>
    </row>
    <row r="13" spans="1:7" x14ac:dyDescent="0.25">
      <c r="B13" t="s">
        <v>9</v>
      </c>
      <c r="C13" s="13" cm="1">
        <f t="array" ref="C13:E13">-TRANSPOSE(MMULT(C10:E12,TRANSPOSE(C5:E5)))</f>
        <v>2.4633712776649679</v>
      </c>
      <c r="D13" s="14">
        <v>2.6936940374633531</v>
      </c>
      <c r="E13" s="14">
        <v>-0.84530783645527963</v>
      </c>
    </row>
    <row r="14" spans="1:7" x14ac:dyDescent="0.25">
      <c r="A14" t="s">
        <v>4</v>
      </c>
      <c r="B14" s="16" t="s">
        <v>5</v>
      </c>
      <c r="C14" s="34">
        <f>C4+C13</f>
        <v>3.4633712776649679</v>
      </c>
      <c r="D14" s="34">
        <f>D4+D13</f>
        <v>3.6936940374633531</v>
      </c>
      <c r="E14" s="34">
        <f>E4+E13</f>
        <v>0.15469216354472037</v>
      </c>
    </row>
    <row r="15" spans="1:7" x14ac:dyDescent="0.25">
      <c r="A15" s="1">
        <f>1+A5</f>
        <v>2</v>
      </c>
      <c r="B15" t="s">
        <v>6</v>
      </c>
      <c r="C15" s="13">
        <f t="shared" ref="C15" si="0">3*C14-D14^3-0.5*C14*E14</f>
        <v>-40.272219626232705</v>
      </c>
      <c r="D15" s="14">
        <f t="shared" ref="D15" si="1">C14^2-(D14+0.1)^2+2*E14+0.9</f>
        <v>-1.1877895158408847</v>
      </c>
      <c r="E15" s="14">
        <f t="shared" ref="E15" si="2">EXP(-C14)+1/D14+1.5*E14+2</f>
        <v>2.5340939094081358</v>
      </c>
      <c r="G15" s="1">
        <f>MAX(ABS(C15),ABS(D15),ABS(E15))</f>
        <v>40.272219626232705</v>
      </c>
    </row>
    <row r="16" spans="1:7" x14ac:dyDescent="0.25">
      <c r="C16" s="17">
        <f t="shared" ref="C16" si="3">3-0.5*E14</f>
        <v>2.9226539182276396</v>
      </c>
      <c r="D16" s="18">
        <f t="shared" ref="D16" si="4">-3*D14^2</f>
        <v>-40.930126927176978</v>
      </c>
      <c r="E16" s="19">
        <f t="shared" ref="E16" si="5">-0.5*C14</f>
        <v>-1.7316856388324839</v>
      </c>
    </row>
    <row r="17" spans="1:7" x14ac:dyDescent="0.25">
      <c r="B17" t="s">
        <v>7</v>
      </c>
      <c r="C17" s="20">
        <f t="shared" ref="C17" si="6">2*C14</f>
        <v>6.9267425553299358</v>
      </c>
      <c r="D17" s="14">
        <f t="shared" ref="D17" si="7">-2*(D14+0.1)</f>
        <v>-7.5873880749267064</v>
      </c>
      <c r="E17" s="21">
        <f>2</f>
        <v>2</v>
      </c>
    </row>
    <row r="18" spans="1:7" x14ac:dyDescent="0.25">
      <c r="C18" s="22">
        <f t="shared" ref="C18" si="8">-EXP(-C14)</f>
        <v>-3.1323981970802828E-2</v>
      </c>
      <c r="D18" s="23">
        <f t="shared" ref="D18" si="9">-1/D14^2</f>
        <v>-7.3295643703661373E-2</v>
      </c>
      <c r="E18" s="24">
        <f t="shared" ref="E18" si="10">1.5</f>
        <v>1.5</v>
      </c>
    </row>
    <row r="20" spans="1:7" x14ac:dyDescent="0.25">
      <c r="C20" s="25" cm="1">
        <f t="array" ref="C20:E22">MINVERSE(C16:E18)</f>
        <v>-2.8349231369500818E-2</v>
      </c>
      <c r="D20" s="26">
        <v>0.15524554793892059</v>
      </c>
      <c r="E20" s="27">
        <v>-0.23972203514156343</v>
      </c>
    </row>
    <row r="21" spans="1:7" x14ac:dyDescent="0.25">
      <c r="B21" t="s">
        <v>8</v>
      </c>
      <c r="C21" s="28">
        <v>-2.6376608183494386E-2</v>
      </c>
      <c r="D21" s="29">
        <v>1.0925705005470368E-2</v>
      </c>
      <c r="E21" s="30">
        <v>-4.5018269068939555E-2</v>
      </c>
    </row>
    <row r="22" spans="1:7" x14ac:dyDescent="0.25">
      <c r="C22" s="31">
        <v>-1.8808675252218966E-3</v>
      </c>
      <c r="D22" s="32">
        <v>3.7758102173189468E-3</v>
      </c>
      <c r="E22" s="33">
        <v>0.65946087218892591</v>
      </c>
    </row>
    <row r="23" spans="1:7" x14ac:dyDescent="0.25">
      <c r="A23" s="1"/>
      <c r="B23" t="s">
        <v>9</v>
      </c>
      <c r="C23" s="13" cm="1">
        <f t="array" ref="C23:E23">-TRANSPOSE(MMULT(C20:E22,TRANSPOSE(C15:E15)))</f>
        <v>-0.34980928852144033</v>
      </c>
      <c r="D23" s="14">
        <v>-0.93518659844240848</v>
      </c>
      <c r="E23" s="14">
        <v>-1.7423976219805828</v>
      </c>
    </row>
    <row r="24" spans="1:7" x14ac:dyDescent="0.25">
      <c r="A24" t="s">
        <v>4</v>
      </c>
      <c r="B24" s="16" t="s">
        <v>5</v>
      </c>
      <c r="C24" s="34">
        <f t="shared" ref="C24:E24" si="11">C14+C23</f>
        <v>3.1135619891435278</v>
      </c>
      <c r="D24" s="34">
        <f t="shared" si="11"/>
        <v>2.7585074390209448</v>
      </c>
      <c r="E24" s="34">
        <f t="shared" si="11"/>
        <v>-1.5877054584358623</v>
      </c>
    </row>
    <row r="25" spans="1:7" x14ac:dyDescent="0.25">
      <c r="A25" s="1">
        <f>1+A15</f>
        <v>3</v>
      </c>
      <c r="B25" t="s">
        <v>6</v>
      </c>
      <c r="C25" s="13">
        <f t="shared" ref="C25" si="12">3*C24-D24^3-0.5*C24*E24</f>
        <v>-9.178089594704355</v>
      </c>
      <c r="D25" s="14">
        <f t="shared" ref="D25" si="13">C24^2-(D24+0.1)^2+2*E24+0.9</f>
        <v>-0.75220743557040526</v>
      </c>
      <c r="E25" s="14">
        <f t="shared" ref="E25" si="14">EXP(-C24)+1/D24+1.5*E24+2</f>
        <v>2.5399064627505741E-2</v>
      </c>
      <c r="G25" s="1">
        <f>MAX(ABS(C25),ABS(D25),ABS(E25))</f>
        <v>9.178089594704355</v>
      </c>
    </row>
    <row r="26" spans="1:7" x14ac:dyDescent="0.25">
      <c r="C26" s="17">
        <f t="shared" ref="C26" si="15">3-0.5*E24</f>
        <v>3.7938527292179312</v>
      </c>
      <c r="D26" s="18">
        <f t="shared" ref="D26" si="16">-3*D24^2</f>
        <v>-22.828089873401673</v>
      </c>
      <c r="E26" s="19">
        <f t="shared" ref="E26" si="17">-0.5*C24</f>
        <v>-1.5567809945717639</v>
      </c>
    </row>
    <row r="27" spans="1:7" x14ac:dyDescent="0.25">
      <c r="B27" t="s">
        <v>7</v>
      </c>
      <c r="C27" s="20">
        <f t="shared" ref="C27" si="18">2*C24</f>
        <v>6.2271239782870556</v>
      </c>
      <c r="D27" s="14">
        <f t="shared" ref="D27" si="19">-2*(D24+0.1)</f>
        <v>-5.7170148780418897</v>
      </c>
      <c r="E27" s="21">
        <f>2</f>
        <v>2</v>
      </c>
    </row>
    <row r="28" spans="1:7" x14ac:dyDescent="0.25">
      <c r="C28" s="22">
        <f t="shared" ref="C28" si="20">-EXP(-C24)</f>
        <v>-4.4442369829170568E-2</v>
      </c>
      <c r="D28" s="23">
        <f t="shared" ref="D28" si="21">-1/D24^2</f>
        <v>-0.13141703999928059</v>
      </c>
      <c r="E28" s="24">
        <f t="shared" ref="E28" si="22">1.5</f>
        <v>1.5</v>
      </c>
    </row>
    <row r="30" spans="1:7" x14ac:dyDescent="0.25">
      <c r="C30" s="25" cm="1">
        <f t="array" ref="C30:E32">MINVERSE(C26:E28)</f>
        <v>-4.4838559910396605E-2</v>
      </c>
      <c r="D30" s="26">
        <v>0.18580528707716937</v>
      </c>
      <c r="E30" s="27">
        <v>-0.29427626136454099</v>
      </c>
    </row>
    <row r="31" spans="1:7" x14ac:dyDescent="0.25">
      <c r="B31" t="s">
        <v>8</v>
      </c>
      <c r="C31" s="28">
        <v>-5.0863013145846979E-2</v>
      </c>
      <c r="D31" s="29">
        <v>3.0322813157028006E-2</v>
      </c>
      <c r="E31" s="30">
        <v>-9.3218799004109565E-2</v>
      </c>
    </row>
    <row r="32" spans="1:7" x14ac:dyDescent="0.25">
      <c r="C32" s="31">
        <v>-5.7846656634779822E-3</v>
      </c>
      <c r="D32" s="32">
        <v>8.1617077560310856E-3</v>
      </c>
      <c r="E32" s="33">
        <v>0.64978075128205559</v>
      </c>
    </row>
    <row r="33" spans="1:7" x14ac:dyDescent="0.25">
      <c r="A33" s="1"/>
      <c r="B33" t="s">
        <v>9</v>
      </c>
      <c r="C33" s="13" cm="1">
        <f t="array" ref="C33:E33">-TRANSPOSE(MMULT(C30:E32,TRANSPOSE(C25:E25)))</f>
        <v>-0.2642938598666596</v>
      </c>
      <c r="D33" s="14">
        <v>-0.44164857588467654</v>
      </c>
      <c r="E33" s="14">
        <v>-6.345670576929377E-2</v>
      </c>
    </row>
    <row r="34" spans="1:7" x14ac:dyDescent="0.25">
      <c r="A34" t="s">
        <v>4</v>
      </c>
      <c r="B34" s="16" t="s">
        <v>5</v>
      </c>
      <c r="C34" s="34">
        <f t="shared" ref="C34:E34" si="23">C24+C33</f>
        <v>2.8492681292768682</v>
      </c>
      <c r="D34" s="34">
        <f t="shared" si="23"/>
        <v>2.3168588631362681</v>
      </c>
      <c r="E34" s="34">
        <f t="shared" si="23"/>
        <v>-1.6511621642051562</v>
      </c>
    </row>
    <row r="35" spans="1:7" x14ac:dyDescent="0.25">
      <c r="A35" s="1">
        <f>1+A25</f>
        <v>4</v>
      </c>
      <c r="B35" t="s">
        <v>6</v>
      </c>
      <c r="C35" s="13">
        <f t="shared" ref="C35" si="24">3*C34-D34^3-0.5*C34*E34</f>
        <v>-1.5364098231577206</v>
      </c>
      <c r="D35" s="14">
        <f t="shared" ref="D35" si="25">C34^2-(D34+0.1)^2+2*E34+0.9</f>
        <v>-0.12520222021774241</v>
      </c>
      <c r="E35" s="14">
        <f t="shared" ref="E35" si="26">EXP(-C34)+1/D34+1.5*E34+2</f>
        <v>1.2762292704097122E-2</v>
      </c>
      <c r="G35" s="1">
        <f>MAX(ABS(C35),ABS(D35),ABS(E35))</f>
        <v>1.5364098231577206</v>
      </c>
    </row>
    <row r="36" spans="1:7" x14ac:dyDescent="0.25">
      <c r="C36" s="17">
        <f t="shared" ref="C36" si="27">3-0.5*E34</f>
        <v>3.8255810821025782</v>
      </c>
      <c r="D36" s="18">
        <f t="shared" ref="D36" si="28">-3*D34^2</f>
        <v>-16.103504975079243</v>
      </c>
      <c r="E36" s="19">
        <f t="shared" ref="E36" si="29">-0.5*C34</f>
        <v>-1.4246340646384341</v>
      </c>
    </row>
    <row r="37" spans="1:7" x14ac:dyDescent="0.25">
      <c r="B37" t="s">
        <v>7</v>
      </c>
      <c r="C37" s="20">
        <f t="shared" ref="C37" si="30">2*C34</f>
        <v>5.6985362585537365</v>
      </c>
      <c r="D37" s="14">
        <f t="shared" ref="D37" si="31">-2*(D34+0.1)</f>
        <v>-4.8337177262725364</v>
      </c>
      <c r="E37" s="21">
        <f>2</f>
        <v>2</v>
      </c>
    </row>
    <row r="38" spans="1:7" x14ac:dyDescent="0.25">
      <c r="C38" s="22">
        <f t="shared" ref="C38" si="32">-EXP(-C34)</f>
        <v>-5.7886670935280528E-2</v>
      </c>
      <c r="D38" s="23">
        <f t="shared" ref="D38" si="33">-1/D34^2</f>
        <v>-0.18629484727968282</v>
      </c>
      <c r="E38" s="24">
        <f t="shared" ref="E38" si="34">1.5</f>
        <v>1.5</v>
      </c>
    </row>
    <row r="40" spans="1:7" x14ac:dyDescent="0.25">
      <c r="C40" s="25" cm="1">
        <f t="array" ref="C40:E42">MINVERSE(C36:E38)</f>
        <v>-5.9750028160858878E-2</v>
      </c>
      <c r="D40" s="26">
        <v>0.21214566297365162</v>
      </c>
      <c r="E40" s="27">
        <v>-0.33960883428557903</v>
      </c>
    </row>
    <row r="41" spans="1:7" x14ac:dyDescent="0.25">
      <c r="B41" t="s">
        <v>8</v>
      </c>
      <c r="C41" s="28">
        <v>-7.5261703931287588E-2</v>
      </c>
      <c r="D41" s="29">
        <v>4.9133626794823186E-2</v>
      </c>
      <c r="E41" s="30">
        <v>-0.13699176051526069</v>
      </c>
    </row>
    <row r="42" spans="1:7" x14ac:dyDescent="0.25">
      <c r="C42" s="31">
        <v>-1.1653065238939541E-2</v>
      </c>
      <c r="D42" s="32">
        <v>1.4289165121960811E-2</v>
      </c>
      <c r="E42" s="33">
        <v>0.63654687737282079</v>
      </c>
    </row>
    <row r="43" spans="1:7" x14ac:dyDescent="0.25">
      <c r="A43" s="1"/>
      <c r="B43" t="s">
        <v>9</v>
      </c>
      <c r="C43" s="13" cm="1">
        <f t="array" ref="C43:E43">-TRANSPOSE(MMULT(C40:E42,TRANSPOSE(C35:E35)))</f>
        <v>-6.0905234838378147E-2</v>
      </c>
      <c r="D43" s="14">
        <v>-0.10773285311981112</v>
      </c>
      <c r="E43" s="14">
        <v>-2.4238646273588016E-2</v>
      </c>
    </row>
    <row r="44" spans="1:7" x14ac:dyDescent="0.25">
      <c r="A44" t="s">
        <v>4</v>
      </c>
      <c r="B44" s="16" t="s">
        <v>5</v>
      </c>
      <c r="C44" s="34">
        <f t="shared" ref="C44:E44" si="35">C34+C43</f>
        <v>2.7883628944384902</v>
      </c>
      <c r="D44" s="34">
        <f t="shared" si="35"/>
        <v>2.2091260100164569</v>
      </c>
      <c r="E44" s="34">
        <f t="shared" si="35"/>
        <v>-1.6754008104787441</v>
      </c>
    </row>
    <row r="45" spans="1:7" x14ac:dyDescent="0.25">
      <c r="A45" s="1">
        <f>1+A35</f>
        <v>5</v>
      </c>
      <c r="B45" t="s">
        <v>6</v>
      </c>
      <c r="C45" s="13">
        <f t="shared" ref="C45" si="36">3*C44-D44^3-0.5*C44*E44</f>
        <v>-8.0158690337302829E-2</v>
      </c>
      <c r="D45" s="14">
        <f t="shared" ref="D45" si="37">C44^2-(D44+0.1)^2+2*E44+0.9</f>
        <v>-7.8969200106165927E-3</v>
      </c>
      <c r="E45" s="14">
        <f t="shared" ref="E45" si="38">EXP(-C44)+1/D44+1.5*E44+2</f>
        <v>1.0883381034849648E-3</v>
      </c>
      <c r="G45" s="1">
        <f>MAX(ABS(C45),ABS(D45),ABS(E45))</f>
        <v>8.0158690337302829E-2</v>
      </c>
    </row>
    <row r="46" spans="1:7" x14ac:dyDescent="0.25">
      <c r="C46" s="17">
        <f t="shared" ref="C46" si="39">3-0.5*E44</f>
        <v>3.8377004052393722</v>
      </c>
      <c r="D46" s="18">
        <f t="shared" ref="D46" si="40">-3*D44^2</f>
        <v>-14.640713184393693</v>
      </c>
      <c r="E46" s="19">
        <f t="shared" ref="E46" si="41">-0.5*C44</f>
        <v>-1.3941814472192451</v>
      </c>
    </row>
    <row r="47" spans="1:7" x14ac:dyDescent="0.25">
      <c r="B47" t="s">
        <v>7</v>
      </c>
      <c r="C47" s="20">
        <f t="shared" ref="C47" si="42">2*C44</f>
        <v>5.5767257888769803</v>
      </c>
      <c r="D47" s="14">
        <f t="shared" ref="D47" si="43">-2*(D44+0.1)</f>
        <v>-4.618252020032914</v>
      </c>
      <c r="E47" s="21">
        <f>2</f>
        <v>2</v>
      </c>
    </row>
    <row r="48" spans="1:7" x14ac:dyDescent="0.25">
      <c r="C48" s="22">
        <f t="shared" ref="C48" si="44">-EXP(-C44)</f>
        <v>-6.1521849278775728E-2</v>
      </c>
      <c r="D48" s="23">
        <f t="shared" ref="D48" si="45">-1/D44^2</f>
        <v>-0.20490805073607055</v>
      </c>
      <c r="E48" s="24">
        <f t="shared" ref="E48" si="46">1.5</f>
        <v>1.5</v>
      </c>
    </row>
    <row r="50" spans="1:7" x14ac:dyDescent="0.25">
      <c r="C50" s="25" cm="1">
        <f t="array" ref="C50:E52">MINVERSE(C46:E48)</f>
        <v>-6.4371532165623704E-2</v>
      </c>
      <c r="D50" s="26">
        <v>0.21972285347209397</v>
      </c>
      <c r="E50" s="27">
        <v>-0.35279420187905158</v>
      </c>
    </row>
    <row r="51" spans="1:7" x14ac:dyDescent="0.25">
      <c r="B51" t="s">
        <v>8</v>
      </c>
      <c r="C51" s="28">
        <v>-8.3834122733849964E-2</v>
      </c>
      <c r="D51" s="29">
        <v>5.6008162499149236E-2</v>
      </c>
      <c r="E51" s="30">
        <v>-0.1525975357051555</v>
      </c>
    </row>
    <row r="52" spans="1:7" x14ac:dyDescent="0.25">
      <c r="C52" s="31">
        <v>-1.4092361582866043E-2</v>
      </c>
      <c r="D52" s="32">
        <v>1.6662853118281633E-2</v>
      </c>
      <c r="E52" s="33">
        <v>0.63135132313139974</v>
      </c>
    </row>
    <row r="53" spans="1:7" x14ac:dyDescent="0.25">
      <c r="A53" s="1"/>
      <c r="B53" t="s">
        <v>9</v>
      </c>
      <c r="C53" s="13" cm="1">
        <f t="array" ref="C53:E53">-TRANSPOSE(MMULT(C50:E52,TRANSPOSE(C45:E45)))</f>
        <v>-3.0408445424348635E-3</v>
      </c>
      <c r="D53" s="14">
        <v>-6.1116637921188929E-3</v>
      </c>
      <c r="E53" s="14">
        <v>-1.6851637316680893E-3</v>
      </c>
    </row>
    <row r="54" spans="1:7" x14ac:dyDescent="0.25">
      <c r="A54" t="s">
        <v>4</v>
      </c>
      <c r="B54" s="16" t="s">
        <v>5</v>
      </c>
      <c r="C54" s="34">
        <f t="shared" ref="C54:E54" si="47">C44+C53</f>
        <v>2.7853220498960551</v>
      </c>
      <c r="D54" s="34">
        <f t="shared" si="47"/>
        <v>2.2030143462243381</v>
      </c>
      <c r="E54" s="34">
        <f t="shared" si="47"/>
        <v>-1.6770859742104123</v>
      </c>
    </row>
    <row r="55" spans="1:7" x14ac:dyDescent="0.25">
      <c r="A55" s="1">
        <f>1+A45</f>
        <v>6</v>
      </c>
      <c r="B55" t="s">
        <v>6</v>
      </c>
      <c r="C55" s="13">
        <f t="shared" ref="C55" si="48">3*C54-D54^3-0.5*C54*E54</f>
        <v>-2.4988257745173215E-4</v>
      </c>
      <c r="D55" s="14">
        <f t="shared" ref="D55" si="49">C54^2-(D54+0.1)^2+2*E54+0.9</f>
        <v>-2.8105698777536325E-5</v>
      </c>
      <c r="E55" s="14">
        <f t="shared" ref="E55" si="50">EXP(-C54)+1/D54+1.5*E54+2</f>
        <v>3.7589729928733107E-6</v>
      </c>
      <c r="G55" s="1">
        <f>MAX(ABS(C55),ABS(D55),ABS(E55))</f>
        <v>2.4988257745173215E-4</v>
      </c>
    </row>
    <row r="56" spans="1:7" x14ac:dyDescent="0.25">
      <c r="C56" s="17">
        <f t="shared" ref="C56" si="51">3-0.5*E54</f>
        <v>3.8385429871052059</v>
      </c>
      <c r="D56" s="18">
        <f t="shared" ref="D56" si="52">-3*D54^2</f>
        <v>-14.559816629010744</v>
      </c>
      <c r="E56" s="19">
        <f t="shared" ref="E56" si="53">-0.5*C54</f>
        <v>-1.3926610249480276</v>
      </c>
    </row>
    <row r="57" spans="1:7" x14ac:dyDescent="0.25">
      <c r="B57" t="s">
        <v>7</v>
      </c>
      <c r="C57" s="20">
        <f t="shared" ref="C57" si="54">2*C54</f>
        <v>5.5706440997921103</v>
      </c>
      <c r="D57" s="14">
        <f t="shared" ref="D57" si="55">-2*(D54+0.1)</f>
        <v>-4.6060286924486764</v>
      </c>
      <c r="E57" s="21">
        <f>2</f>
        <v>2</v>
      </c>
    </row>
    <row r="58" spans="1:7" x14ac:dyDescent="0.25">
      <c r="C58" s="22">
        <f t="shared" ref="C58" si="56">-EXP(-C54)</f>
        <v>-6.1709212385060469E-2</v>
      </c>
      <c r="D58" s="23">
        <f t="shared" ref="D58" si="57">-1/D54^2</f>
        <v>-0.2060465510274653</v>
      </c>
      <c r="E58" s="24">
        <f t="shared" ref="E58" si="58">1.5</f>
        <v>1.5</v>
      </c>
    </row>
    <row r="60" spans="1:7" x14ac:dyDescent="0.25">
      <c r="C60" s="25" cm="1">
        <f t="array" ref="C60:E62">MINVERSE(C56:E58)</f>
        <v>-6.4637380784576745E-2</v>
      </c>
      <c r="D60" s="26">
        <v>0.22013568239653772</v>
      </c>
      <c r="E60" s="27">
        <v>-0.35352621717765342</v>
      </c>
    </row>
    <row r="61" spans="1:7" x14ac:dyDescent="0.25">
      <c r="B61" t="s">
        <v>8</v>
      </c>
      <c r="C61" s="28">
        <v>-8.4360386782266969E-2</v>
      </c>
      <c r="D61" s="29">
        <v>5.6428803234997417E-2</v>
      </c>
      <c r="E61" s="30">
        <v>-0.15356201946079917</v>
      </c>
    </row>
    <row r="62" spans="1:7" x14ac:dyDescent="0.25">
      <c r="C62" s="31">
        <v>-1.42472590657857E-2</v>
      </c>
      <c r="D62" s="32">
        <v>1.6807573242477905E-2</v>
      </c>
      <c r="E62" s="33">
        <v>0.63102883406785804</v>
      </c>
    </row>
    <row r="63" spans="1:7" x14ac:dyDescent="0.25">
      <c r="A63" s="1"/>
      <c r="B63" t="s">
        <v>9</v>
      </c>
      <c r="C63" s="13" cm="1">
        <f t="array" ref="C63:E63">-TRANSPOSE(MMULT(C60:E62,TRANSPOSE(C55:E55)))</f>
        <v>-8.635792627911144E-6</v>
      </c>
      <c r="D63" s="14">
        <v>-1.8916984453993971E-5</v>
      </c>
      <c r="E63" s="14">
        <v>-5.4597735712320368E-6</v>
      </c>
    </row>
    <row r="64" spans="1:7" x14ac:dyDescent="0.25">
      <c r="A64" t="s">
        <v>4</v>
      </c>
      <c r="B64" s="16" t="s">
        <v>5</v>
      </c>
      <c r="C64" s="34">
        <f t="shared" ref="C64:E64" si="59">C54+C63</f>
        <v>2.785313414103427</v>
      </c>
      <c r="D64" s="34">
        <f t="shared" si="59"/>
        <v>2.2029954292398841</v>
      </c>
      <c r="E64" s="34">
        <f t="shared" si="59"/>
        <v>-1.6770914339839835</v>
      </c>
    </row>
    <row r="65" spans="1:7" x14ac:dyDescent="0.25">
      <c r="A65" s="1">
        <f>1+A55</f>
        <v>7</v>
      </c>
      <c r="B65" t="s">
        <v>6</v>
      </c>
      <c r="C65" s="13">
        <f t="shared" ref="C65" si="60">3*C64-D64^3-0.5*C64*E64</f>
        <v>-2.38862796209105E-9</v>
      </c>
      <c r="D65" s="14">
        <f t="shared" ref="D65" si="61">C64^2-(D64+0.1)^2+2*E64+0.9</f>
        <v>-2.8327640233527518E-10</v>
      </c>
      <c r="E65" s="14">
        <f t="shared" ref="E65" si="62">EXP(-C64)+1/D64+1.5*E64+2</f>
        <v>3.5771385853422544E-11</v>
      </c>
      <c r="G65" s="1">
        <f>MAX(ABS(C65),ABS(D65),ABS(E65))</f>
        <v>2.38862796209105E-9</v>
      </c>
    </row>
    <row r="66" spans="1:7" x14ac:dyDescent="0.25">
      <c r="C66" s="17">
        <f t="shared" ref="C66" si="63">3-0.5*E64</f>
        <v>3.8385457169919919</v>
      </c>
      <c r="D66" s="18">
        <f t="shared" ref="D66" si="64">-3*D64^2</f>
        <v>-14.559566583755464</v>
      </c>
      <c r="E66" s="19">
        <f t="shared" ref="E66" si="65">-0.5*C64</f>
        <v>-1.3926567070517135</v>
      </c>
    </row>
    <row r="67" spans="1:7" x14ac:dyDescent="0.25">
      <c r="B67" t="s">
        <v>7</v>
      </c>
      <c r="C67" s="20">
        <f t="shared" ref="C67" si="66">2*C64</f>
        <v>5.5706268282068541</v>
      </c>
      <c r="D67" s="14">
        <f t="shared" ref="D67" si="67">-2*(D64+0.1)</f>
        <v>-4.6059908584797684</v>
      </c>
      <c r="E67" s="21">
        <f>2</f>
        <v>2</v>
      </c>
    </row>
    <row r="68" spans="1:7" x14ac:dyDescent="0.25">
      <c r="C68" s="22">
        <f t="shared" ref="C68" si="68">-EXP(-C64)</f>
        <v>-6.1709745295322922E-2</v>
      </c>
      <c r="D68" s="23">
        <f t="shared" ref="D68" si="69">-1/D64^2</f>
        <v>-0.20605008966044278</v>
      </c>
      <c r="E68" s="24">
        <f t="shared" ref="E68" si="70">1.5</f>
        <v>1.5</v>
      </c>
    </row>
    <row r="70" spans="1:7" x14ac:dyDescent="0.25">
      <c r="C70" s="25" cm="1">
        <f t="array" ref="C70:E72">MINVERSE(C66:E68)</f>
        <v>-6.4638185076164284E-2</v>
      </c>
      <c r="D70" s="26">
        <v>0.2201368928992139</v>
      </c>
      <c r="E70" s="27">
        <v>-0.35352839185093199</v>
      </c>
    </row>
    <row r="71" spans="1:7" x14ac:dyDescent="0.25">
      <c r="B71" t="s">
        <v>8</v>
      </c>
      <c r="C71" s="28">
        <v>-8.4362018141904638E-2</v>
      </c>
      <c r="D71" s="29">
        <v>5.6430095781050432E-2</v>
      </c>
      <c r="E71" s="30">
        <v>-0.15356501463189512</v>
      </c>
    </row>
    <row r="72" spans="1:7" x14ac:dyDescent="0.25">
      <c r="C72" s="31">
        <v>-1.4247738226318259E-2</v>
      </c>
      <c r="D72" s="32">
        <v>1.6808011924098056E-2</v>
      </c>
      <c r="E72" s="33">
        <v>0.63102784530040312</v>
      </c>
    </row>
    <row r="73" spans="1:7" x14ac:dyDescent="0.25">
      <c r="A73" s="1"/>
      <c r="B73" t="s">
        <v>9</v>
      </c>
      <c r="C73" s="13" cm="1">
        <f t="array" ref="C73:E73">-TRANSPOSE(MMULT(C70:E72,TRANSPOSE(C65:E65)))</f>
        <v>-7.939078873494766E-11</v>
      </c>
      <c r="D73" s="14">
        <v>-1.8003092756391089E-10</v>
      </c>
      <c r="E73" s="14">
        <v>-5.1843973314164978E-11</v>
      </c>
    </row>
    <row r="74" spans="1:7" x14ac:dyDescent="0.25">
      <c r="A74" t="s">
        <v>4</v>
      </c>
      <c r="B74" s="16" t="s">
        <v>5</v>
      </c>
      <c r="C74" s="34">
        <f t="shared" ref="C74:E74" si="71">C64+C73</f>
        <v>2.7853134140240363</v>
      </c>
      <c r="D74" s="34">
        <f t="shared" si="71"/>
        <v>2.202995429059853</v>
      </c>
      <c r="E74" s="34">
        <f t="shared" si="71"/>
        <v>-1.6770914340358274</v>
      </c>
    </row>
    <row r="75" spans="1:7" x14ac:dyDescent="0.25">
      <c r="A75" s="1">
        <f>1+A65</f>
        <v>8</v>
      </c>
      <c r="B75" t="s">
        <v>6</v>
      </c>
      <c r="C75" s="13">
        <f t="shared" ref="C75" si="72">3*C74-D74^3-0.5*C74*E74</f>
        <v>0</v>
      </c>
      <c r="D75" s="14">
        <f t="shared" ref="D75" si="73">C74^2-(D74+0.1)^2+2*E74+0.9</f>
        <v>9.9920072216264089E-16</v>
      </c>
      <c r="E75" s="14">
        <f t="shared" ref="E75" si="74">EXP(-C74)+1/D74+1.5*E74+2</f>
        <v>0</v>
      </c>
      <c r="G75" s="1">
        <f>MAX(ABS(C75),ABS(D75),ABS(E75))</f>
        <v>9.9920072216264089E-16</v>
      </c>
    </row>
    <row r="76" spans="1:7" x14ac:dyDescent="0.25">
      <c r="C76"/>
      <c r="D76"/>
      <c r="E76"/>
    </row>
    <row r="77" spans="1:7" x14ac:dyDescent="0.25">
      <c r="C77"/>
      <c r="D77"/>
      <c r="E77"/>
    </row>
    <row r="78" spans="1:7" x14ac:dyDescent="0.25">
      <c r="C78"/>
      <c r="D78"/>
      <c r="E78"/>
    </row>
    <row r="79" spans="1:7" x14ac:dyDescent="0.25">
      <c r="C79"/>
      <c r="D79"/>
      <c r="E79"/>
    </row>
    <row r="80" spans="1:7" x14ac:dyDescent="0.25">
      <c r="C80"/>
      <c r="D80"/>
      <c r="E80"/>
    </row>
    <row r="81" spans="3:5" x14ac:dyDescent="0.25">
      <c r="C81"/>
      <c r="D81"/>
      <c r="E81"/>
    </row>
    <row r="82" spans="3:5" x14ac:dyDescent="0.25">
      <c r="C82"/>
      <c r="D82"/>
      <c r="E82"/>
    </row>
    <row r="83" spans="3:5" x14ac:dyDescent="0.25">
      <c r="C83"/>
      <c r="D83"/>
      <c r="E83"/>
    </row>
    <row r="84" spans="3:5" x14ac:dyDescent="0.25">
      <c r="C84"/>
      <c r="D84"/>
      <c r="E84"/>
    </row>
    <row r="85" spans="3:5" x14ac:dyDescent="0.25">
      <c r="C85"/>
      <c r="D85"/>
      <c r="E85"/>
    </row>
    <row r="86" spans="3:5" x14ac:dyDescent="0.25">
      <c r="C86"/>
      <c r="D86"/>
      <c r="E86"/>
    </row>
    <row r="87" spans="3:5" x14ac:dyDescent="0.25">
      <c r="C87"/>
      <c r="D87"/>
      <c r="E87"/>
    </row>
    <row r="88" spans="3:5" x14ac:dyDescent="0.25">
      <c r="C88"/>
      <c r="D88"/>
      <c r="E88"/>
    </row>
    <row r="89" spans="3:5" x14ac:dyDescent="0.25">
      <c r="C89"/>
      <c r="D89"/>
      <c r="E89"/>
    </row>
    <row r="90" spans="3:5" x14ac:dyDescent="0.25">
      <c r="C90"/>
      <c r="D90"/>
      <c r="E90"/>
    </row>
    <row r="91" spans="3:5" x14ac:dyDescent="0.25">
      <c r="C91"/>
      <c r="D91"/>
      <c r="E91"/>
    </row>
    <row r="92" spans="3:5" x14ac:dyDescent="0.25">
      <c r="C92"/>
      <c r="D92"/>
      <c r="E92"/>
    </row>
    <row r="93" spans="3:5" x14ac:dyDescent="0.25">
      <c r="C93"/>
      <c r="D93"/>
      <c r="E93"/>
    </row>
    <row r="94" spans="3:5" x14ac:dyDescent="0.25">
      <c r="C94"/>
      <c r="D94"/>
      <c r="E94"/>
    </row>
    <row r="95" spans="3:5" x14ac:dyDescent="0.25">
      <c r="C95"/>
      <c r="D95"/>
      <c r="E95"/>
    </row>
    <row r="96" spans="3:5" x14ac:dyDescent="0.25">
      <c r="C96"/>
      <c r="D96"/>
      <c r="E96"/>
    </row>
    <row r="97" spans="3:5" x14ac:dyDescent="0.25">
      <c r="C97"/>
      <c r="D97"/>
      <c r="E97"/>
    </row>
    <row r="98" spans="3:5" x14ac:dyDescent="0.25">
      <c r="C98"/>
      <c r="D98"/>
      <c r="E98"/>
    </row>
    <row r="99" spans="3:5" x14ac:dyDescent="0.25">
      <c r="C99"/>
      <c r="D99"/>
      <c r="E99"/>
    </row>
    <row r="100" spans="3:5" x14ac:dyDescent="0.25">
      <c r="C100"/>
      <c r="D100"/>
      <c r="E100"/>
    </row>
    <row r="101" spans="3:5" x14ac:dyDescent="0.25">
      <c r="C101"/>
      <c r="D101"/>
      <c r="E101"/>
    </row>
    <row r="102" spans="3:5" x14ac:dyDescent="0.25">
      <c r="C102"/>
      <c r="D102"/>
      <c r="E102"/>
    </row>
    <row r="103" spans="3:5" x14ac:dyDescent="0.25">
      <c r="C103"/>
      <c r="D103"/>
      <c r="E103"/>
    </row>
    <row r="104" spans="3:5" x14ac:dyDescent="0.25">
      <c r="C104"/>
      <c r="D104"/>
      <c r="E104"/>
    </row>
    <row r="105" spans="3:5" x14ac:dyDescent="0.25">
      <c r="C105"/>
      <c r="D105"/>
      <c r="E105"/>
    </row>
    <row r="106" spans="3:5" x14ac:dyDescent="0.25">
      <c r="C106"/>
      <c r="D106"/>
      <c r="E106"/>
    </row>
    <row r="107" spans="3:5" x14ac:dyDescent="0.25">
      <c r="C107"/>
      <c r="D107"/>
      <c r="E107"/>
    </row>
    <row r="108" spans="3:5" x14ac:dyDescent="0.25">
      <c r="C108"/>
      <c r="D108"/>
      <c r="E108"/>
    </row>
    <row r="109" spans="3:5" x14ac:dyDescent="0.25">
      <c r="C109"/>
      <c r="D109"/>
      <c r="E109"/>
    </row>
    <row r="110" spans="3:5" x14ac:dyDescent="0.25">
      <c r="C110"/>
      <c r="D110"/>
      <c r="E110"/>
    </row>
    <row r="111" spans="3:5" x14ac:dyDescent="0.25">
      <c r="C111"/>
      <c r="D111"/>
      <c r="E111"/>
    </row>
    <row r="112" spans="3:5" x14ac:dyDescent="0.25">
      <c r="C112"/>
      <c r="D112"/>
      <c r="E112"/>
    </row>
    <row r="113" spans="3:5" x14ac:dyDescent="0.25">
      <c r="C113"/>
      <c r="D113"/>
      <c r="E113"/>
    </row>
    <row r="114" spans="3:5" x14ac:dyDescent="0.25">
      <c r="C114"/>
      <c r="D114"/>
      <c r="E114"/>
    </row>
    <row r="115" spans="3:5" x14ac:dyDescent="0.25">
      <c r="C115"/>
      <c r="D115"/>
      <c r="E115"/>
    </row>
    <row r="116" spans="3:5" x14ac:dyDescent="0.25">
      <c r="C116"/>
      <c r="D116"/>
      <c r="E116"/>
    </row>
    <row r="117" spans="3:5" x14ac:dyDescent="0.25">
      <c r="C117"/>
      <c r="D117"/>
      <c r="E117"/>
    </row>
    <row r="118" spans="3:5" x14ac:dyDescent="0.25">
      <c r="C118"/>
      <c r="D118"/>
      <c r="E118"/>
    </row>
    <row r="119" spans="3:5" x14ac:dyDescent="0.25">
      <c r="C119"/>
      <c r="D119"/>
      <c r="E119"/>
    </row>
    <row r="120" spans="3:5" x14ac:dyDescent="0.25">
      <c r="C120"/>
      <c r="D120"/>
      <c r="E120"/>
    </row>
    <row r="121" spans="3:5" x14ac:dyDescent="0.25">
      <c r="C121"/>
      <c r="D121"/>
      <c r="E121"/>
    </row>
    <row r="122" spans="3:5" x14ac:dyDescent="0.25">
      <c r="C122"/>
      <c r="D122"/>
      <c r="E122"/>
    </row>
    <row r="123" spans="3:5" x14ac:dyDescent="0.25">
      <c r="C123"/>
      <c r="D123"/>
      <c r="E123"/>
    </row>
    <row r="124" spans="3:5" x14ac:dyDescent="0.25">
      <c r="C124"/>
      <c r="D124"/>
      <c r="E124"/>
    </row>
    <row r="125" spans="3:5" x14ac:dyDescent="0.25">
      <c r="C125"/>
      <c r="D125"/>
      <c r="E125"/>
    </row>
    <row r="126" spans="3:5" x14ac:dyDescent="0.25">
      <c r="C126"/>
      <c r="D126"/>
      <c r="E126"/>
    </row>
    <row r="127" spans="3:5" x14ac:dyDescent="0.25">
      <c r="C127"/>
      <c r="D127"/>
      <c r="E127"/>
    </row>
    <row r="128" spans="3:5" x14ac:dyDescent="0.25">
      <c r="C128"/>
      <c r="D128"/>
      <c r="E128"/>
    </row>
    <row r="129" spans="3:5" x14ac:dyDescent="0.25">
      <c r="C129"/>
      <c r="D129"/>
      <c r="E129"/>
    </row>
    <row r="130" spans="3:5" x14ac:dyDescent="0.25">
      <c r="C130"/>
      <c r="D130"/>
      <c r="E130"/>
    </row>
    <row r="131" spans="3:5" x14ac:dyDescent="0.25">
      <c r="C131"/>
      <c r="D131"/>
      <c r="E131"/>
    </row>
    <row r="132" spans="3:5" x14ac:dyDescent="0.25">
      <c r="C132"/>
      <c r="D132"/>
      <c r="E132"/>
    </row>
    <row r="133" spans="3:5" x14ac:dyDescent="0.25">
      <c r="C133"/>
      <c r="D133"/>
      <c r="E133"/>
    </row>
    <row r="134" spans="3:5" x14ac:dyDescent="0.25">
      <c r="C134"/>
      <c r="D134"/>
      <c r="E134"/>
    </row>
    <row r="135" spans="3:5" x14ac:dyDescent="0.25">
      <c r="C135"/>
      <c r="D135"/>
      <c r="E135"/>
    </row>
    <row r="136" spans="3:5" x14ac:dyDescent="0.25">
      <c r="C136"/>
      <c r="D136"/>
      <c r="E136"/>
    </row>
    <row r="137" spans="3:5" x14ac:dyDescent="0.25">
      <c r="C137"/>
      <c r="D137"/>
      <c r="E137"/>
    </row>
    <row r="138" spans="3:5" x14ac:dyDescent="0.25">
      <c r="C138"/>
      <c r="D138"/>
      <c r="E138"/>
    </row>
    <row r="139" spans="3:5" x14ac:dyDescent="0.25">
      <c r="C139"/>
      <c r="D139"/>
      <c r="E139"/>
    </row>
    <row r="140" spans="3:5" x14ac:dyDescent="0.25">
      <c r="C140"/>
      <c r="D140"/>
      <c r="E140"/>
    </row>
    <row r="141" spans="3:5" x14ac:dyDescent="0.25">
      <c r="C141"/>
      <c r="D141"/>
      <c r="E141"/>
    </row>
    <row r="142" spans="3:5" x14ac:dyDescent="0.25">
      <c r="C142"/>
      <c r="D142"/>
      <c r="E142"/>
    </row>
    <row r="143" spans="3:5" x14ac:dyDescent="0.25">
      <c r="C143"/>
      <c r="D143"/>
      <c r="E143"/>
    </row>
    <row r="144" spans="3:5" x14ac:dyDescent="0.25">
      <c r="C144"/>
      <c r="D144"/>
      <c r="E144"/>
    </row>
    <row r="145" spans="3:5" x14ac:dyDescent="0.25">
      <c r="C145"/>
      <c r="D145"/>
      <c r="E145"/>
    </row>
    <row r="146" spans="3:5" x14ac:dyDescent="0.25">
      <c r="C146"/>
      <c r="D146"/>
      <c r="E146"/>
    </row>
    <row r="147" spans="3:5" x14ac:dyDescent="0.25">
      <c r="C147"/>
      <c r="D147"/>
      <c r="E147"/>
    </row>
    <row r="148" spans="3:5" x14ac:dyDescent="0.25">
      <c r="C148"/>
      <c r="D148"/>
      <c r="E148"/>
    </row>
    <row r="149" spans="3:5" x14ac:dyDescent="0.25">
      <c r="C149"/>
      <c r="D149"/>
      <c r="E149"/>
    </row>
    <row r="150" spans="3:5" x14ac:dyDescent="0.25">
      <c r="C150"/>
      <c r="D150"/>
      <c r="E150"/>
    </row>
    <row r="151" spans="3:5" x14ac:dyDescent="0.25">
      <c r="C151"/>
      <c r="D151"/>
      <c r="E151"/>
    </row>
    <row r="152" spans="3:5" x14ac:dyDescent="0.25">
      <c r="C152"/>
      <c r="D152"/>
      <c r="E152"/>
    </row>
    <row r="153" spans="3:5" x14ac:dyDescent="0.25">
      <c r="C153"/>
      <c r="D153"/>
      <c r="E153"/>
    </row>
    <row r="154" spans="3:5" x14ac:dyDescent="0.25">
      <c r="C154"/>
      <c r="D154"/>
      <c r="E154"/>
    </row>
    <row r="155" spans="3:5" x14ac:dyDescent="0.25">
      <c r="C155"/>
      <c r="D155"/>
      <c r="E155"/>
    </row>
    <row r="156" spans="3:5" x14ac:dyDescent="0.25">
      <c r="C156"/>
      <c r="D156"/>
      <c r="E156"/>
    </row>
    <row r="157" spans="3:5" x14ac:dyDescent="0.25">
      <c r="C157"/>
      <c r="D157"/>
      <c r="E157"/>
    </row>
    <row r="158" spans="3:5" x14ac:dyDescent="0.25">
      <c r="C158"/>
      <c r="D158"/>
      <c r="E158"/>
    </row>
    <row r="159" spans="3:5" x14ac:dyDescent="0.25">
      <c r="C159"/>
      <c r="D159"/>
      <c r="E159"/>
    </row>
    <row r="160" spans="3:5" x14ac:dyDescent="0.25">
      <c r="C160"/>
      <c r="D160"/>
      <c r="E160"/>
    </row>
    <row r="161" spans="3:5" x14ac:dyDescent="0.25">
      <c r="C161"/>
      <c r="D161"/>
      <c r="E161"/>
    </row>
    <row r="165" spans="3:5" x14ac:dyDescent="0.25">
      <c r="C165" s="35"/>
    </row>
  </sheetData>
  <phoneticPr fontId="4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1025" r:id="rId3">
          <objectPr defaultSize="0" altText="" r:id="rId4">
            <anchor moveWithCells="1" sizeWithCells="1">
              <from>
                <xdr:col>7</xdr:col>
                <xdr:colOff>361950</xdr:colOff>
                <xdr:row>9</xdr:row>
                <xdr:rowOff>95250</xdr:rowOff>
              </from>
              <to>
                <xdr:col>18</xdr:col>
                <xdr:colOff>533400</xdr:colOff>
                <xdr:row>17</xdr:row>
                <xdr:rowOff>146050</xdr:rowOff>
              </to>
            </anchor>
          </objectPr>
        </oleObject>
      </mc:Choice>
      <mc:Fallback>
        <oleObject progId="Equation.DSMT4" shapeId="1025" r:id="rId3"/>
      </mc:Fallback>
    </mc:AlternateContent>
    <mc:AlternateContent xmlns:mc="http://schemas.openxmlformats.org/markup-compatibility/2006">
      <mc:Choice Requires="x14">
        <oleObject progId="Equation.DSMT4" shapeId="1026" r:id="rId5">
          <objectPr defaultSize="0" altText="" r:id="rId6">
            <anchor moveWithCells="1" sizeWithCells="1">
              <from>
                <xdr:col>7</xdr:col>
                <xdr:colOff>393700</xdr:colOff>
                <xdr:row>2</xdr:row>
                <xdr:rowOff>88900</xdr:rowOff>
              </from>
              <to>
                <xdr:col>18</xdr:col>
                <xdr:colOff>419100</xdr:colOff>
                <xdr:row>8</xdr:row>
                <xdr:rowOff>57150</xdr:rowOff>
              </to>
            </anchor>
          </objectPr>
        </oleObject>
      </mc:Choice>
      <mc:Fallback>
        <oleObject progId="Equation.DSMT4" shapeId="1026" r:id="rId5"/>
      </mc:Fallback>
    </mc:AlternateContent>
    <mc:AlternateContent xmlns:mc="http://schemas.openxmlformats.org/markup-compatibility/2006">
      <mc:Choice Requires="x14">
        <oleObject shapeId="1027" r:id="rId7">
          <objectPr defaultSize="0" altText="" r:id="rId8">
            <anchor moveWithCells="1">
              <from>
                <xdr:col>7</xdr:col>
                <xdr:colOff>495300</xdr:colOff>
                <xdr:row>21</xdr:row>
                <xdr:rowOff>0</xdr:rowOff>
              </from>
              <to>
                <xdr:col>18</xdr:col>
                <xdr:colOff>228600</xdr:colOff>
                <xdr:row>28</xdr:row>
                <xdr:rowOff>146050</xdr:rowOff>
              </to>
            </anchor>
          </objectPr>
        </oleObject>
      </mc:Choice>
      <mc:Fallback>
        <oleObject shapeId="1027" r:id="rId7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878"/>
  <sheetViews>
    <sheetView topLeftCell="A840" workbookViewId="0">
      <selection activeCell="G5" sqref="G5"/>
    </sheetView>
  </sheetViews>
  <sheetFormatPr defaultColWidth="9" defaultRowHeight="14" x14ac:dyDescent="0.25"/>
  <cols>
    <col min="2" max="2" width="11.90625" customWidth="1"/>
    <col min="3" max="3" width="18.90625" style="13" customWidth="1"/>
    <col min="4" max="4" width="17.36328125" style="14" customWidth="1"/>
    <col min="5" max="5" width="16.26953125" style="14" customWidth="1"/>
    <col min="6" max="6" width="5.54296875" customWidth="1"/>
    <col min="7" max="7" width="13.36328125" style="1" customWidth="1"/>
    <col min="8" max="8" width="10.36328125" style="2" customWidth="1"/>
    <col min="13" max="13" width="10.36328125" style="2"/>
    <col min="17" max="17" width="10.36328125" customWidth="1"/>
    <col min="19" max="19" width="9.36328125" customWidth="1"/>
    <col min="20" max="23" width="10.36328125" customWidth="1"/>
    <col min="25" max="25" width="10.36328125" customWidth="1"/>
  </cols>
  <sheetData>
    <row r="2" spans="1:7" x14ac:dyDescent="0.25">
      <c r="A2" s="1"/>
    </row>
    <row r="3" spans="1:7" x14ac:dyDescent="0.25">
      <c r="C3" s="13" t="s">
        <v>0</v>
      </c>
      <c r="D3" s="14" t="s">
        <v>1</v>
      </c>
      <c r="E3" s="14" t="s">
        <v>2</v>
      </c>
      <c r="F3" t="s">
        <v>10</v>
      </c>
      <c r="G3" s="15" t="s">
        <v>11</v>
      </c>
    </row>
    <row r="4" spans="1:7" x14ac:dyDescent="0.25">
      <c r="A4" t="s">
        <v>4</v>
      </c>
      <c r="B4" s="16" t="s">
        <v>5</v>
      </c>
      <c r="C4" s="4">
        <v>1</v>
      </c>
      <c r="D4" s="4">
        <v>1</v>
      </c>
      <c r="E4" s="4">
        <v>1</v>
      </c>
      <c r="F4">
        <v>1</v>
      </c>
    </row>
    <row r="5" spans="1:7" x14ac:dyDescent="0.25">
      <c r="A5" s="1">
        <v>1</v>
      </c>
      <c r="B5" t="s">
        <v>6</v>
      </c>
      <c r="C5" s="13">
        <f>3*C4-D4^3-0.5*C4*E4</f>
        <v>1.5</v>
      </c>
      <c r="D5" s="14">
        <f>C4^2-(D4+0.1)^2+2*E4+0.9</f>
        <v>2.69</v>
      </c>
      <c r="E5" s="14">
        <f>EXP(-C4)+1/D4+1.5*E4+2</f>
        <v>4.8678794411714428</v>
      </c>
      <c r="G5" s="1">
        <f>0.5*(C5*C5+D5*D5+E5*E5)</f>
        <v>16.591175126889802</v>
      </c>
    </row>
    <row r="6" spans="1:7" x14ac:dyDescent="0.25">
      <c r="C6" s="17">
        <f>3-0.5*E4</f>
        <v>2.5</v>
      </c>
      <c r="D6" s="18">
        <f>-3*D4^2</f>
        <v>-3</v>
      </c>
      <c r="E6" s="19">
        <f>-0.5*C4</f>
        <v>-0.5</v>
      </c>
    </row>
    <row r="7" spans="1:7" x14ac:dyDescent="0.25">
      <c r="B7" t="s">
        <v>7</v>
      </c>
      <c r="C7" s="20">
        <f>2*C4</f>
        <v>2</v>
      </c>
      <c r="D7" s="14">
        <f>-2*(D4+0.1)</f>
        <v>-2.2000000000000002</v>
      </c>
      <c r="E7" s="21">
        <f>2</f>
        <v>2</v>
      </c>
    </row>
    <row r="8" spans="1:7" x14ac:dyDescent="0.25">
      <c r="C8" s="22">
        <f>-EXP(-C4)</f>
        <v>-0.36787944117144233</v>
      </c>
      <c r="D8" s="23">
        <f>-1/D4^2</f>
        <v>-1</v>
      </c>
      <c r="E8" s="24">
        <f>1.5</f>
        <v>1.5</v>
      </c>
    </row>
    <row r="9" spans="1:7" x14ac:dyDescent="0.25">
      <c r="B9" t="s">
        <v>12</v>
      </c>
      <c r="C9" cm="1">
        <f t="array" ref="C9:E9">-MMULT(C5:E5,C6:E8)</f>
        <v>-7.3392072314918959</v>
      </c>
      <c r="D9">
        <v>15.285879441171442</v>
      </c>
      <c r="E9">
        <v>-11.931819161757165</v>
      </c>
      <c r="F9">
        <f>F4</f>
        <v>1</v>
      </c>
      <c r="G9"/>
    </row>
    <row r="10" spans="1:7" x14ac:dyDescent="0.25">
      <c r="B10" t="s">
        <v>13</v>
      </c>
      <c r="C10">
        <f>G5/SUMPRODUCT(_xlfn.ANCHORARRAY(C9),_xlfn.ANCHORARRAY(C9))</f>
        <v>3.8593966828687536E-2</v>
      </c>
      <c r="D10"/>
      <c r="E10"/>
      <c r="G10"/>
    </row>
    <row r="11" spans="1:7" x14ac:dyDescent="0.25">
      <c r="A11" t="s">
        <v>4</v>
      </c>
      <c r="B11" s="16" t="s">
        <v>5</v>
      </c>
      <c r="C11" cm="1">
        <f t="array" ref="C11:E11">C4:E4+C10*(C9:E9)</f>
        <v>0.71675087955893813</v>
      </c>
      <c r="D11">
        <v>1.5899427240998874</v>
      </c>
      <c r="E11">
        <v>0.53950376706524561</v>
      </c>
      <c r="G11"/>
    </row>
    <row r="12" spans="1:7" x14ac:dyDescent="0.25">
      <c r="A12" s="1">
        <f>1+A5</f>
        <v>2</v>
      </c>
      <c r="B12" t="s">
        <v>6</v>
      </c>
      <c r="C12" s="13">
        <f t="shared" ref="C12" si="0">3*C11-D11^3-0.5*C11*E11</f>
        <v>-2.0623368791465828</v>
      </c>
      <c r="D12" s="14">
        <f t="shared" ref="D12" si="1">C11^2-(D11+0.1)^2+2*E11+0.9</f>
        <v>-0.36316705325914567</v>
      </c>
      <c r="E12" s="14">
        <f t="shared" ref="E12" si="2">EXP(-C11)+1/D11+1.5*E11+2</f>
        <v>3.9265454694524977</v>
      </c>
      <c r="G12" s="1">
        <f>0.5*(C12*C12+D12*D12+E12*E12)</f>
        <v>9.9014415176694666</v>
      </c>
    </row>
    <row r="13" spans="1:7" x14ac:dyDescent="0.25">
      <c r="C13" s="17">
        <f t="shared" ref="C13" si="3">3-0.5*E11</f>
        <v>2.7302481164673771</v>
      </c>
      <c r="D13" s="18">
        <f t="shared" ref="D13" si="4">-3*D11^2</f>
        <v>-7.5837535977545114</v>
      </c>
      <c r="E13" s="19">
        <f t="shared" ref="E13" si="5">-0.5*C11</f>
        <v>-0.35837543977946906</v>
      </c>
    </row>
    <row r="14" spans="1:7" x14ac:dyDescent="0.25">
      <c r="B14" t="s">
        <v>7</v>
      </c>
      <c r="C14" s="20">
        <f t="shared" ref="C14" si="6">2*C11</f>
        <v>1.4335017591178763</v>
      </c>
      <c r="D14" s="14">
        <f t="shared" ref="D14" si="7">-2*(D11+0.1)</f>
        <v>-3.3798854481997749</v>
      </c>
      <c r="E14" s="21">
        <f>2</f>
        <v>2</v>
      </c>
    </row>
    <row r="15" spans="1:7" x14ac:dyDescent="0.25">
      <c r="C15" s="22">
        <f t="shared" ref="C15" si="8">-EXP(-C11)</f>
        <v>-0.48833634471855386</v>
      </c>
      <c r="D15" s="23">
        <f t="shared" ref="D15" si="9">-1/D11^2</f>
        <v>-0.39558247262783908</v>
      </c>
      <c r="E15" s="24">
        <f t="shared" ref="E15" si="10">1.5</f>
        <v>1.5</v>
      </c>
    </row>
    <row r="16" spans="1:7" x14ac:dyDescent="0.25">
      <c r="B16" t="s">
        <v>12</v>
      </c>
      <c r="C16" cm="1">
        <f t="array" ref="C16:E16">-MMULT(C12:E12,C13:E15)</f>
        <v>8.0687668514354378</v>
      </c>
      <c r="D16">
        <v>-15.314445199894228</v>
      </c>
      <c r="E16">
        <v>-5.9025749836980301</v>
      </c>
      <c r="F16">
        <f>F9</f>
        <v>1</v>
      </c>
      <c r="G16"/>
    </row>
    <row r="17" spans="1:7" x14ac:dyDescent="0.25">
      <c r="B17" t="s">
        <v>13</v>
      </c>
      <c r="C17">
        <f t="shared" ref="C17" si="11">G12/SUMPRODUCT(_xlfn.ANCHORARRAY(C16),_xlfn.ANCHORARRAY(C16))</f>
        <v>2.9602702466928893E-2</v>
      </c>
      <c r="D17"/>
      <c r="E17"/>
      <c r="G17"/>
    </row>
    <row r="18" spans="1:7" x14ac:dyDescent="0.25">
      <c r="A18" t="s">
        <v>4</v>
      </c>
      <c r="B18" s="16" t="s">
        <v>5</v>
      </c>
      <c r="C18" cm="1">
        <f t="array" ref="C18:E18">C11:E11+C17*(C16:E16)</f>
        <v>0.95560818393700009</v>
      </c>
      <c r="D18">
        <v>1.1365937594013311</v>
      </c>
      <c r="E18">
        <v>0.36477159603409515</v>
      </c>
      <c r="G18"/>
    </row>
    <row r="19" spans="1:7" x14ac:dyDescent="0.25">
      <c r="A19" s="1">
        <f>1+A12</f>
        <v>3</v>
      </c>
      <c r="B19" t="s">
        <v>6</v>
      </c>
      <c r="C19" s="13">
        <f t="shared" ref="C19" si="12">3*C18-D18^3-0.5*C18*E18</f>
        <v>1.2242318004943857</v>
      </c>
      <c r="D19" s="14">
        <f t="shared" ref="D19" si="13">C18^2-(D18+0.1)^2+2*E18+0.9</f>
        <v>1.0135660674852442</v>
      </c>
      <c r="E19" s="14">
        <f t="shared" ref="E19" si="14">EXP(-C18)+1/D18+1.5*E18+2</f>
        <v>3.8115574019940066</v>
      </c>
      <c r="G19" s="1">
        <f>0.5*(C19*C19+D19*D19+E19*E19)</f>
        <v>8.5270147515972639</v>
      </c>
    </row>
    <row r="20" spans="1:7" x14ac:dyDescent="0.25">
      <c r="C20" s="17">
        <f t="shared" ref="C20" si="15">3-0.5*E18</f>
        <v>2.8176142019829524</v>
      </c>
      <c r="D20" s="18">
        <f t="shared" ref="D20" si="16">-3*D18^2</f>
        <v>-3.8755361217301534</v>
      </c>
      <c r="E20" s="19">
        <f t="shared" ref="E20" si="17">-0.5*C18</f>
        <v>-0.47780409196850004</v>
      </c>
    </row>
    <row r="21" spans="1:7" x14ac:dyDescent="0.25">
      <c r="B21" t="s">
        <v>7</v>
      </c>
      <c r="C21" s="20">
        <f t="shared" ref="C21" si="18">2*C18</f>
        <v>1.9112163678740002</v>
      </c>
      <c r="D21" s="14">
        <f t="shared" ref="D21" si="19">-2*(D18+0.1)</f>
        <v>-2.4731875188026624</v>
      </c>
      <c r="E21" s="21">
        <f>2</f>
        <v>2</v>
      </c>
    </row>
    <row r="22" spans="1:7" x14ac:dyDescent="0.25">
      <c r="C22" s="22">
        <f t="shared" ref="C22" si="20">-EXP(-C18)</f>
        <v>-0.38457817914211295</v>
      </c>
      <c r="D22" s="23">
        <f t="shared" ref="D22" si="21">-1/D18^2</f>
        <v>-0.77408645043429802</v>
      </c>
      <c r="E22" s="24">
        <f t="shared" ref="E22" si="22">1.5</f>
        <v>1.5</v>
      </c>
    </row>
    <row r="23" spans="1:7" x14ac:dyDescent="0.25">
      <c r="B23" t="s">
        <v>12</v>
      </c>
      <c r="C23" cm="1">
        <f t="array" ref="C23:E23">-MMULT(C19:E19,C20:E22)</f>
        <v>-3.9207151603371262</v>
      </c>
      <c r="D23">
        <v>10.201768451709253</v>
      </c>
      <c r="E23">
        <v>-7.1595252741673168</v>
      </c>
      <c r="F23">
        <f>F16</f>
        <v>1</v>
      </c>
      <c r="G23"/>
    </row>
    <row r="24" spans="1:7" x14ac:dyDescent="0.25">
      <c r="B24" t="s">
        <v>13</v>
      </c>
      <c r="C24">
        <f t="shared" ref="C24" si="23">G19/SUMPRODUCT(_xlfn.ANCHORARRAY(C23),_xlfn.ANCHORARRAY(C23))</f>
        <v>4.9951204655184663E-2</v>
      </c>
      <c r="D24"/>
      <c r="E24"/>
      <c r="G24"/>
    </row>
    <row r="25" spans="1:7" x14ac:dyDescent="0.25">
      <c r="A25" t="s">
        <v>4</v>
      </c>
      <c r="B25" s="16" t="s">
        <v>5</v>
      </c>
      <c r="C25" cm="1">
        <f t="array" ref="C25:E25">C18:E18+C24*(C23:E23)</f>
        <v>0.75976373856831514</v>
      </c>
      <c r="D25">
        <v>1.6461843831774665</v>
      </c>
      <c r="E25">
        <v>7.1446838301964521E-3</v>
      </c>
      <c r="G25"/>
    </row>
    <row r="26" spans="1:7" x14ac:dyDescent="0.25">
      <c r="A26" s="1">
        <f>1+A19</f>
        <v>4</v>
      </c>
      <c r="B26" t="s">
        <v>6</v>
      </c>
      <c r="C26" s="13">
        <f t="shared" ref="C26" si="24">3*C25-D25^3-0.5*C25*E25</f>
        <v>-2.1844558809066621</v>
      </c>
      <c r="D26" s="14">
        <f t="shared" ref="D26" si="25">C25^2-(D25+0.1)^2+2*E25+0.9</f>
        <v>-1.5576295939491733</v>
      </c>
      <c r="E26" s="14">
        <f t="shared" ref="E26" si="26">EXP(-C25)+1/D25+1.5*E25+2</f>
        <v>3.0859593240587744</v>
      </c>
      <c r="G26" s="1">
        <f>0.5*(C26*C26+D26*D26+E26*E26)</f>
        <v>8.3606011986596265</v>
      </c>
    </row>
    <row r="27" spans="1:7" x14ac:dyDescent="0.25">
      <c r="C27" s="17">
        <f t="shared" ref="C27" si="27">3-0.5*E25</f>
        <v>2.9964276580849019</v>
      </c>
      <c r="D27" s="18">
        <f t="shared" ref="D27" si="28">-3*D25^2</f>
        <v>-8.1297690702521272</v>
      </c>
      <c r="E27" s="19">
        <f t="shared" ref="E27" si="29">-0.5*C25</f>
        <v>-0.37988186928415757</v>
      </c>
    </row>
    <row r="28" spans="1:7" x14ac:dyDescent="0.25">
      <c r="B28" t="s">
        <v>7</v>
      </c>
      <c r="C28" s="20">
        <f t="shared" ref="C28" si="30">2*C25</f>
        <v>1.5195274771366303</v>
      </c>
      <c r="D28" s="14">
        <f t="shared" ref="D28" si="31">-2*(D25+0.1)</f>
        <v>-3.4923687663549332</v>
      </c>
      <c r="E28" s="21">
        <f>2</f>
        <v>2</v>
      </c>
    </row>
    <row r="29" spans="1:7" x14ac:dyDescent="0.25">
      <c r="C29" s="22">
        <f t="shared" ref="C29" si="32">-EXP(-C25)</f>
        <v>-0.46777693160297817</v>
      </c>
      <c r="D29" s="23">
        <f t="shared" ref="D29" si="33">-1/D25^2</f>
        <v>-0.36901417175272377</v>
      </c>
      <c r="E29" s="24">
        <f t="shared" ref="E29" si="34">1.5</f>
        <v>1.5</v>
      </c>
    </row>
    <row r="30" spans="1:7" x14ac:dyDescent="0.25">
      <c r="B30" t="s">
        <v>12</v>
      </c>
      <c r="C30" cm="1">
        <f t="array" ref="C30:E30">-MMULT(C26:E26,C27:E29)</f>
        <v>10.355965570281697</v>
      </c>
      <c r="D30">
        <v>-22.060176075353411</v>
      </c>
      <c r="E30">
        <v>-2.3435149815974095</v>
      </c>
      <c r="F30">
        <f>F23</f>
        <v>1</v>
      </c>
      <c r="G30"/>
    </row>
    <row r="31" spans="1:7" x14ac:dyDescent="0.25">
      <c r="B31" t="s">
        <v>13</v>
      </c>
      <c r="C31">
        <f t="shared" ref="C31" si="35">G26/SUMPRODUCT(_xlfn.ANCHORARRAY(C30),_xlfn.ANCHORARRAY(C30))</f>
        <v>1.3948529032556665E-2</v>
      </c>
      <c r="D31"/>
      <c r="E31"/>
      <c r="G31"/>
    </row>
    <row r="32" spans="1:7" x14ac:dyDescent="0.25">
      <c r="A32" t="s">
        <v>4</v>
      </c>
      <c r="B32" s="16" t="s">
        <v>5</v>
      </c>
      <c r="C32" cm="1">
        <f t="array" ref="C32:E32">C25:E25+C31*(C30:E30)</f>
        <v>0.9042142249855466</v>
      </c>
      <c r="D32">
        <v>1.3384773767270874</v>
      </c>
      <c r="E32">
        <v>-2.5543902928846514E-2</v>
      </c>
      <c r="G32"/>
    </row>
    <row r="33" spans="1:7" x14ac:dyDescent="0.25">
      <c r="A33" s="1">
        <f>1+A26</f>
        <v>5</v>
      </c>
      <c r="B33" t="s">
        <v>6</v>
      </c>
      <c r="C33" s="13">
        <f t="shared" ref="C33" si="36">3*C32-D32^3-0.5*C32*E32</f>
        <v>0.32628000583398592</v>
      </c>
      <c r="D33" s="14">
        <f t="shared" ref="D33" si="37">C32^2-(D32+0.1)^2+2*E32+0.9</f>
        <v>-0.40270160454712378</v>
      </c>
      <c r="E33" s="14">
        <f t="shared" ref="E33" si="38">EXP(-C32)+1/D32+1.5*E32+2</f>
        <v>3.1136616305381883</v>
      </c>
      <c r="G33" s="1">
        <f>0.5*(C33*C33+D33*D33+E33*E33)</f>
        <v>4.981757986998792</v>
      </c>
    </row>
    <row r="34" spans="1:7" x14ac:dyDescent="0.25">
      <c r="C34" s="17">
        <f t="shared" ref="C34" si="39">3-0.5*E32</f>
        <v>3.0127719514644231</v>
      </c>
      <c r="D34" s="18">
        <f t="shared" ref="D34" si="40">-3*D32^2</f>
        <v>-5.3745650640306764</v>
      </c>
      <c r="E34" s="19">
        <f t="shared" ref="E34" si="41">-0.5*C32</f>
        <v>-0.4521071124927733</v>
      </c>
    </row>
    <row r="35" spans="1:7" x14ac:dyDescent="0.25">
      <c r="B35" t="s">
        <v>7</v>
      </c>
      <c r="C35" s="20">
        <f t="shared" ref="C35" si="42">2*C32</f>
        <v>1.8084284499710932</v>
      </c>
      <c r="D35" s="14">
        <f t="shared" ref="D35" si="43">-2*(D32+0.1)</f>
        <v>-2.8769547534541751</v>
      </c>
      <c r="E35" s="21">
        <f>2</f>
        <v>2</v>
      </c>
    </row>
    <row r="36" spans="1:7" x14ac:dyDescent="0.25">
      <c r="C36" s="22">
        <f t="shared" ref="C36" si="44">-EXP(-C32)</f>
        <v>-0.40485988893200187</v>
      </c>
      <c r="D36" s="23">
        <f t="shared" ref="D36" si="45">-1/D32^2</f>
        <v>-0.55818470225200656</v>
      </c>
      <c r="E36" s="24">
        <f t="shared" ref="E36" si="46">1.5</f>
        <v>1.5</v>
      </c>
    </row>
    <row r="37" spans="1:7" x14ac:dyDescent="0.25">
      <c r="B37" t="s">
        <v>12</v>
      </c>
      <c r="C37" cm="1">
        <f t="array" ref="C37:E37">-MMULT(C33:E33,C34:E36)</f>
        <v>1.0058464905232727</v>
      </c>
      <c r="D37">
        <v>2.3330571151770503</v>
      </c>
      <c r="E37">
        <v>-3.7175757254113058</v>
      </c>
      <c r="F37">
        <f>F30</f>
        <v>1</v>
      </c>
      <c r="G37"/>
    </row>
    <row r="38" spans="1:7" x14ac:dyDescent="0.25">
      <c r="B38" t="s">
        <v>13</v>
      </c>
      <c r="C38">
        <f t="shared" ref="C38" si="47">G33/SUMPRODUCT(_xlfn.ANCHORARRAY(C37),_xlfn.ANCHORARRAY(C37))</f>
        <v>0.24570634199281194</v>
      </c>
      <c r="D38"/>
      <c r="E38"/>
      <c r="G38"/>
    </row>
    <row r="39" spans="1:7" x14ac:dyDescent="0.25">
      <c r="A39" t="s">
        <v>4</v>
      </c>
      <c r="B39" s="16" t="s">
        <v>5</v>
      </c>
      <c r="C39" cm="1">
        <f t="array" ref="C39:E39">C32:E32+C38*(C37:E37)</f>
        <v>1.1513570867783276</v>
      </c>
      <c r="D39">
        <v>1.9117243061575429</v>
      </c>
      <c r="E39">
        <v>-0.93897583550093278</v>
      </c>
      <c r="G39"/>
    </row>
    <row r="40" spans="1:7" x14ac:dyDescent="0.25">
      <c r="A40" s="1">
        <f>1+A33</f>
        <v>6</v>
      </c>
      <c r="B40" t="s">
        <v>6</v>
      </c>
      <c r="C40" s="13">
        <f t="shared" ref="C40" si="48">3*C39-D39^3-0.5*C39*E39</f>
        <v>-2.9921398640307588</v>
      </c>
      <c r="D40" s="14">
        <f t="shared" ref="D40" si="49">C39^2-(D39+0.1)^2+2*E39+0.9</f>
        <v>-3.6993632137122359</v>
      </c>
      <c r="E40" s="14">
        <f t="shared" ref="E40" si="50">EXP(-C39)+1/D39+1.5*E39+2</f>
        <v>1.4308315810527727</v>
      </c>
      <c r="G40" s="1">
        <f>0.5*(C40*C40+D40*D40+E40*E40)</f>
        <v>12.342734083113655</v>
      </c>
    </row>
    <row r="41" spans="1:7" x14ac:dyDescent="0.25">
      <c r="C41" s="17">
        <f t="shared" ref="C41" si="51">3-0.5*E39</f>
        <v>3.4694879177504663</v>
      </c>
      <c r="D41" s="18">
        <f t="shared" ref="D41" si="52">-3*D39^2</f>
        <v>-10.964069468260615</v>
      </c>
      <c r="E41" s="19">
        <f t="shared" ref="E41" si="53">-0.5*C39</f>
        <v>-0.5756785433891638</v>
      </c>
    </row>
    <row r="42" spans="1:7" x14ac:dyDescent="0.25">
      <c r="B42" t="s">
        <v>7</v>
      </c>
      <c r="C42" s="20">
        <f t="shared" ref="C42" si="54">2*C39</f>
        <v>2.3027141735566552</v>
      </c>
      <c r="D42" s="14">
        <f t="shared" ref="D42" si="55">-2*(D39+0.1)</f>
        <v>-4.0234486123150859</v>
      </c>
      <c r="E42" s="21">
        <f>2</f>
        <v>2</v>
      </c>
    </row>
    <row r="43" spans="1:7" x14ac:dyDescent="0.25">
      <c r="C43" s="22">
        <f t="shared" ref="C43" si="56">-EXP(-C39)</f>
        <v>-0.31620735724646382</v>
      </c>
      <c r="D43" s="23">
        <f t="shared" ref="D43" si="57">-1/D39^2</f>
        <v>-0.27362103174232555</v>
      </c>
      <c r="E43" s="24">
        <f t="shared" ref="E43" si="58">1.5</f>
        <v>1.5</v>
      </c>
    </row>
    <row r="44" spans="1:7" x14ac:dyDescent="0.25">
      <c r="B44" t="s">
        <v>12</v>
      </c>
      <c r="C44" cm="1">
        <f t="array" ref="C44:E44">-MMULT(C40:E40,C41:E43)</f>
        <v>19.352208684732979</v>
      </c>
      <c r="D44">
        <v>-47.298721503187913</v>
      </c>
      <c r="E44">
        <v>3.5299683373034352</v>
      </c>
      <c r="F44">
        <f>F37</f>
        <v>1</v>
      </c>
      <c r="G44"/>
    </row>
    <row r="45" spans="1:7" x14ac:dyDescent="0.25">
      <c r="B45" t="s">
        <v>13</v>
      </c>
      <c r="C45">
        <f t="shared" ref="C45" si="59">G40/SUMPRODUCT(_xlfn.ANCHORARRAY(C44),_xlfn.ANCHORARRAY(C44))</f>
        <v>4.7035390028006942E-3</v>
      </c>
      <c r="D45"/>
      <c r="E45"/>
      <c r="G45"/>
    </row>
    <row r="46" spans="1:7" x14ac:dyDescent="0.25">
      <c r="A46" t="s">
        <v>4</v>
      </c>
      <c r="B46" s="16" t="s">
        <v>5</v>
      </c>
      <c r="C46" cm="1">
        <f t="array" ref="C46:E46">C39:E39+C45*(C44:E44)</f>
        <v>1.2423809551173075</v>
      </c>
      <c r="D46">
        <v>1.6892529247846906</v>
      </c>
      <c r="E46">
        <v>-0.92237249174777458</v>
      </c>
      <c r="G46"/>
    </row>
    <row r="47" spans="1:7" x14ac:dyDescent="0.25">
      <c r="A47" s="1">
        <f>1+A40</f>
        <v>7</v>
      </c>
      <c r="B47" t="s">
        <v>6</v>
      </c>
      <c r="C47" s="13">
        <f t="shared" ref="C47" si="60">3*C46-D46^3-0.5*C46*E46</f>
        <v>-0.5202987907034009</v>
      </c>
      <c r="D47" s="14">
        <f t="shared" ref="D47" si="61">C46^2-(D46+0.1)^2+2*E46+0.9</f>
        <v>-2.6026605747079263</v>
      </c>
      <c r="E47" s="14">
        <f t="shared" ref="E47" si="62">EXP(-C46)+1/D46+1.5*E46+2</f>
        <v>1.4971149528951835</v>
      </c>
      <c r="G47" s="1">
        <f>0.5*(C47*C47+D47*D47+E47*E47)</f>
        <v>4.6429530404643806</v>
      </c>
    </row>
    <row r="48" spans="1:7" x14ac:dyDescent="0.25">
      <c r="C48" s="17">
        <f t="shared" ref="C48" si="63">3-0.5*E46</f>
        <v>3.4611862458738871</v>
      </c>
      <c r="D48" s="18">
        <f t="shared" ref="D48" si="64">-3*D46^2</f>
        <v>-8.5607263316808933</v>
      </c>
      <c r="E48" s="19">
        <f t="shared" ref="E48" si="65">-0.5*C46</f>
        <v>-0.62119047755865375</v>
      </c>
    </row>
    <row r="49" spans="1:7" x14ac:dyDescent="0.25">
      <c r="B49" t="s">
        <v>7</v>
      </c>
      <c r="C49" s="20">
        <f t="shared" ref="C49" si="66">2*C46</f>
        <v>2.484761910234615</v>
      </c>
      <c r="D49" s="14">
        <f t="shared" ref="D49" si="67">-2*(D46+0.1)</f>
        <v>-3.5785058495693813</v>
      </c>
      <c r="E49" s="21">
        <f>2</f>
        <v>2</v>
      </c>
    </row>
    <row r="50" spans="1:7" x14ac:dyDescent="0.25">
      <c r="C50" s="22">
        <f t="shared" ref="C50" si="68">-EXP(-C46)</f>
        <v>-0.28869602670580979</v>
      </c>
      <c r="D50" s="23">
        <f t="shared" ref="D50" si="69">-1/D46^2</f>
        <v>-0.35043755445117136</v>
      </c>
      <c r="E50" s="24">
        <f t="shared" ref="E50" si="70">1.5</f>
        <v>1.5</v>
      </c>
    </row>
    <row r="51" spans="1:7" x14ac:dyDescent="0.25">
      <c r="B51" t="s">
        <v>12</v>
      </c>
      <c r="C51" cm="1">
        <f t="array" ref="C51:E51">-MMULT(C47:E47,C48:E50)</f>
        <v>8.7000540178537094</v>
      </c>
      <c r="D51">
        <v>-13.243126346127383</v>
      </c>
      <c r="E51">
        <v>2.6364440658028414</v>
      </c>
      <c r="F51">
        <f>F44</f>
        <v>1</v>
      </c>
      <c r="G51"/>
    </row>
    <row r="52" spans="1:7" x14ac:dyDescent="0.25">
      <c r="B52" t="s">
        <v>13</v>
      </c>
      <c r="C52">
        <f t="shared" ref="C52" si="71">G47/SUMPRODUCT(_xlfn.ANCHORARRAY(C51),_xlfn.ANCHORARRAY(C51))</f>
        <v>1.7994395570218237E-2</v>
      </c>
      <c r="D52"/>
      <c r="E52"/>
      <c r="G52"/>
    </row>
    <row r="53" spans="1:7" x14ac:dyDescent="0.25">
      <c r="A53" t="s">
        <v>4</v>
      </c>
      <c r="B53" s="16" t="s">
        <v>5</v>
      </c>
      <c r="C53" cm="1">
        <f t="array" ref="C53:E53">C46:E46+C52*(C51:E51)</f>
        <v>1.3989331685968336</v>
      </c>
      <c r="D53">
        <v>1.4509508707260956</v>
      </c>
      <c r="E53">
        <v>-0.87493127432896378</v>
      </c>
      <c r="G53"/>
    </row>
    <row r="54" spans="1:7" x14ac:dyDescent="0.25">
      <c r="A54" s="1">
        <f>1+A47</f>
        <v>8</v>
      </c>
      <c r="B54" t="s">
        <v>6</v>
      </c>
      <c r="C54" s="13">
        <f t="shared" ref="C54" si="72">3*C53-D53^3-0.5*C53*E53</f>
        <v>1.7541581447018102</v>
      </c>
      <c r="D54" s="14">
        <f t="shared" ref="D54" si="73">C53^2-(D53+0.1)^2+2*E53+0.9</f>
        <v>-1.2982971418635851</v>
      </c>
      <c r="E54" s="14">
        <f t="shared" ref="E54" si="74">EXP(-C53)+1/D53+1.5*E53+2</f>
        <v>1.6236664818277391</v>
      </c>
      <c r="G54" s="1">
        <f>0.5*(C54*C54+D54*D54+E54*E54)</f>
        <v>3.6994695547028593</v>
      </c>
    </row>
    <row r="55" spans="1:7" x14ac:dyDescent="0.25">
      <c r="C55" s="17">
        <f t="shared" ref="C55" si="75">3-0.5*E53</f>
        <v>3.4374656371644821</v>
      </c>
      <c r="D55" s="18">
        <f t="shared" ref="D55" si="76">-3*D53^2</f>
        <v>-6.3157752877824453</v>
      </c>
      <c r="E55" s="19">
        <f t="shared" ref="E55" si="77">-0.5*C53</f>
        <v>-0.69946658429841679</v>
      </c>
    </row>
    <row r="56" spans="1:7" x14ac:dyDescent="0.25">
      <c r="B56" t="s">
        <v>7</v>
      </c>
      <c r="C56" s="20">
        <f t="shared" ref="C56" si="78">2*C53</f>
        <v>2.7978663371936672</v>
      </c>
      <c r="D56" s="14">
        <f t="shared" ref="D56" si="79">-2*(D53+0.1)</f>
        <v>-3.1019017414521914</v>
      </c>
      <c r="E56" s="21">
        <f>2</f>
        <v>2</v>
      </c>
    </row>
    <row r="57" spans="1:7" x14ac:dyDescent="0.25">
      <c r="C57" s="22">
        <f t="shared" ref="C57" si="80">-EXP(-C53)</f>
        <v>-0.24686018170618879</v>
      </c>
      <c r="D57" s="23">
        <f t="shared" ref="D57" si="81">-1/D53^2</f>
        <v>-0.47500106690042498</v>
      </c>
      <c r="E57" s="24">
        <f t="shared" ref="E57" si="82">1.5</f>
        <v>1.5</v>
      </c>
    </row>
    <row r="58" spans="1:7" x14ac:dyDescent="0.25">
      <c r="B58" t="s">
        <v>12</v>
      </c>
      <c r="C58" cm="1">
        <f t="array" ref="C58:E58">-MMULT(C54:E54,C55:E57)</f>
        <v>-1.9965778729355539</v>
      </c>
      <c r="D58">
        <v>7.8229218070595739</v>
      </c>
      <c r="E58">
        <v>1.3880695667793845</v>
      </c>
      <c r="F58">
        <f>F51</f>
        <v>1</v>
      </c>
      <c r="G58"/>
    </row>
    <row r="59" spans="1:7" x14ac:dyDescent="0.25">
      <c r="B59" t="s">
        <v>13</v>
      </c>
      <c r="C59">
        <f t="shared" ref="C59" si="83">G54/SUMPRODUCT(_xlfn.ANCHORARRAY(C58),_xlfn.ANCHORARRAY(C58))</f>
        <v>5.5124501321832352E-2</v>
      </c>
      <c r="D59"/>
      <c r="E59"/>
      <c r="G59"/>
    </row>
    <row r="60" spans="1:7" x14ac:dyDescent="0.25">
      <c r="A60" t="s">
        <v>4</v>
      </c>
      <c r="B60" s="16" t="s">
        <v>5</v>
      </c>
      <c r="C60" cm="1">
        <f t="array" ref="C60:E60">C53:E53+C59*(C58:E58)</f>
        <v>1.2888728090010564</v>
      </c>
      <c r="D60">
        <v>1.8821855342199423</v>
      </c>
      <c r="E60">
        <v>-0.79841463166023829</v>
      </c>
      <c r="G60"/>
    </row>
    <row r="61" spans="1:7" x14ac:dyDescent="0.25">
      <c r="A61" s="1">
        <f>1+A54</f>
        <v>9</v>
      </c>
      <c r="B61" t="s">
        <v>6</v>
      </c>
      <c r="C61" s="13">
        <f t="shared" ref="C61" si="84">3*C60-D60^3-0.5*C60*E60</f>
        <v>-2.286726725146742</v>
      </c>
      <c r="D61" s="14">
        <f t="shared" ref="D61" si="85">C60^2-(D60+0.1)^2+2*E60+0.9</f>
        <v>-2.9646956376090015</v>
      </c>
      <c r="E61" s="14">
        <f t="shared" ref="E61" si="86">EXP(-C60)+1/D60+1.5*E60+2</f>
        <v>1.6092565441801856</v>
      </c>
      <c r="G61" s="1">
        <f>0.5*(C61*C61+D61*D61+E61*E61)</f>
        <v>8.3041229820724709</v>
      </c>
    </row>
    <row r="62" spans="1:7" x14ac:dyDescent="0.25">
      <c r="C62" s="17">
        <f t="shared" ref="C62" si="87">3-0.5*E60</f>
        <v>3.399207315830119</v>
      </c>
      <c r="D62" s="18">
        <f t="shared" ref="D62" si="88">-3*D60^2</f>
        <v>-10.627867155680429</v>
      </c>
      <c r="E62" s="19">
        <f t="shared" ref="E62" si="89">-0.5*C60</f>
        <v>-0.64443640450052819</v>
      </c>
    </row>
    <row r="63" spans="1:7" x14ac:dyDescent="0.25">
      <c r="B63" t="s">
        <v>7</v>
      </c>
      <c r="C63" s="20">
        <f t="shared" ref="C63" si="90">2*C60</f>
        <v>2.5777456180021128</v>
      </c>
      <c r="D63" s="14">
        <f t="shared" ref="D63" si="91">-2*(D60+0.1)</f>
        <v>-3.9643710684398847</v>
      </c>
      <c r="E63" s="21">
        <f>2</f>
        <v>2</v>
      </c>
    </row>
    <row r="64" spans="1:7" x14ac:dyDescent="0.25">
      <c r="C64" s="22">
        <f t="shared" ref="C64" si="92">-EXP(-C60)</f>
        <v>-0.27558124077840812</v>
      </c>
      <c r="D64" s="23">
        <f t="shared" ref="D64" si="93">-1/D60^2</f>
        <v>-0.28227676880554031</v>
      </c>
      <c r="E64" s="24">
        <f t="shared" ref="E64" si="94">1.5</f>
        <v>1.5</v>
      </c>
    </row>
    <row r="65" spans="1:7" x14ac:dyDescent="0.25">
      <c r="B65" t="s">
        <v>12</v>
      </c>
      <c r="C65" cm="1">
        <f t="array" ref="C65:E65">-MMULT(C61:E61,C62:E64)</f>
        <v>15.858770317155587</v>
      </c>
      <c r="D65">
        <v>-35.601925731200431</v>
      </c>
      <c r="E65">
        <v>2.0418565101188904</v>
      </c>
      <c r="F65">
        <f>F58</f>
        <v>1</v>
      </c>
      <c r="G65"/>
    </row>
    <row r="66" spans="1:7" x14ac:dyDescent="0.25">
      <c r="B66" t="s">
        <v>13</v>
      </c>
      <c r="C66">
        <f t="shared" ref="C66" si="95">G61/SUMPRODUCT(_xlfn.ANCHORARRAY(C65),_xlfn.ANCHORARRAY(C65))</f>
        <v>5.4518799206794595E-3</v>
      </c>
      <c r="D66"/>
      <c r="E66"/>
      <c r="G66"/>
    </row>
    <row r="67" spans="1:7" x14ac:dyDescent="0.25">
      <c r="A67" t="s">
        <v>4</v>
      </c>
      <c r="B67" s="16" t="s">
        <v>5</v>
      </c>
      <c r="C67" cm="1">
        <f t="array" ref="C67:E67">C60:E60+C66*(C65:E65)</f>
        <v>1.3753329204598244</v>
      </c>
      <c r="D67">
        <v>1.6880881101884893</v>
      </c>
      <c r="E67">
        <v>-0.78728267515181249</v>
      </c>
      <c r="G67"/>
    </row>
    <row r="68" spans="1:7" x14ac:dyDescent="0.25">
      <c r="A68" s="1">
        <f>1+A61</f>
        <v>10</v>
      </c>
      <c r="B68" t="s">
        <v>6</v>
      </c>
      <c r="C68" s="13">
        <f t="shared" ref="C68" si="96">3*C67-D67^3-0.5*C67*E67</f>
        <v>-0.14305922822384509</v>
      </c>
      <c r="D68" s="14">
        <f t="shared" ref="D68" si="97">C67^2-(D67+0.1)^2+2*E67+0.9</f>
        <v>-1.9802837980005186</v>
      </c>
      <c r="E68" s="14">
        <f t="shared" ref="E68" si="98">EXP(-C67)+1/D67+1.5*E67+2</f>
        <v>1.6642175618649322</v>
      </c>
      <c r="G68" s="1">
        <f>0.5*(C68*C68+D68*D68+E68*E68)</f>
        <v>3.35580497831151</v>
      </c>
    </row>
    <row r="69" spans="1:7" x14ac:dyDescent="0.25">
      <c r="C69" s="17">
        <f t="shared" ref="C69" si="99">3-0.5*E67</f>
        <v>3.3936413375759065</v>
      </c>
      <c r="D69" s="18">
        <f t="shared" ref="D69" si="100">-3*D67^2</f>
        <v>-8.5489244032792353</v>
      </c>
      <c r="E69" s="19">
        <f t="shared" ref="E69" si="101">-0.5*C67</f>
        <v>-0.68766646022991218</v>
      </c>
    </row>
    <row r="70" spans="1:7" x14ac:dyDescent="0.25">
      <c r="B70" t="s">
        <v>7</v>
      </c>
      <c r="C70" s="20">
        <f t="shared" ref="C70" si="102">2*C67</f>
        <v>2.7506658409196487</v>
      </c>
      <c r="D70" s="14">
        <f t="shared" ref="D70" si="103">-2*(D67+0.1)</f>
        <v>-3.5761762203769787</v>
      </c>
      <c r="E70" s="21">
        <f>2</f>
        <v>2</v>
      </c>
    </row>
    <row r="71" spans="1:7" x14ac:dyDescent="0.25">
      <c r="C71" s="22">
        <f t="shared" ref="C71" si="104">-EXP(-C67)</f>
        <v>-0.25275543434056336</v>
      </c>
      <c r="D71" s="23">
        <f t="shared" ref="D71" si="105">-1/D67^2</f>
        <v>-0.35092133916276602</v>
      </c>
      <c r="E71" s="24">
        <f t="shared" ref="E71" si="106">1.5</f>
        <v>1.5</v>
      </c>
    </row>
    <row r="72" spans="1:7" x14ac:dyDescent="0.25">
      <c r="B72" t="s">
        <v>12</v>
      </c>
      <c r="C72" cm="1">
        <f t="array" ref="C72:E72">-MMULT(C68:E68,C69:E71)</f>
        <v>6.353230741795163</v>
      </c>
      <c r="D72">
        <v>-7.7208368998165504</v>
      </c>
      <c r="E72">
        <v>1.3658642201277242</v>
      </c>
      <c r="F72">
        <f>F65</f>
        <v>1</v>
      </c>
      <c r="G72"/>
    </row>
    <row r="73" spans="1:7" x14ac:dyDescent="0.25">
      <c r="B73" t="s">
        <v>13</v>
      </c>
      <c r="C73">
        <f t="shared" ref="C73" si="107">G68/SUMPRODUCT(_xlfn.ANCHORARRAY(C72),_xlfn.ANCHORARRAY(C72))</f>
        <v>3.2951592735066551E-2</v>
      </c>
      <c r="D73"/>
      <c r="E73"/>
      <c r="G73"/>
    </row>
    <row r="74" spans="1:7" x14ac:dyDescent="0.25">
      <c r="A74" t="s">
        <v>4</v>
      </c>
      <c r="B74" s="16" t="s">
        <v>5</v>
      </c>
      <c r="C74" cm="1">
        <f t="array" ref="C74:E74">C67:E67+C73*(C72:E72)</f>
        <v>1.5846819924153634</v>
      </c>
      <c r="D74">
        <v>1.4336742370918605</v>
      </c>
      <c r="E74">
        <v>-0.74227527363876444</v>
      </c>
      <c r="G74"/>
    </row>
    <row r="75" spans="1:7" x14ac:dyDescent="0.25">
      <c r="A75" s="1">
        <f>1+A68</f>
        <v>11</v>
      </c>
      <c r="B75" t="s">
        <v>6</v>
      </c>
      <c r="C75" s="13">
        <f t="shared" ref="C75" si="108">3*C74-D74^3-0.5*C74*E74</f>
        <v>2.3953758000535448</v>
      </c>
      <c r="D75" s="14">
        <f t="shared" ref="D75" si="109">C74^2-(D74+0.1)^2+2*E74+0.9</f>
        <v>-0.4254901957113032</v>
      </c>
      <c r="E75" s="14">
        <f t="shared" ref="E75" si="110">EXP(-C74)+1/D74+1.5*E74+2</f>
        <v>1.789108591270459</v>
      </c>
      <c r="G75" s="1">
        <f>0.5*(C75*C75+D75*D75+E75*E75)</f>
        <v>4.5598883407431847</v>
      </c>
    </row>
    <row r="76" spans="1:7" x14ac:dyDescent="0.25">
      <c r="C76" s="17">
        <f t="shared" ref="C76" si="111">3-0.5*E74</f>
        <v>3.3711376368193822</v>
      </c>
      <c r="D76" s="18">
        <f t="shared" ref="D76" si="112">-3*D74^2</f>
        <v>-6.1662654543027848</v>
      </c>
      <c r="E76" s="19">
        <f t="shared" ref="E76" si="113">-0.5*C74</f>
        <v>-0.79234099620768172</v>
      </c>
    </row>
    <row r="77" spans="1:7" x14ac:dyDescent="0.25">
      <c r="B77" t="s">
        <v>7</v>
      </c>
      <c r="C77" s="20">
        <f t="shared" ref="C77" si="114">2*C74</f>
        <v>3.1693639848307269</v>
      </c>
      <c r="D77" s="14">
        <f t="shared" ref="D77" si="115">-2*(D74+0.1)</f>
        <v>-3.0673484741837211</v>
      </c>
      <c r="E77" s="21">
        <f>2</f>
        <v>2</v>
      </c>
    </row>
    <row r="78" spans="1:7" x14ac:dyDescent="0.25">
      <c r="C78" s="22">
        <f t="shared" ref="C78" si="116">-EXP(-C74)</f>
        <v>-0.2050129784336262</v>
      </c>
      <c r="D78" s="23">
        <f t="shared" ref="D78" si="117">-1/D74^2</f>
        <v>-0.48651814006914301</v>
      </c>
      <c r="E78" s="24">
        <f t="shared" ref="E78" si="118">1.5</f>
        <v>1.5</v>
      </c>
    </row>
    <row r="79" spans="1:7" x14ac:dyDescent="0.25">
      <c r="B79" t="s">
        <v>12</v>
      </c>
      <c r="C79" cm="1">
        <f t="array" ref="C79:E79">-MMULT(C75:E75,C76:E78)</f>
        <v>-6.359817730663317</v>
      </c>
      <c r="D79">
        <v>14.335830127554498</v>
      </c>
      <c r="E79">
        <v>6.5271952223116436E-2</v>
      </c>
      <c r="F79">
        <f>F72</f>
        <v>1</v>
      </c>
      <c r="G79"/>
    </row>
    <row r="80" spans="1:7" x14ac:dyDescent="0.25">
      <c r="B80" t="s">
        <v>13</v>
      </c>
      <c r="C80">
        <f t="shared" ref="C80" si="119">G75/SUMPRODUCT(_xlfn.ANCHORARRAY(C79),_xlfn.ANCHORARRAY(C79))</f>
        <v>1.8538575586128852E-2</v>
      </c>
      <c r="D80"/>
      <c r="E80"/>
      <c r="G80"/>
    </row>
    <row r="81" spans="1:10" x14ac:dyDescent="0.25">
      <c r="A81" t="s">
        <v>4</v>
      </c>
      <c r="B81" s="16" t="s">
        <v>5</v>
      </c>
      <c r="C81" cm="1">
        <f t="array" ref="C81:E81">C74:E74+C80*(C79:E79)</f>
        <v>1.4667800307014591</v>
      </c>
      <c r="D81">
        <v>1.6994401075014327</v>
      </c>
      <c r="E81">
        <v>-0.74106522461882196</v>
      </c>
      <c r="G81"/>
      <c r="J81" s="2"/>
    </row>
    <row r="82" spans="1:10" x14ac:dyDescent="0.25">
      <c r="A82" s="1">
        <f>1+A75</f>
        <v>12</v>
      </c>
      <c r="B82" t="s">
        <v>6</v>
      </c>
      <c r="C82" s="13">
        <f t="shared" ref="C82" si="120">3*C81-D81^3-0.5*C81*E81</f>
        <v>3.5682597955549511E-2</v>
      </c>
      <c r="D82" s="14">
        <f t="shared" ref="D82" si="121">C81^2-(D81+0.1)^2+2*E81+0.9</f>
        <v>-1.6686714912578382</v>
      </c>
      <c r="E82" s="14">
        <f t="shared" ref="E82" si="122">EXP(-C81)+1/D81+1.5*E81+2</f>
        <v>1.7074982868724875</v>
      </c>
      <c r="G82" s="1">
        <f>0.5*(C82*C82+D82*D82+E82*E82)</f>
        <v>2.8506440966029976</v>
      </c>
    </row>
    <row r="83" spans="1:10" x14ac:dyDescent="0.25">
      <c r="C83" s="17">
        <f t="shared" ref="C83" si="123">3-0.5*E81</f>
        <v>3.370532612309411</v>
      </c>
      <c r="D83" s="18">
        <f t="shared" ref="D83" si="124">-3*D81^2</f>
        <v>-8.6642900369534424</v>
      </c>
      <c r="E83" s="19">
        <f t="shared" ref="E83" si="125">-0.5*C81</f>
        <v>-0.73339001535072956</v>
      </c>
    </row>
    <row r="84" spans="1:10" x14ac:dyDescent="0.25">
      <c r="B84" t="s">
        <v>7</v>
      </c>
      <c r="C84" s="20">
        <f t="shared" ref="C84" si="126">2*C81</f>
        <v>2.9335600614029183</v>
      </c>
      <c r="D84" s="14">
        <f t="shared" ref="D84" si="127">-2*(D81+0.1)</f>
        <v>-3.5988802150028656</v>
      </c>
      <c r="E84" s="21">
        <f>2</f>
        <v>2</v>
      </c>
    </row>
    <row r="85" spans="1:10" x14ac:dyDescent="0.25">
      <c r="C85" s="22">
        <f t="shared" ref="C85" si="128">-EXP(-C81)</f>
        <v>-0.23066703142733297</v>
      </c>
      <c r="D85" s="23">
        <f t="shared" ref="D85" si="129">-1/D81^2</f>
        <v>-0.34624879675136849</v>
      </c>
      <c r="E85" s="24">
        <f t="shared" ref="E85" si="130">1.5</f>
        <v>1.5</v>
      </c>
    </row>
    <row r="86" spans="1:10" x14ac:dyDescent="0.25">
      <c r="B86" t="s">
        <v>12</v>
      </c>
      <c r="C86" cm="1">
        <f t="array" ref="C86:E86">-MMULT(C82:E82,C83:E85)</f>
        <v>5.1687422432546715</v>
      </c>
      <c r="D86">
        <v>-5.1049652099836562</v>
      </c>
      <c r="E86">
        <v>0.80226481326931953</v>
      </c>
      <c r="F86">
        <f>F79</f>
        <v>1</v>
      </c>
      <c r="G86"/>
    </row>
    <row r="87" spans="1:10" x14ac:dyDescent="0.25">
      <c r="B87" t="s">
        <v>13</v>
      </c>
      <c r="C87">
        <f t="shared" ref="C87" si="131">G82/SUMPRODUCT(_xlfn.ANCHORARRAY(C86),_xlfn.ANCHORARRAY(C86))</f>
        <v>5.3362667366622395E-2</v>
      </c>
      <c r="D87"/>
      <c r="E87"/>
      <c r="G87"/>
    </row>
    <row r="88" spans="1:10" x14ac:dyDescent="0.25">
      <c r="A88" t="s">
        <v>4</v>
      </c>
      <c r="B88" s="16" t="s">
        <v>5</v>
      </c>
      <c r="C88" cm="1">
        <f t="array" ref="C88:E88">C81:E81+C87*(C86:E86)</f>
        <v>1.7425979037320678</v>
      </c>
      <c r="D88">
        <v>1.4270255470828952</v>
      </c>
      <c r="E88">
        <v>-0.69825423424838584</v>
      </c>
      <c r="G88"/>
    </row>
    <row r="89" spans="1:10" x14ac:dyDescent="0.25">
      <c r="A89" s="1">
        <f>1+A82</f>
        <v>13</v>
      </c>
      <c r="B89" t="s">
        <v>6</v>
      </c>
      <c r="C89" s="13">
        <f t="shared" ref="C89" si="132">3*C88-D88^3-0.5*C88*E88</f>
        <v>2.9301843410415214</v>
      </c>
      <c r="D89" s="14">
        <f t="shared" ref="D89" si="133">C88^2-(D88+0.1)^2+2*E88+0.9</f>
        <v>0.20833196415081001</v>
      </c>
      <c r="E89" s="14">
        <f t="shared" ref="E89" si="134">EXP(-C88)+1/D88+1.5*E88+2</f>
        <v>1.8284419584321616</v>
      </c>
      <c r="G89" s="1">
        <f>0.5*(C89*C89+D89*D89+E89*E89)</f>
        <v>5.9862912375635542</v>
      </c>
    </row>
    <row r="90" spans="1:10" x14ac:dyDescent="0.25">
      <c r="C90" s="17">
        <f t="shared" ref="C90" si="135">3-0.5*E88</f>
        <v>3.3491271171241928</v>
      </c>
      <c r="D90" s="18">
        <f t="shared" ref="D90" si="136">-3*D88^2</f>
        <v>-6.1092057360817096</v>
      </c>
      <c r="E90" s="19">
        <f t="shared" ref="E90" si="137">-0.5*C88</f>
        <v>-0.8712989518660339</v>
      </c>
    </row>
    <row r="91" spans="1:10" x14ac:dyDescent="0.25">
      <c r="B91" t="s">
        <v>7</v>
      </c>
      <c r="C91" s="20">
        <f t="shared" ref="C91" si="138">2*C88</f>
        <v>3.4851958074641356</v>
      </c>
      <c r="D91" s="14">
        <f t="shared" ref="D91" si="139">-2*(D88+0.1)</f>
        <v>-3.0540510941657906</v>
      </c>
      <c r="E91" s="21">
        <f>2</f>
        <v>2</v>
      </c>
    </row>
    <row r="92" spans="1:10" x14ac:dyDescent="0.25">
      <c r="C92" s="22">
        <f t="shared" ref="C92" si="140">-EXP(-C88)</f>
        <v>-0.17506500730329924</v>
      </c>
      <c r="D92" s="23">
        <f t="shared" ref="D92" si="141">-1/D88^2</f>
        <v>-0.49106219852470123</v>
      </c>
      <c r="E92" s="24">
        <f t="shared" ref="E92" si="142">1.5</f>
        <v>1.5</v>
      </c>
    </row>
    <row r="93" spans="1:10" x14ac:dyDescent="0.25">
      <c r="B93" t="s">
        <v>12</v>
      </c>
      <c r="C93" cm="1">
        <f t="array" ref="C93:E93">-MMULT(C89:E89,C90:E92)</f>
        <v>-10.21954131796743</v>
      </c>
      <c r="D93">
        <v>19.435234175114665</v>
      </c>
      <c r="E93">
        <v>-0.60626032082611969</v>
      </c>
      <c r="F93">
        <f>F86</f>
        <v>1</v>
      </c>
      <c r="G93"/>
    </row>
    <row r="94" spans="1:10" x14ac:dyDescent="0.25">
      <c r="B94" t="s">
        <v>13</v>
      </c>
      <c r="C94">
        <f t="shared" ref="C94" si="143">G89/SUMPRODUCT(_xlfn.ANCHORARRAY(C93),_xlfn.ANCHORARRAY(C93))</f>
        <v>1.2405923780477961E-2</v>
      </c>
      <c r="D94"/>
      <c r="E94"/>
      <c r="G94"/>
    </row>
    <row r="95" spans="1:10" x14ac:dyDescent="0.25">
      <c r="A95" t="s">
        <v>4</v>
      </c>
      <c r="B95" s="16" t="s">
        <v>5</v>
      </c>
      <c r="C95" cm="1">
        <f t="array" ref="C95:E95">C88:E88+C94*(C93:E93)</f>
        <v>1.6158150530699187</v>
      </c>
      <c r="D95">
        <v>1.6681375809151082</v>
      </c>
      <c r="E95">
        <v>-0.70577545357968274</v>
      </c>
      <c r="G95"/>
    </row>
    <row r="96" spans="1:10" x14ac:dyDescent="0.25">
      <c r="A96" s="1">
        <f>1+A89</f>
        <v>14</v>
      </c>
      <c r="B96" t="s">
        <v>6</v>
      </c>
      <c r="C96" s="13">
        <f t="shared" ref="C96" si="144">3*C95-D95^3-0.5*C95*E95</f>
        <v>0.77574839070767909</v>
      </c>
      <c r="D96" s="14">
        <f t="shared" ref="D96" si="145">C95^2-(D95+0.1)^2+2*E95+0.9</f>
        <v>-1.0270031264763526</v>
      </c>
      <c r="E96" s="14">
        <f t="shared" ref="E96" si="146">EXP(-C95)+1/D95+1.5*E95+2</f>
        <v>1.7395363874581542</v>
      </c>
      <c r="G96" s="1">
        <f>0.5*(C96*C96+D96*D96+E96*E96)</f>
        <v>2.3412539153843612</v>
      </c>
    </row>
    <row r="97" spans="1:7" x14ac:dyDescent="0.25">
      <c r="C97" s="17">
        <f t="shared" ref="C97" si="147">3-0.5*E95</f>
        <v>3.3528877267898416</v>
      </c>
      <c r="D97" s="18">
        <f t="shared" ref="D97" si="148">-3*D95^2</f>
        <v>-8.3480489665839279</v>
      </c>
      <c r="E97" s="19">
        <f t="shared" ref="E97" si="149">-0.5*C95</f>
        <v>-0.80790752653495934</v>
      </c>
    </row>
    <row r="98" spans="1:7" x14ac:dyDescent="0.25">
      <c r="B98" t="s">
        <v>7</v>
      </c>
      <c r="C98" s="20">
        <f t="shared" ref="C98" si="150">2*C95</f>
        <v>3.2316301061398374</v>
      </c>
      <c r="D98" s="14">
        <f t="shared" ref="D98" si="151">-2*(D95+0.1)</f>
        <v>-3.5362751618302166</v>
      </c>
      <c r="E98" s="21">
        <f>2</f>
        <v>2</v>
      </c>
    </row>
    <row r="99" spans="1:7" x14ac:dyDescent="0.25">
      <c r="C99" s="22">
        <f t="shared" ref="C99" si="152">-EXP(-C95)</f>
        <v>-0.1987286300340346</v>
      </c>
      <c r="D99" s="23">
        <f t="shared" ref="D99" si="153">-1/D95^2</f>
        <v>-0.35936540525919053</v>
      </c>
      <c r="E99" s="24">
        <f t="shared" ref="E99" si="154">1.5</f>
        <v>1.5</v>
      </c>
    </row>
    <row r="100" spans="1:7" x14ac:dyDescent="0.25">
      <c r="B100" t="s">
        <v>12</v>
      </c>
      <c r="C100" cm="1">
        <f t="array" ref="C100:E100">-MMULT(C96:E96,C97:E99)</f>
        <v>1.063592647513885</v>
      </c>
      <c r="D100">
        <v>3.4693491029380916</v>
      </c>
      <c r="E100">
        <v>7.1434635315589912E-2</v>
      </c>
      <c r="F100">
        <f>F93</f>
        <v>1</v>
      </c>
      <c r="G100"/>
    </row>
    <row r="101" spans="1:7" x14ac:dyDescent="0.25">
      <c r="B101" t="s">
        <v>13</v>
      </c>
      <c r="C101">
        <f t="shared" ref="C101" si="155">G96/SUMPRODUCT(_xlfn.ANCHORARRAY(C100),_xlfn.ANCHORARRAY(C100))</f>
        <v>0.17773510167360271</v>
      </c>
      <c r="D101"/>
      <c r="E101"/>
      <c r="G101"/>
    </row>
    <row r="102" spans="1:7" x14ac:dyDescent="0.25">
      <c r="A102" t="s">
        <v>4</v>
      </c>
      <c r="B102" s="16" t="s">
        <v>5</v>
      </c>
      <c r="C102" cm="1">
        <f t="array" ref="C102:E102">C95:E95+C101*(C100:E100)</f>
        <v>1.8048528004150954</v>
      </c>
      <c r="D102">
        <v>2.2847626964670322</v>
      </c>
      <c r="E102">
        <v>-0.69307901140884964</v>
      </c>
      <c r="G102"/>
    </row>
    <row r="103" spans="1:7" x14ac:dyDescent="0.25">
      <c r="A103" s="1">
        <f>1+A96</f>
        <v>15</v>
      </c>
      <c r="B103" t="s">
        <v>6</v>
      </c>
      <c r="C103" s="13">
        <f t="shared" ref="C103" si="156">3*C102-D102^3-0.5*C102*E102</f>
        <v>-5.8867712670248844</v>
      </c>
      <c r="D103" s="14">
        <f t="shared" ref="D103" si="157">C102^2-(D102+0.1)^2+2*E102+0.9</f>
        <v>-2.9157575101121975</v>
      </c>
      <c r="E103" s="14">
        <f t="shared" ref="E103" si="158">EXP(-C102)+1/D102+1.5*E102+2</f>
        <v>1.5625623678071683</v>
      </c>
      <c r="G103" s="1">
        <f>0.5*(C103*C103+D103*D103+E103*E103)</f>
        <v>22.798659480666295</v>
      </c>
    </row>
    <row r="104" spans="1:7" x14ac:dyDescent="0.25">
      <c r="C104" s="17">
        <f t="shared" ref="C104" si="159">3-0.5*E102</f>
        <v>3.3465395057044249</v>
      </c>
      <c r="D104" s="18">
        <f t="shared" ref="D104" si="160">-3*D102^2</f>
        <v>-15.660421737501913</v>
      </c>
      <c r="E104" s="19">
        <f t="shared" ref="E104" si="161">-0.5*C102</f>
        <v>-0.90242640020754772</v>
      </c>
    </row>
    <row r="105" spans="1:7" x14ac:dyDescent="0.25">
      <c r="B105" t="s">
        <v>7</v>
      </c>
      <c r="C105" s="20">
        <f t="shared" ref="C105" si="162">2*C102</f>
        <v>3.6097056008301909</v>
      </c>
      <c r="D105" s="14">
        <f t="shared" ref="D105" si="163">-2*(D102+0.1)</f>
        <v>-4.7695253929340646</v>
      </c>
      <c r="E105" s="21">
        <f>2</f>
        <v>2</v>
      </c>
    </row>
    <row r="106" spans="1:7" x14ac:dyDescent="0.25">
      <c r="C106" s="22">
        <f t="shared" ref="C106" si="164">-EXP(-C102)</f>
        <v>-0.16449866893087095</v>
      </c>
      <c r="D106" s="23">
        <f t="shared" ref="D106" si="165">-1/D102^2</f>
        <v>-0.19156572219354215</v>
      </c>
      <c r="E106" s="24">
        <f t="shared" ref="E106" si="166">1.5</f>
        <v>1.5</v>
      </c>
    </row>
    <row r="107" spans="1:7" x14ac:dyDescent="0.25">
      <c r="B107" t="s">
        <v>12</v>
      </c>
      <c r="C107" cm="1">
        <f t="array" ref="C107:E107">-MMULT(C103:E103,C104:E106)</f>
        <v>30.48237825068491</v>
      </c>
      <c r="D107">
        <v>-105.79676680947507</v>
      </c>
      <c r="E107">
        <v>-1.8247063348328485</v>
      </c>
      <c r="F107">
        <f>F100</f>
        <v>1</v>
      </c>
      <c r="G107"/>
    </row>
    <row r="108" spans="1:7" x14ac:dyDescent="0.25">
      <c r="B108" t="s">
        <v>13</v>
      </c>
      <c r="C108">
        <f t="shared" ref="C108" si="167">G103/SUMPRODUCT(_xlfn.ANCHORARRAY(C107),_xlfn.ANCHORARRAY(C107))</f>
        <v>1.8802303556545857E-3</v>
      </c>
      <c r="D108"/>
      <c r="E108"/>
      <c r="G108"/>
    </row>
    <row r="109" spans="1:7" x14ac:dyDescent="0.25">
      <c r="A109" t="s">
        <v>4</v>
      </c>
      <c r="B109" s="16" t="s">
        <v>5</v>
      </c>
      <c r="C109" cm="1">
        <f t="array" ref="C109:E109">C102:E102+C108*(C107:E107)</f>
        <v>1.8621666933145784</v>
      </c>
      <c r="D109">
        <v>2.0858404039817477</v>
      </c>
      <c r="E109">
        <v>-0.69650987964975764</v>
      </c>
      <c r="G109"/>
    </row>
    <row r="110" spans="1:7" x14ac:dyDescent="0.25">
      <c r="A110" s="1">
        <f>1+A103</f>
        <v>16</v>
      </c>
      <c r="B110" t="s">
        <v>6</v>
      </c>
      <c r="C110" s="13">
        <f t="shared" ref="C110" si="168">3*C109-D109^3-0.5*C109*E109</f>
        <v>-2.8399199892985441</v>
      </c>
      <c r="D110" s="14">
        <f t="shared" ref="D110" si="169">C109^2-(D109+0.1)^2+2*E109+0.9</f>
        <v>-1.8032532372884549</v>
      </c>
      <c r="E110" s="14">
        <f t="shared" ref="E110" si="170">EXP(-C109)+1/D109+1.5*E109+2</f>
        <v>1.5899939463917876</v>
      </c>
      <c r="G110" s="1">
        <f>0.5*(C110*C110+D110*D110+E110*E110)</f>
        <v>6.9224742664856329</v>
      </c>
    </row>
    <row r="111" spans="1:7" x14ac:dyDescent="0.25">
      <c r="C111" s="17">
        <f t="shared" ref="C111" si="171">3-0.5*E109</f>
        <v>3.3482549398248787</v>
      </c>
      <c r="D111" s="18">
        <f t="shared" ref="D111" si="172">-3*D109^2</f>
        <v>-13.052190572648222</v>
      </c>
      <c r="E111" s="19">
        <f t="shared" ref="E111" si="173">-0.5*C109</f>
        <v>-0.9310833466572892</v>
      </c>
    </row>
    <row r="112" spans="1:7" x14ac:dyDescent="0.25">
      <c r="B112" t="s">
        <v>7</v>
      </c>
      <c r="C112" s="20">
        <f t="shared" ref="C112" si="174">2*C109</f>
        <v>3.7243333866291568</v>
      </c>
      <c r="D112" s="14">
        <f t="shared" ref="D112" si="175">-2*(D109+0.1)</f>
        <v>-4.3716808079634957</v>
      </c>
      <c r="E112" s="21">
        <f>2</f>
        <v>2</v>
      </c>
    </row>
    <row r="113" spans="1:7" x14ac:dyDescent="0.25">
      <c r="C113" s="22">
        <f t="shared" ref="C113" si="176">-EXP(-C109)</f>
        <v>-0.15533570066399607</v>
      </c>
      <c r="D113" s="23">
        <f t="shared" ref="D113" si="177">-1/D109^2</f>
        <v>-0.22984647544809145</v>
      </c>
      <c r="E113" s="24">
        <f t="shared" ref="E113" si="178">1.5</f>
        <v>1.5</v>
      </c>
    </row>
    <row r="114" spans="1:7" x14ac:dyDescent="0.25">
      <c r="B114" t="s">
        <v>12</v>
      </c>
      <c r="C114" cm="1">
        <f t="array" ref="C114:E114">-MMULT(C110:E110,C111:E113)</f>
        <v>16.471675192771048</v>
      </c>
      <c r="D114">
        <v>-44.584969976187722</v>
      </c>
      <c r="E114">
        <v>-1.4226866528857927</v>
      </c>
      <c r="F114">
        <f>F107</f>
        <v>1</v>
      </c>
      <c r="G114"/>
    </row>
    <row r="115" spans="1:7" x14ac:dyDescent="0.25">
      <c r="B115" t="s">
        <v>13</v>
      </c>
      <c r="C115">
        <f t="shared" ref="C115" si="179">G110/SUMPRODUCT(_xlfn.ANCHORARRAY(C114),_xlfn.ANCHORARRAY(C114))</f>
        <v>3.0614707851766569E-3</v>
      </c>
      <c r="D115"/>
      <c r="E115"/>
      <c r="G115"/>
    </row>
    <row r="116" spans="1:7" x14ac:dyDescent="0.25">
      <c r="A116" t="s">
        <v>4</v>
      </c>
      <c r="B116" s="16" t="s">
        <v>5</v>
      </c>
      <c r="C116" cm="1">
        <f t="array" ref="C116:E116">C109:E109+C115*(C114:E114)</f>
        <v>1.9125942457001661</v>
      </c>
      <c r="D116">
        <v>1.9493448209416706</v>
      </c>
      <c r="E116">
        <v>-0.7008653932740283</v>
      </c>
      <c r="G116"/>
    </row>
    <row r="117" spans="1:7" x14ac:dyDescent="0.25">
      <c r="A117" s="1">
        <f>1+A110</f>
        <v>17</v>
      </c>
      <c r="B117" t="s">
        <v>6</v>
      </c>
      <c r="C117" s="13">
        <f t="shared" ref="C117" si="180">3*C116-D116^3-0.5*C116*E116</f>
        <v>-0.99938525958587365</v>
      </c>
      <c r="D117" s="14">
        <f t="shared" ref="D117" si="181">C116^2-(D116+0.1)^2+2*E116+0.9</f>
        <v>-1.0435282329831179</v>
      </c>
      <c r="E117" s="14">
        <f t="shared" ref="E117" si="182">EXP(-C116)+1/D116+1.5*E116+2</f>
        <v>1.6093915105629122</v>
      </c>
      <c r="G117" s="1">
        <f>0.5*(C117*C117+D117*D117+E117*E117)</f>
        <v>2.3389315521911822</v>
      </c>
    </row>
    <row r="118" spans="1:7" x14ac:dyDescent="0.25">
      <c r="C118" s="17">
        <f t="shared" ref="C118" si="183">3-0.5*E116</f>
        <v>3.3504326966370144</v>
      </c>
      <c r="D118" s="18">
        <f t="shared" ref="D118" si="184">-3*D116^2</f>
        <v>-11.399835692796342</v>
      </c>
      <c r="E118" s="19">
        <f t="shared" ref="E118" si="185">-0.5*C116</f>
        <v>-0.95629712285008306</v>
      </c>
    </row>
    <row r="119" spans="1:7" x14ac:dyDescent="0.25">
      <c r="B119" t="s">
        <v>7</v>
      </c>
      <c r="C119" s="20">
        <f t="shared" ref="C119" si="186">2*C116</f>
        <v>3.8251884914003322</v>
      </c>
      <c r="D119" s="14">
        <f t="shared" ref="D119" si="187">-2*(D116+0.1)</f>
        <v>-4.0986896418833414</v>
      </c>
      <c r="E119" s="21">
        <f>2</f>
        <v>2</v>
      </c>
    </row>
    <row r="120" spans="1:7" x14ac:dyDescent="0.25">
      <c r="C120" s="22">
        <f t="shared" ref="C120" si="188">-EXP(-C116)</f>
        <v>-0.14769672755733554</v>
      </c>
      <c r="D120" s="23">
        <f t="shared" ref="D120" si="189">-1/D116^2</f>
        <v>-0.26316168766324649</v>
      </c>
      <c r="E120" s="24">
        <f t="shared" ref="E120" si="190">1.5</f>
        <v>1.5</v>
      </c>
    </row>
    <row r="121" spans="1:7" x14ac:dyDescent="0.25">
      <c r="B121" t="s">
        <v>12</v>
      </c>
      <c r="C121" cm="1">
        <f t="array" ref="C121:E121">-MMULT(C117:E117,C118:E120)</f>
        <v>7.5777670969806277</v>
      </c>
      <c r="D121">
        <v>-15.246395926591674</v>
      </c>
      <c r="E121">
        <v>-1.2827400482388867</v>
      </c>
      <c r="F121">
        <f>F114</f>
        <v>1</v>
      </c>
      <c r="G121"/>
    </row>
    <row r="122" spans="1:7" x14ac:dyDescent="0.25">
      <c r="B122" t="s">
        <v>13</v>
      </c>
      <c r="C122">
        <f t="shared" ref="C122" si="191">G117/SUMPRODUCT(_xlfn.ANCHORARRAY(C121),_xlfn.ANCHORARRAY(C121))</f>
        <v>8.023212882183892E-3</v>
      </c>
      <c r="D122"/>
      <c r="E122"/>
      <c r="G122"/>
    </row>
    <row r="123" spans="1:7" x14ac:dyDescent="0.25">
      <c r="A123" t="s">
        <v>4</v>
      </c>
      <c r="B123" s="16" t="s">
        <v>5</v>
      </c>
      <c r="C123" cm="1">
        <f t="array" ref="C123:E123">C116:E116+C122*(C121:E121)</f>
        <v>1.9733922842908502</v>
      </c>
      <c r="D123">
        <v>1.8270197407365643</v>
      </c>
      <c r="E123">
        <v>-0.71115708975355174</v>
      </c>
      <c r="G123"/>
    </row>
    <row r="124" spans="1:7" x14ac:dyDescent="0.25">
      <c r="A124" s="1">
        <f>1+A117</f>
        <v>18</v>
      </c>
      <c r="B124" t="s">
        <v>6</v>
      </c>
      <c r="C124" s="13">
        <f t="shared" ref="C124" si="192">3*C123-D123^3-0.5*C123*E123</f>
        <v>0.52327884512463563</v>
      </c>
      <c r="D124" s="14">
        <f t="shared" ref="D124" si="193">C123^2-(D123+0.1)^2+2*E123+0.9</f>
        <v>-0.34144215299685932</v>
      </c>
      <c r="E124" s="14">
        <f t="shared" ref="E124" si="194">EXP(-C123)+1/D123+1.5*E123+2</f>
        <v>1.6195884067101614</v>
      </c>
      <c r="G124" s="1">
        <f>0.5*(C124*C124+D124*D124+E124*E124)</f>
        <v>1.5067350503740309</v>
      </c>
    </row>
    <row r="125" spans="1:7" x14ac:dyDescent="0.25">
      <c r="C125" s="17">
        <f t="shared" ref="C125" si="195">3-0.5*E123</f>
        <v>3.3555785448767761</v>
      </c>
      <c r="D125" s="18">
        <f t="shared" ref="D125" si="196">-3*D123^2</f>
        <v>-10.014003399123308</v>
      </c>
      <c r="E125" s="19">
        <f t="shared" ref="E125" si="197">-0.5*C123</f>
        <v>-0.98669614214542511</v>
      </c>
    </row>
    <row r="126" spans="1:7" x14ac:dyDescent="0.25">
      <c r="B126" t="s">
        <v>7</v>
      </c>
      <c r="C126" s="20">
        <f t="shared" ref="C126" si="198">2*C123</f>
        <v>3.9467845685817005</v>
      </c>
      <c r="D126" s="14">
        <f t="shared" ref="D126" si="199">-2*(D123+0.1)</f>
        <v>-3.8540394814731287</v>
      </c>
      <c r="E126" s="21">
        <f>2</f>
        <v>2</v>
      </c>
    </row>
    <row r="127" spans="1:7" x14ac:dyDescent="0.25">
      <c r="C127" s="22">
        <f t="shared" ref="C127" si="200">-EXP(-C123)</f>
        <v>-0.13898458041225104</v>
      </c>
      <c r="D127" s="23">
        <f t="shared" ref="D127" si="201">-1/D123^2</f>
        <v>-0.29958048548921407</v>
      </c>
      <c r="E127" s="24">
        <f t="shared" ref="E127" si="202">1.5</f>
        <v>1.5</v>
      </c>
    </row>
    <row r="128" spans="1:7" x14ac:dyDescent="0.25">
      <c r="B128" t="s">
        <v>12</v>
      </c>
      <c r="C128" cm="1">
        <f t="array" ref="C128:E128">-MMULT(C124:E124,C125:E127)</f>
        <v>-0.18320683002965024</v>
      </c>
      <c r="D128">
        <v>4.4093816766532683</v>
      </c>
      <c r="E128">
        <v>-1.2301810863207323</v>
      </c>
      <c r="F128">
        <f>F121</f>
        <v>1</v>
      </c>
      <c r="G128"/>
    </row>
    <row r="129" spans="1:7" x14ac:dyDescent="0.25">
      <c r="B129" t="s">
        <v>13</v>
      </c>
      <c r="C129">
        <f t="shared" ref="C129" si="203">G124/SUMPRODUCT(_xlfn.ANCHORARRAY(C128),_xlfn.ANCHORARRAY(C128))</f>
        <v>7.1784985699009679E-2</v>
      </c>
      <c r="D129"/>
      <c r="E129"/>
      <c r="G129"/>
    </row>
    <row r="130" spans="1:7" x14ac:dyDescent="0.25">
      <c r="A130" t="s">
        <v>4</v>
      </c>
      <c r="B130" s="16" t="s">
        <v>5</v>
      </c>
      <c r="C130" cm="1">
        <f t="array" ref="C130:E130">C123:E123+C129*(C128:E128)</f>
        <v>1.960240784617211</v>
      </c>
      <c r="D130">
        <v>2.1435471413365943</v>
      </c>
      <c r="E130">
        <v>-0.79946562144227773</v>
      </c>
      <c r="G130"/>
    </row>
    <row r="131" spans="1:7" x14ac:dyDescent="0.25">
      <c r="A131" s="1">
        <f>1+A124</f>
        <v>19</v>
      </c>
      <c r="B131" t="s">
        <v>6</v>
      </c>
      <c r="C131" s="13">
        <f t="shared" ref="C131" si="204">3*C130-D130^3-0.5*C130*E130</f>
        <v>-3.1848633754480713</v>
      </c>
      <c r="D131" s="14">
        <f t="shared" ref="D131" si="205">C130^2-(D130+0.1)^2+2*E130+0.9</f>
        <v>-1.8898910846074615</v>
      </c>
      <c r="E131" s="14">
        <f t="shared" ref="E131" si="206">EXP(-C130)+1/D130+1.5*E130+2</f>
        <v>1.4081425250008488</v>
      </c>
      <c r="G131" s="1">
        <f>0.5*(C131*C131+D131*D131+E131*E131)</f>
        <v>7.848954201332508</v>
      </c>
    </row>
    <row r="132" spans="1:7" x14ac:dyDescent="0.25">
      <c r="C132" s="17">
        <f t="shared" ref="C132" si="207">3-0.5*E130</f>
        <v>3.3997328107211389</v>
      </c>
      <c r="D132" s="18">
        <f t="shared" ref="D132" si="208">-3*D130^2</f>
        <v>-13.784383041396854</v>
      </c>
      <c r="E132" s="19">
        <f t="shared" ref="E132" si="209">-0.5*C130</f>
        <v>-0.98012039230860548</v>
      </c>
    </row>
    <row r="133" spans="1:7" x14ac:dyDescent="0.25">
      <c r="B133" t="s">
        <v>7</v>
      </c>
      <c r="C133" s="20">
        <f t="shared" ref="C133" si="210">2*C130</f>
        <v>3.9204815692344219</v>
      </c>
      <c r="D133" s="14">
        <f t="shared" ref="D133" si="211">-2*(D130+0.1)</f>
        <v>-4.4870942826731888</v>
      </c>
      <c r="E133" s="21">
        <f>2</f>
        <v>2</v>
      </c>
    </row>
    <row r="134" spans="1:7" x14ac:dyDescent="0.25">
      <c r="C134" s="22">
        <f t="shared" ref="C134" si="212">-EXP(-C130)</f>
        <v>-0.14082450846304553</v>
      </c>
      <c r="D134" s="23">
        <f t="shared" ref="D134" si="213">-1/D130^2</f>
        <v>-0.21763759690879803</v>
      </c>
      <c r="E134" s="24">
        <f t="shared" ref="E134" si="214">1.5</f>
        <v>1.5</v>
      </c>
    </row>
    <row r="135" spans="1:7" x14ac:dyDescent="0.25">
      <c r="B135" t="s">
        <v>12</v>
      </c>
      <c r="C135" cm="1">
        <f t="array" ref="C135:E135">-MMULT(C131:E131,C132:E134)</f>
        <v>18.435268659168049</v>
      </c>
      <c r="D135">
        <v>-52.07503142706323</v>
      </c>
      <c r="E135">
        <v>-1.4539811592798233</v>
      </c>
      <c r="F135">
        <f>F128</f>
        <v>1</v>
      </c>
      <c r="G135"/>
    </row>
    <row r="136" spans="1:7" x14ac:dyDescent="0.25">
      <c r="B136" t="s">
        <v>13</v>
      </c>
      <c r="C136">
        <f t="shared" ref="C136" si="215">G131/SUMPRODUCT(_xlfn.ANCHORARRAY(C135),_xlfn.ANCHORARRAY(C135))</f>
        <v>2.5702404331178026E-3</v>
      </c>
      <c r="D136"/>
      <c r="E136"/>
      <c r="G136"/>
    </row>
    <row r="137" spans="1:7" x14ac:dyDescent="0.25">
      <c r="A137" t="s">
        <v>4</v>
      </c>
      <c r="B137" s="16" t="s">
        <v>5</v>
      </c>
      <c r="C137" cm="1">
        <f t="array" ref="C137:E137">C130:E130+C136*(C135:E135)</f>
        <v>2.007623857520394</v>
      </c>
      <c r="D137">
        <v>2.0097017900068761</v>
      </c>
      <c r="E137">
        <v>-0.80320270260685023</v>
      </c>
      <c r="G137"/>
    </row>
    <row r="138" spans="1:7" x14ac:dyDescent="0.25">
      <c r="A138" s="1">
        <f>1+A131</f>
        <v>20</v>
      </c>
      <c r="B138" t="s">
        <v>6</v>
      </c>
      <c r="C138" s="13">
        <f t="shared" ref="C138" si="216">3*C137-D137^3-0.5*C137*E137</f>
        <v>-1.2878511149865306</v>
      </c>
      <c r="D138" s="14">
        <f t="shared" ref="D138" si="217">C137^2-(D137+0.1)^2+2*E137+0.9</f>
        <v>-1.1266934946868514</v>
      </c>
      <c r="E138" s="14">
        <f t="shared" ref="E138" si="218">EXP(-C137)+1/D137+1.5*E137+2</f>
        <v>1.4270896367848764</v>
      </c>
      <c r="G138" s="1">
        <f>0.5*(C138*C138+D138*D138+E138*E138)</f>
        <v>2.4822917783802554</v>
      </c>
    </row>
    <row r="139" spans="1:7" x14ac:dyDescent="0.25">
      <c r="C139" s="17">
        <f t="shared" ref="C139" si="219">3-0.5*E137</f>
        <v>3.4016013513034249</v>
      </c>
      <c r="D139" s="18">
        <f t="shared" ref="D139" si="220">-3*D137^2</f>
        <v>-12.116703854270526</v>
      </c>
      <c r="E139" s="19">
        <f t="shared" ref="E139" si="221">-0.5*C137</f>
        <v>-1.003811928760197</v>
      </c>
    </row>
    <row r="140" spans="1:7" x14ac:dyDescent="0.25">
      <c r="B140" t="s">
        <v>7</v>
      </c>
      <c r="C140" s="20">
        <f t="shared" ref="C140" si="222">2*C137</f>
        <v>4.0152477150407879</v>
      </c>
      <c r="D140" s="14">
        <f t="shared" ref="D140" si="223">-2*(D137+0.1)</f>
        <v>-4.2194035800137524</v>
      </c>
      <c r="E140" s="21">
        <f>2</f>
        <v>2</v>
      </c>
    </row>
    <row r="141" spans="1:7" x14ac:dyDescent="0.25">
      <c r="C141" s="22">
        <f t="shared" ref="C141" si="224">-EXP(-C137)</f>
        <v>-0.13430742940382936</v>
      </c>
      <c r="D141" s="23">
        <f t="shared" ref="D141" si="225">-1/D137^2</f>
        <v>-0.24759208742587627</v>
      </c>
      <c r="E141" s="24">
        <f t="shared" ref="E141" si="226">1.5</f>
        <v>1.5</v>
      </c>
    </row>
    <row r="142" spans="1:7" x14ac:dyDescent="0.25">
      <c r="B142" t="s">
        <v>12</v>
      </c>
      <c r="C142" cm="1">
        <f t="array" ref="C142:E142">-MMULT(C138:E138,C139:E141)</f>
        <v>9.0963783137539256</v>
      </c>
      <c r="D142">
        <v>-20.005149031628392</v>
      </c>
      <c r="E142">
        <v>-1.1800077774942115</v>
      </c>
      <c r="F142">
        <f>F135</f>
        <v>1</v>
      </c>
      <c r="G142"/>
    </row>
    <row r="143" spans="1:7" x14ac:dyDescent="0.25">
      <c r="B143" t="s">
        <v>13</v>
      </c>
      <c r="C143">
        <f t="shared" ref="C143" si="227">G138/SUMPRODUCT(_xlfn.ANCHORARRAY(C142),_xlfn.ANCHORARRAY(C142))</f>
        <v>5.1250752412027849E-3</v>
      </c>
      <c r="D143"/>
      <c r="E143"/>
      <c r="G143"/>
    </row>
    <row r="144" spans="1:7" x14ac:dyDescent="0.25">
      <c r="A144" t="s">
        <v>4</v>
      </c>
      <c r="B144" s="16" t="s">
        <v>5</v>
      </c>
      <c r="C144" cm="1">
        <f t="array" ref="C144:E144">C137:E137+C143*(C142:E142)</f>
        <v>2.0542434808008281</v>
      </c>
      <c r="D144">
        <v>1.9071738960083056</v>
      </c>
      <c r="E144">
        <v>-0.80925033125171253</v>
      </c>
      <c r="G144"/>
    </row>
    <row r="145" spans="1:7" x14ac:dyDescent="0.25">
      <c r="A145" s="1">
        <f>1+A138</f>
        <v>21</v>
      </c>
      <c r="B145" t="s">
        <v>6</v>
      </c>
      <c r="C145" s="13">
        <f t="shared" ref="C145" si="228">3*C144-D144^3-0.5*C144*E144</f>
        <v>5.6942038815951057E-2</v>
      </c>
      <c r="D145" s="14">
        <f t="shared" ref="D145" si="229">C144^2-(D144+0.1)^2+2*E144+0.9</f>
        <v>-0.52733143290788298</v>
      </c>
      <c r="E145" s="14">
        <f t="shared" ref="E145" si="230">EXP(-C144)+1/D144+1.5*E144+2</f>
        <v>1.4386503157413966</v>
      </c>
      <c r="G145" s="1">
        <f>0.5*(C145*C145+D145*D145+E145*E145)</f>
        <v>1.175517783450009</v>
      </c>
    </row>
    <row r="146" spans="1:7" x14ac:dyDescent="0.25">
      <c r="C146" s="17">
        <f t="shared" ref="C146" si="231">3-0.5*E144</f>
        <v>3.4046251656258564</v>
      </c>
      <c r="D146" s="18">
        <f t="shared" ref="D146" si="232">-3*D144^2</f>
        <v>-10.911936808846496</v>
      </c>
      <c r="E146" s="19">
        <f t="shared" ref="E146" si="233">-0.5*C144</f>
        <v>-1.027121740400414</v>
      </c>
    </row>
    <row r="147" spans="1:7" x14ac:dyDescent="0.25">
      <c r="B147" t="s">
        <v>7</v>
      </c>
      <c r="C147" s="20">
        <f t="shared" ref="C147" si="234">2*C144</f>
        <v>4.1084869616016562</v>
      </c>
      <c r="D147" s="14">
        <f t="shared" ref="D147" si="235">-2*(D144+0.1)</f>
        <v>-4.0143477920166113</v>
      </c>
      <c r="E147" s="21">
        <f>2</f>
        <v>2</v>
      </c>
    </row>
    <row r="148" spans="1:7" x14ac:dyDescent="0.25">
      <c r="C148" s="22">
        <f t="shared" ref="C148" si="236">-EXP(-C144)</f>
        <v>-0.12818977693129699</v>
      </c>
      <c r="D148" s="23">
        <f t="shared" ref="D148" si="237">-1/D144^2</f>
        <v>-0.27492827832065964</v>
      </c>
      <c r="E148" s="24">
        <f t="shared" ref="E148" si="238">1.5</f>
        <v>1.5</v>
      </c>
    </row>
    <row r="149" spans="1:7" x14ac:dyDescent="0.25">
      <c r="B149" t="s">
        <v>12</v>
      </c>
      <c r="C149" cm="1">
        <f t="array" ref="C149:E149">-MMULT(C145:E145,C146:E148)</f>
        <v>2.1570882812669541</v>
      </c>
      <c r="D149">
        <v>-1.100018189615918</v>
      </c>
      <c r="E149">
        <v>-1.0448262017857413</v>
      </c>
      <c r="F149">
        <f>F142</f>
        <v>1</v>
      </c>
      <c r="G149"/>
    </row>
    <row r="150" spans="1:7" x14ac:dyDescent="0.25">
      <c r="B150" t="s">
        <v>13</v>
      </c>
      <c r="C150">
        <f t="shared" ref="C150" si="239">G145/SUMPRODUCT(_xlfn.ANCHORARRAY(C149),_xlfn.ANCHORARRAY(C149))</f>
        <v>0.1690241752634376</v>
      </c>
      <c r="D150"/>
      <c r="E150"/>
      <c r="G150"/>
    </row>
    <row r="151" spans="1:7" x14ac:dyDescent="0.25">
      <c r="A151" t="s">
        <v>4</v>
      </c>
      <c r="B151" s="16" t="s">
        <v>5</v>
      </c>
      <c r="C151" cm="1">
        <f t="array" ref="C151:E151">C144:E144+C150*(C149:E149)</f>
        <v>2.4188435485124011</v>
      </c>
      <c r="D151">
        <v>1.7212442287336953</v>
      </c>
      <c r="E151">
        <v>-0.98585121830217748</v>
      </c>
      <c r="G151"/>
    </row>
    <row r="152" spans="1:7" x14ac:dyDescent="0.25">
      <c r="A152" s="1">
        <f>1+A145</f>
        <v>22</v>
      </c>
      <c r="B152" t="s">
        <v>6</v>
      </c>
      <c r="C152" s="13">
        <f t="shared" ref="C152" si="240">3*C151-D151^3-0.5*C151*E151</f>
        <v>3.349341806122839</v>
      </c>
      <c r="D152" s="14">
        <f t="shared" ref="D152" si="241">C151^2-(D151+0.1)^2+2*E151+0.9</f>
        <v>1.4621711348799162</v>
      </c>
      <c r="E152" s="14">
        <f t="shared" ref="E152" si="242">EXP(-C151)+1/D151+1.5*E151+2</f>
        <v>1.1912227610003394</v>
      </c>
      <c r="G152" s="1">
        <f>0.5*(C152*C152+D152*D152+E152*E152)</f>
        <v>7.3875233141217471</v>
      </c>
    </row>
    <row r="153" spans="1:7" x14ac:dyDescent="0.25">
      <c r="C153" s="17">
        <f t="shared" ref="C153" si="243">3-0.5*E151</f>
        <v>3.4929256091510887</v>
      </c>
      <c r="D153" s="18">
        <f t="shared" ref="D153" si="244">-3*D151^2</f>
        <v>-8.8880450848471604</v>
      </c>
      <c r="E153" s="19">
        <f t="shared" ref="E153" si="245">-0.5*C151</f>
        <v>-1.2094217742562006</v>
      </c>
    </row>
    <row r="154" spans="1:7" x14ac:dyDescent="0.25">
      <c r="B154" t="s">
        <v>7</v>
      </c>
      <c r="C154" s="20">
        <f t="shared" ref="C154" si="246">2*C151</f>
        <v>4.8376870970248023</v>
      </c>
      <c r="D154" s="14">
        <f t="shared" ref="D154" si="247">-2*(D151+0.1)</f>
        <v>-3.6424884574673908</v>
      </c>
      <c r="E154" s="21">
        <f>2</f>
        <v>2</v>
      </c>
    </row>
    <row r="155" spans="1:7" x14ac:dyDescent="0.25">
      <c r="C155" s="22">
        <f t="shared" ref="C155" si="248">-EXP(-C151)</f>
        <v>-8.9024510480103125E-2</v>
      </c>
      <c r="D155" s="23">
        <f t="shared" ref="D155" si="249">-1/D151^2</f>
        <v>-0.33753204122631741</v>
      </c>
      <c r="E155" s="24">
        <f t="shared" ref="E155" si="250">1.5</f>
        <v>1.5</v>
      </c>
    </row>
    <row r="156" spans="1:7" x14ac:dyDescent="0.25">
      <c r="B156" t="s">
        <v>12</v>
      </c>
      <c r="C156" cm="1">
        <f t="array" ref="C156:E156">-MMULT(C152:E152,C153:E155)</f>
        <v>-18.666480178086697</v>
      </c>
      <c r="D156">
        <v>35.497118309100998</v>
      </c>
      <c r="E156">
        <v>-0.66040950150878985</v>
      </c>
      <c r="F156">
        <f>F149</f>
        <v>1</v>
      </c>
      <c r="G156"/>
    </row>
    <row r="157" spans="1:7" x14ac:dyDescent="0.25">
      <c r="B157" t="s">
        <v>13</v>
      </c>
      <c r="C157">
        <f t="shared" ref="C157" si="251">G152/SUMPRODUCT(_xlfn.ANCHORARRAY(C156),_xlfn.ANCHORARRAY(C156))</f>
        <v>4.5916066445039622E-3</v>
      </c>
      <c r="D157"/>
      <c r="E157"/>
      <c r="G157"/>
    </row>
    <row r="158" spans="1:7" x14ac:dyDescent="0.25">
      <c r="A158" t="s">
        <v>4</v>
      </c>
      <c r="B158" s="16" t="s">
        <v>5</v>
      </c>
      <c r="C158" cm="1">
        <f t="array" ref="C158:E158">C151:E151+C157*(C156:E156)</f>
        <v>2.3331344140971968</v>
      </c>
      <c r="D158">
        <v>1.8842330330225068</v>
      </c>
      <c r="E158">
        <v>-0.98888355895739877</v>
      </c>
      <c r="G158"/>
    </row>
    <row r="159" spans="1:7" x14ac:dyDescent="0.25">
      <c r="A159" s="1">
        <f>1+A152</f>
        <v>23</v>
      </c>
      <c r="B159" t="s">
        <v>6</v>
      </c>
      <c r="C159" s="13">
        <f t="shared" ref="C159" si="252">3*C158-D158^3-0.5*C158*E158</f>
        <v>1.4633455414399326</v>
      </c>
      <c r="D159" s="14">
        <f t="shared" ref="D159" si="253">C158^2-(D158+0.1)^2+2*E158+0.9</f>
        <v>0.42856834699217539</v>
      </c>
      <c r="E159" s="14">
        <f t="shared" ref="E159" si="254">EXP(-C158)+1/D158+1.5*E158+2</f>
        <v>1.1443858385235273</v>
      </c>
      <c r="G159" s="1">
        <f>0.5*(C159*C159+D159*D159+E159*E159)</f>
        <v>1.8173349745544658</v>
      </c>
    </row>
    <row r="160" spans="1:7" x14ac:dyDescent="0.25">
      <c r="C160" s="17">
        <f t="shared" ref="C160" si="255">3-0.5*E158</f>
        <v>3.4944417794786995</v>
      </c>
      <c r="D160" s="18">
        <f t="shared" ref="D160" si="256">-3*D158^2</f>
        <v>-10.651002368199585</v>
      </c>
      <c r="E160" s="19">
        <f t="shared" ref="E160" si="257">-0.5*C158</f>
        <v>-1.1665672070485984</v>
      </c>
    </row>
    <row r="161" spans="1:7" x14ac:dyDescent="0.25">
      <c r="B161" t="s">
        <v>7</v>
      </c>
      <c r="C161" s="20">
        <f t="shared" ref="C161" si="258">2*C158</f>
        <v>4.6662688281943936</v>
      </c>
      <c r="D161" s="14">
        <f t="shared" ref="D161" si="259">-2*(D158+0.1)</f>
        <v>-3.9684660660450137</v>
      </c>
      <c r="E161" s="21">
        <f>2</f>
        <v>2</v>
      </c>
    </row>
    <row r="162" spans="1:7" x14ac:dyDescent="0.25">
      <c r="C162" s="22">
        <f t="shared" ref="C162" si="260">-EXP(-C158)</f>
        <v>-9.6991259372841754E-2</v>
      </c>
      <c r="D162" s="23">
        <f t="shared" ref="D162" si="261">-1/D158^2</f>
        <v>-0.28166363092332231</v>
      </c>
      <c r="E162" s="24">
        <f t="shared" ref="E162" si="262">1.5</f>
        <v>1.5</v>
      </c>
    </row>
    <row r="163" spans="1:7" x14ac:dyDescent="0.25">
      <c r="B163" t="s">
        <v>12</v>
      </c>
      <c r="C163" cm="1">
        <f t="array" ref="C163:E163">-MMULT(C159:E159,C160:E162)</f>
        <v>-7.0023954924551228</v>
      </c>
      <c r="D163">
        <v>17.609187639846244</v>
      </c>
      <c r="E163">
        <v>-0.86662453054504063</v>
      </c>
      <c r="F163">
        <f>F156</f>
        <v>1</v>
      </c>
      <c r="G163"/>
    </row>
    <row r="164" spans="1:7" x14ac:dyDescent="0.25">
      <c r="B164" t="s">
        <v>13</v>
      </c>
      <c r="C164">
        <f t="shared" ref="C164" si="263">G159/SUMPRODUCT(_xlfn.ANCHORARRAY(C163),_xlfn.ANCHORARRAY(C163))</f>
        <v>5.0500033924297735E-3</v>
      </c>
      <c r="D164"/>
      <c r="E164"/>
      <c r="G164"/>
    </row>
    <row r="165" spans="1:7" x14ac:dyDescent="0.25">
      <c r="A165" t="s">
        <v>4</v>
      </c>
      <c r="B165" s="16" t="s">
        <v>5</v>
      </c>
      <c r="C165" cm="1">
        <f t="array" ref="C165:E165">C158:E158+C164*(C163:E163)</f>
        <v>2.2977722931051634</v>
      </c>
      <c r="D165">
        <v>1.9731594903416627</v>
      </c>
      <c r="E165">
        <v>-0.99326001577661405</v>
      </c>
      <c r="G165"/>
    </row>
    <row r="166" spans="1:7" x14ac:dyDescent="0.25">
      <c r="A166" s="1">
        <f>1+A159</f>
        <v>24</v>
      </c>
      <c r="B166" t="s">
        <v>6</v>
      </c>
      <c r="C166" s="13">
        <f t="shared" ref="C166" si="264">3*C165-D165^3-0.5*C165*E165</f>
        <v>0.35224252576454851</v>
      </c>
      <c r="D166" s="14">
        <f t="shared" ref="D166" si="265">C165^2-(D165+0.1)^2+2*E165+0.9</f>
        <v>-0.10475279298516982</v>
      </c>
      <c r="E166" s="14">
        <f t="shared" ref="E166" si="266">EXP(-C165)+1/D165+1.5*E165+2</f>
        <v>1.1173938203256453</v>
      </c>
      <c r="G166" s="1">
        <f>0.5*(C166*C166+D166*D166+E166*E166)</f>
        <v>0.69180844714856138</v>
      </c>
    </row>
    <row r="167" spans="1:7" x14ac:dyDescent="0.25">
      <c r="C167" s="17">
        <f t="shared" ref="C167" si="267">3-0.5*E165</f>
        <v>3.496630007888307</v>
      </c>
      <c r="D167" s="18">
        <f t="shared" ref="D167" si="268">-3*D165^2</f>
        <v>-11.680075122976112</v>
      </c>
      <c r="E167" s="19">
        <f t="shared" ref="E167" si="269">-0.5*C165</f>
        <v>-1.1488861465525817</v>
      </c>
    </row>
    <row r="168" spans="1:7" x14ac:dyDescent="0.25">
      <c r="B168" t="s">
        <v>7</v>
      </c>
      <c r="C168" s="20">
        <f t="shared" ref="C168" si="270">2*C165</f>
        <v>4.5955445862103268</v>
      </c>
      <c r="D168" s="14">
        <f t="shared" ref="D168" si="271">-2*(D165+0.1)</f>
        <v>-4.1463189806833256</v>
      </c>
      <c r="E168" s="21">
        <f>2</f>
        <v>2</v>
      </c>
    </row>
    <row r="169" spans="1:7" x14ac:dyDescent="0.25">
      <c r="C169" s="22">
        <f t="shared" ref="C169" si="272">-EXP(-C165)</f>
        <v>-0.10048244000124926</v>
      </c>
      <c r="D169" s="23">
        <f t="shared" ref="D169" si="273">-1/D165^2</f>
        <v>-0.25684766308554297</v>
      </c>
      <c r="E169" s="24">
        <f t="shared" ref="E169" si="274">1.5</f>
        <v>1.5</v>
      </c>
    </row>
    <row r="170" spans="1:7" x14ac:dyDescent="0.25">
      <c r="B170" t="s">
        <v>12</v>
      </c>
      <c r="C170" cm="1">
        <f t="array" ref="C170:E170">-MMULT(C166:E166,C167:E169)</f>
        <v>-0.63798719744064381</v>
      </c>
      <c r="D170">
        <v>3.966880660099644</v>
      </c>
      <c r="E170">
        <v>-1.0618985864405475</v>
      </c>
      <c r="F170">
        <f>F163</f>
        <v>1</v>
      </c>
      <c r="G170"/>
    </row>
    <row r="171" spans="1:7" x14ac:dyDescent="0.25">
      <c r="B171" t="s">
        <v>13</v>
      </c>
      <c r="C171">
        <f t="shared" ref="C171" si="275">G166/SUMPRODUCT(_xlfn.ANCHORARRAY(C170),_xlfn.ANCHORARRAY(C170))</f>
        <v>4.0056541069224502E-2</v>
      </c>
      <c r="D171"/>
      <c r="E171"/>
      <c r="G171"/>
    </row>
    <row r="172" spans="1:7" x14ac:dyDescent="0.25">
      <c r="A172" t="s">
        <v>4</v>
      </c>
      <c r="B172" s="16" t="s">
        <v>5</v>
      </c>
      <c r="C172" cm="1">
        <f t="array" ref="C172:E172">C165:E165+C171*(C170:E170)</f>
        <v>2.2722167327292428</v>
      </c>
      <c r="D172">
        <v>2.1320590084196565</v>
      </c>
      <c r="E172">
        <v>-1.0357960001157214</v>
      </c>
      <c r="G172"/>
    </row>
    <row r="173" spans="1:7" x14ac:dyDescent="0.25">
      <c r="A173" s="1">
        <f>1+A166</f>
        <v>25</v>
      </c>
      <c r="B173" t="s">
        <v>6</v>
      </c>
      <c r="C173" s="13">
        <f t="shared" ref="C173" si="276">3*C172-D172^3-0.5*C172*E172</f>
        <v>-1.698221945365552</v>
      </c>
      <c r="D173" s="14">
        <f t="shared" ref="D173" si="277">C172^2-(D172+0.1)^2+2*E172+0.9</f>
        <v>-0.99071053680402776</v>
      </c>
      <c r="E173" s="14">
        <f t="shared" ref="E173" si="278">EXP(-C172)+1/D172+1.5*E172+2</f>
        <v>1.0184195884539251</v>
      </c>
      <c r="G173" s="1">
        <f>0.5*(C173*C173+D173*D173+E173*E173)</f>
        <v>2.4513218008011735</v>
      </c>
    </row>
    <row r="174" spans="1:7" x14ac:dyDescent="0.25">
      <c r="C174" s="17">
        <f t="shared" ref="C174" si="279">3-0.5*E172</f>
        <v>3.5178980000578606</v>
      </c>
      <c r="D174" s="18">
        <f t="shared" ref="D174" si="280">-3*D172^2</f>
        <v>-13.637026846150224</v>
      </c>
      <c r="E174" s="19">
        <f t="shared" ref="E174" si="281">-0.5*C172</f>
        <v>-1.1361083663646214</v>
      </c>
    </row>
    <row r="175" spans="1:7" x14ac:dyDescent="0.25">
      <c r="B175" t="s">
        <v>7</v>
      </c>
      <c r="C175" s="20">
        <f t="shared" ref="C175" si="282">2*C172</f>
        <v>4.5444334654584857</v>
      </c>
      <c r="D175" s="14">
        <f t="shared" ref="D175" si="283">-2*(D172+0.1)</f>
        <v>-4.4641180168393131</v>
      </c>
      <c r="E175" s="21">
        <f>2</f>
        <v>2</v>
      </c>
    </row>
    <row r="176" spans="1:7" x14ac:dyDescent="0.25">
      <c r="C176" s="22">
        <f t="shared" ref="C176" si="284">-EXP(-C172)</f>
        <v>-0.10308341823779155</v>
      </c>
      <c r="D176" s="23">
        <f t="shared" ref="D176" si="285">-1/D172^2</f>
        <v>-0.21998930073580586</v>
      </c>
      <c r="E176" s="24">
        <f t="shared" ref="E176" si="286">1.5</f>
        <v>1.5</v>
      </c>
    </row>
    <row r="177" spans="1:7" x14ac:dyDescent="0.25">
      <c r="B177" t="s">
        <v>12</v>
      </c>
      <c r="C177" cm="1">
        <f t="array" ref="C177:E177">-MMULT(C173:E173,C174:E176)</f>
        <v>10.581371875668564</v>
      </c>
      <c r="D177">
        <v>-27.357305603371277</v>
      </c>
      <c r="E177">
        <v>-1.4755724691466388</v>
      </c>
      <c r="F177">
        <f>F170</f>
        <v>1</v>
      </c>
      <c r="G177"/>
    </row>
    <row r="178" spans="1:7" x14ac:dyDescent="0.25">
      <c r="B178" t="s">
        <v>13</v>
      </c>
      <c r="C178">
        <f t="shared" ref="C178" si="287">G173/SUMPRODUCT(_xlfn.ANCHORARRAY(C177),_xlfn.ANCHORARRAY(C177))</f>
        <v>2.8418983416287759E-3</v>
      </c>
      <c r="D178"/>
      <c r="E178"/>
      <c r="G178"/>
    </row>
    <row r="179" spans="1:7" x14ac:dyDescent="0.25">
      <c r="A179" t="s">
        <v>4</v>
      </c>
      <c r="B179" s="16" t="s">
        <v>5</v>
      </c>
      <c r="C179" cm="1">
        <f t="array" ref="C179:E179">C172:E172+C178*(C177:E177)</f>
        <v>2.3022879159148628</v>
      </c>
      <c r="D179">
        <v>2.0543123269940038</v>
      </c>
      <c r="E179">
        <v>-1.0399894270687422</v>
      </c>
      <c r="G179"/>
    </row>
    <row r="180" spans="1:7" x14ac:dyDescent="0.25">
      <c r="A180" s="1">
        <f>1+A173</f>
        <v>26</v>
      </c>
      <c r="B180" t="s">
        <v>6</v>
      </c>
      <c r="C180" s="13">
        <f t="shared" ref="C180" si="288">3*C179-D179^3-0.5*C179*E179</f>
        <v>-0.56556581612449497</v>
      </c>
      <c r="D180" s="14">
        <f t="shared" ref="D180" si="289">C179^2-(D179+0.1)^2+2*E179+0.9</f>
        <v>-0.52051080860820231</v>
      </c>
      <c r="E180" s="14">
        <f t="shared" ref="E180" si="290">EXP(-C179)+1/D179+1.5*E179+2</f>
        <v>1.0268264798584821</v>
      </c>
      <c r="G180" s="1">
        <f>0.5*(C180*C180+D180*D180+E180*E180)</f>
        <v>0.8225844069925462</v>
      </c>
    </row>
    <row r="181" spans="1:7" x14ac:dyDescent="0.25">
      <c r="C181" s="17">
        <f t="shared" ref="C181" si="291">3-0.5*E179</f>
        <v>3.5199947135343712</v>
      </c>
      <c r="D181" s="18">
        <f t="shared" ref="D181" si="292">-3*D179^2</f>
        <v>-12.660597410518555</v>
      </c>
      <c r="E181" s="19">
        <f t="shared" ref="E181" si="293">-0.5*C179</f>
        <v>-1.1511439579574314</v>
      </c>
    </row>
    <row r="182" spans="1:7" x14ac:dyDescent="0.25">
      <c r="B182" t="s">
        <v>7</v>
      </c>
      <c r="C182" s="20">
        <f t="shared" ref="C182" si="294">2*C179</f>
        <v>4.6045758318297256</v>
      </c>
      <c r="D182" s="14">
        <f t="shared" ref="D182" si="295">-2*(D179+0.1)</f>
        <v>-4.3086246539880078</v>
      </c>
      <c r="E182" s="21">
        <f>2</f>
        <v>2</v>
      </c>
    </row>
    <row r="183" spans="1:7" x14ac:dyDescent="0.25">
      <c r="C183" s="22">
        <f t="shared" ref="C183" si="296">-EXP(-C179)</f>
        <v>-0.10002972212406655</v>
      </c>
      <c r="D183" s="23">
        <f t="shared" ref="D183" si="297">-1/D179^2</f>
        <v>-0.23695564298629138</v>
      </c>
      <c r="E183" s="24">
        <f t="shared" ref="E183" si="298">1.5</f>
        <v>1.5</v>
      </c>
    </row>
    <row r="184" spans="1:7" x14ac:dyDescent="0.25">
      <c r="B184" t="s">
        <v>12</v>
      </c>
      <c r="C184" cm="1">
        <f t="array" ref="C184:E184">-MMULT(C180:E180,C181:E183)</f>
        <v>4.4902333398873289</v>
      </c>
      <c r="D184">
        <v>-9.1597744809699115</v>
      </c>
      <c r="E184">
        <v>-1.1502657746302947</v>
      </c>
      <c r="F184">
        <f>F177</f>
        <v>1</v>
      </c>
      <c r="G184"/>
    </row>
    <row r="185" spans="1:7" x14ac:dyDescent="0.25">
      <c r="B185" t="s">
        <v>13</v>
      </c>
      <c r="C185">
        <f t="shared" ref="C185" si="299">G180/SUMPRODUCT(_xlfn.ANCHORARRAY(C184),_xlfn.ANCHORARRAY(C184))</f>
        <v>7.8053854891161189E-3</v>
      </c>
      <c r="D185"/>
      <c r="E185"/>
      <c r="G185"/>
    </row>
    <row r="186" spans="1:7" x14ac:dyDescent="0.25">
      <c r="A186" t="s">
        <v>4</v>
      </c>
      <c r="B186" s="16" t="s">
        <v>5</v>
      </c>
      <c r="C186" cm="1">
        <f t="array" ref="C186:E186">C179:E179+C185*(C184:E184)</f>
        <v>2.337335918068765</v>
      </c>
      <c r="D186">
        <v>1.9828167561766652</v>
      </c>
      <c r="E186">
        <v>-1.0489676948546685</v>
      </c>
      <c r="G186"/>
    </row>
    <row r="187" spans="1:7" x14ac:dyDescent="0.25">
      <c r="A187" s="1">
        <f>1+A180</f>
        <v>27</v>
      </c>
      <c r="B187" t="s">
        <v>6</v>
      </c>
      <c r="C187" s="13">
        <f t="shared" ref="C187" si="300">3*C186-D186^3-0.5*C186*E186</f>
        <v>0.44233510550640665</v>
      </c>
      <c r="D187" s="14">
        <f t="shared" ref="D187" si="301">C186^2-(D186+0.1)^2+2*E186+0.9</f>
        <v>-7.2921835625265774E-2</v>
      </c>
      <c r="E187" s="14">
        <f t="shared" ref="E187" si="302">EXP(-C186)+1/D186+1.5*E186+2</f>
        <v>1.0274661015941986</v>
      </c>
      <c r="G187" s="1">
        <f>0.5*(C187*C187+D187*D187+E187*E187)</f>
        <v>0.62833226479975102</v>
      </c>
    </row>
    <row r="188" spans="1:7" x14ac:dyDescent="0.25">
      <c r="C188" s="17">
        <f t="shared" ref="C188" si="303">3-0.5*E186</f>
        <v>3.5244838474273341</v>
      </c>
      <c r="D188" s="18">
        <f t="shared" ref="D188" si="304">-3*D186^2</f>
        <v>-11.794686865724859</v>
      </c>
      <c r="E188" s="19">
        <f t="shared" ref="E188" si="305">-0.5*C186</f>
        <v>-1.1686679590343825</v>
      </c>
    </row>
    <row r="189" spans="1:7" x14ac:dyDescent="0.25">
      <c r="B189" t="s">
        <v>7</v>
      </c>
      <c r="C189" s="20">
        <f t="shared" ref="C189" si="306">2*C186</f>
        <v>4.6746718361375299</v>
      </c>
      <c r="D189" s="14">
        <f t="shared" ref="D189" si="307">-2*(D186+0.1)</f>
        <v>-4.1656335123533301</v>
      </c>
      <c r="E189" s="21">
        <f>2</f>
        <v>2</v>
      </c>
    </row>
    <row r="190" spans="1:7" x14ac:dyDescent="0.25">
      <c r="C190" s="22">
        <f t="shared" ref="C190" si="308">-EXP(-C186)</f>
        <v>-9.6584605089382686E-2</v>
      </c>
      <c r="D190" s="23">
        <f t="shared" ref="D190" si="309">-1/D186^2</f>
        <v>-0.25435181401194673</v>
      </c>
      <c r="E190" s="24">
        <f t="shared" ref="E190" si="310">1.5</f>
        <v>1.5</v>
      </c>
    </row>
    <row r="191" spans="1:7" x14ac:dyDescent="0.25">
      <c r="B191" t="s">
        <v>12</v>
      </c>
      <c r="C191" cm="1">
        <f t="array" ref="C191:E191">-MMULT(C187:E187,C188:E190)</f>
        <v>-1.1188798756053124</v>
      </c>
      <c r="D191">
        <v>5.1747762836787734</v>
      </c>
      <c r="E191">
        <v>-0.87841261617933597</v>
      </c>
      <c r="F191">
        <f>F184</f>
        <v>1</v>
      </c>
      <c r="G191"/>
    </row>
    <row r="192" spans="1:7" x14ac:dyDescent="0.25">
      <c r="B192" t="s">
        <v>13</v>
      </c>
      <c r="C192">
        <f t="shared" ref="C192" si="311">G187/SUMPRODUCT(_xlfn.ANCHORARRAY(C191),_xlfn.ANCHORARRAY(C191))</f>
        <v>2.1815721101837243E-2</v>
      </c>
      <c r="D192"/>
      <c r="E192"/>
      <c r="G192"/>
    </row>
    <row r="193" spans="1:7" x14ac:dyDescent="0.25">
      <c r="A193" t="s">
        <v>4</v>
      </c>
      <c r="B193" s="16" t="s">
        <v>5</v>
      </c>
      <c r="C193" cm="1">
        <f t="array" ref="C193:E193">C186:E186+C192*(C191:E191)</f>
        <v>2.312926746756101</v>
      </c>
      <c r="D193">
        <v>2.0957082323458032</v>
      </c>
      <c r="E193">
        <v>-1.0681308995015721</v>
      </c>
      <c r="G193"/>
    </row>
    <row r="194" spans="1:7" x14ac:dyDescent="0.25">
      <c r="A194" s="1">
        <f>1+A187</f>
        <v>28</v>
      </c>
      <c r="B194" t="s">
        <v>6</v>
      </c>
      <c r="C194" s="13">
        <f t="shared" ref="C194" si="312">3*C193-D193^3-0.5*C193*E193</f>
        <v>-1.0303013727669932</v>
      </c>
      <c r="D194" s="14">
        <f t="shared" ref="D194" si="313">C193^2-(D193+0.1)^2+2*E193+0.9</f>
        <v>-0.70776630473451518</v>
      </c>
      <c r="E194" s="14">
        <f t="shared" ref="E194" si="314">EXP(-C193)+1/D193+1.5*E193+2</f>
        <v>0.97394047359015223</v>
      </c>
      <c r="G194" s="1">
        <f>0.5*(C194*C194+D194*D194+E194*E194)</f>
        <v>1.2555070534700556</v>
      </c>
    </row>
    <row r="195" spans="1:7" x14ac:dyDescent="0.25">
      <c r="C195" s="17">
        <f t="shared" ref="C195" si="315">3-0.5*E193</f>
        <v>3.534065449750786</v>
      </c>
      <c r="D195" s="18">
        <f t="shared" ref="D195" si="316">-3*D193^2</f>
        <v>-13.175978985365912</v>
      </c>
      <c r="E195" s="19">
        <f t="shared" ref="E195" si="317">-0.5*C193</f>
        <v>-1.1564633733780505</v>
      </c>
    </row>
    <row r="196" spans="1:7" x14ac:dyDescent="0.25">
      <c r="B196" t="s">
        <v>7</v>
      </c>
      <c r="C196" s="20">
        <f t="shared" ref="C196" si="318">2*C193</f>
        <v>4.625853493512202</v>
      </c>
      <c r="D196" s="14">
        <f t="shared" ref="D196" si="319">-2*(D193+0.1)</f>
        <v>-4.3914164646916065</v>
      </c>
      <c r="E196" s="21">
        <f>2</f>
        <v>2</v>
      </c>
    </row>
    <row r="197" spans="1:7" x14ac:dyDescent="0.25">
      <c r="C197" s="22">
        <f t="shared" ref="C197" si="320">-EXP(-C193)</f>
        <v>-9.8971163727518394E-2</v>
      </c>
      <c r="D197" s="23">
        <f t="shared" ref="D197" si="321">-1/D193^2</f>
        <v>-0.22768706623864476</v>
      </c>
      <c r="E197" s="24">
        <f t="shared" ref="E197" si="322">1.5</f>
        <v>1.5</v>
      </c>
    </row>
    <row r="198" spans="1:7" x14ac:dyDescent="0.25">
      <c r="B198" t="s">
        <v>12</v>
      </c>
      <c r="C198" cm="1">
        <f t="array" ref="C198:E198">-MMULT(C194:E194,C195:E197)</f>
        <v>7.0115677397455629</v>
      </c>
      <c r="D198">
        <v>-16.461572190813822</v>
      </c>
      <c r="E198">
        <v>-1.2368839020623512</v>
      </c>
      <c r="F198">
        <f>F191</f>
        <v>1</v>
      </c>
      <c r="G198"/>
    </row>
    <row r="199" spans="1:7" x14ac:dyDescent="0.25">
      <c r="B199" t="s">
        <v>13</v>
      </c>
      <c r="C199">
        <f t="shared" ref="C199" si="323">G194/SUMPRODUCT(_xlfn.ANCHORARRAY(C198),_xlfn.ANCHORARRAY(C198))</f>
        <v>3.9030257029283567E-3</v>
      </c>
      <c r="D199"/>
      <c r="E199"/>
      <c r="G199"/>
    </row>
    <row r="200" spans="1:7" x14ac:dyDescent="0.25">
      <c r="A200" t="s">
        <v>4</v>
      </c>
      <c r="B200" s="16" t="s">
        <v>5</v>
      </c>
      <c r="C200" cm="1">
        <f t="array" ref="C200:E200">C193:E193+C199*(C198:E198)</f>
        <v>2.3402930758621512</v>
      </c>
      <c r="D200">
        <v>2.0314582929744462</v>
      </c>
      <c r="E200">
        <v>-1.0729584891628599</v>
      </c>
      <c r="G200"/>
    </row>
    <row r="201" spans="1:7" x14ac:dyDescent="0.25">
      <c r="A201" s="1">
        <f>1+A194</f>
        <v>29</v>
      </c>
      <c r="B201" t="s">
        <v>6</v>
      </c>
      <c r="C201" s="13">
        <f t="shared" ref="C201" si="324">3*C200-D200^3-0.5*C200*E200</f>
        <v>-0.10707050373834059</v>
      </c>
      <c r="D201" s="14">
        <f t="shared" ref="D201" si="325">C200^2-(D200+0.1)^2+2*E200+0.9</f>
        <v>-0.31205975208693137</v>
      </c>
      <c r="E201" s="14">
        <f t="shared" ref="E201" si="326">EXP(-C200)+1/D200+1.5*E200+2</f>
        <v>0.97911889148607711</v>
      </c>
      <c r="G201" s="1">
        <f>0.5*(C201*C201+D201*D201+E201*E201)</f>
        <v>0.53375959265413175</v>
      </c>
    </row>
    <row r="202" spans="1:7" x14ac:dyDescent="0.25">
      <c r="C202" s="17">
        <f t="shared" ref="C202" si="327">3-0.5*E200</f>
        <v>3.5364792445814297</v>
      </c>
      <c r="D202" s="18">
        <f t="shared" ref="D202" si="328">-3*D200^2</f>
        <v>-12.380468388283955</v>
      </c>
      <c r="E202" s="19">
        <f t="shared" ref="E202" si="329">-0.5*C200</f>
        <v>-1.1701465379310756</v>
      </c>
    </row>
    <row r="203" spans="1:7" x14ac:dyDescent="0.25">
      <c r="B203" t="s">
        <v>7</v>
      </c>
      <c r="C203" s="20">
        <f t="shared" ref="C203" si="330">2*C200</f>
        <v>4.6805861517243024</v>
      </c>
      <c r="D203" s="14">
        <f t="shared" ref="D203" si="331">-2*(D200+0.1)</f>
        <v>-4.2629165859488927</v>
      </c>
      <c r="E203" s="21">
        <f>2</f>
        <v>2</v>
      </c>
    </row>
    <row r="204" spans="1:7" x14ac:dyDescent="0.25">
      <c r="C204" s="22">
        <f t="shared" ref="C204" si="332">-EXP(-C200)</f>
        <v>-9.6299411061422632E-2</v>
      </c>
      <c r="D204" s="23">
        <f t="shared" ref="D204" si="333">-1/D200^2</f>
        <v>-0.2423171649013699</v>
      </c>
      <c r="E204" s="24">
        <f t="shared" ref="E204" si="334">1.5</f>
        <v>1.5</v>
      </c>
    </row>
    <row r="205" spans="1:7" x14ac:dyDescent="0.25">
      <c r="B205" t="s">
        <v>12</v>
      </c>
      <c r="C205" cm="1">
        <f t="array" ref="C205:E205">-MMULT(C201:E201,C202:E204)</f>
        <v>1.9335637409153521</v>
      </c>
      <c r="D205">
        <v>-2.4186103659423654</v>
      </c>
      <c r="E205">
        <v>-0.96984701231920845</v>
      </c>
      <c r="F205">
        <f>F198</f>
        <v>1</v>
      </c>
      <c r="G205"/>
    </row>
    <row r="206" spans="1:7" x14ac:dyDescent="0.25">
      <c r="B206" t="s">
        <v>13</v>
      </c>
      <c r="C206">
        <f t="shared" ref="C206" si="335">G201/SUMPRODUCT(_xlfn.ANCHORARRAY(C205),_xlfn.ANCHORARRAY(C205))</f>
        <v>5.0694484303575087E-2</v>
      </c>
      <c r="D206"/>
      <c r="E206"/>
      <c r="G206"/>
    </row>
    <row r="207" spans="1:7" x14ac:dyDescent="0.25">
      <c r="A207" t="s">
        <v>4</v>
      </c>
      <c r="B207" s="16" t="s">
        <v>5</v>
      </c>
      <c r="C207" cm="1">
        <f t="array" ref="C207:E207">C200:E200+C206*(C205:E205)</f>
        <v>2.4383140925759466</v>
      </c>
      <c r="D207">
        <v>1.9088480877417171</v>
      </c>
      <c r="E207">
        <v>-1.1221243833057453</v>
      </c>
      <c r="G207"/>
    </row>
    <row r="208" spans="1:7" x14ac:dyDescent="0.25">
      <c r="A208" s="1">
        <f>1+A201</f>
        <v>30</v>
      </c>
      <c r="B208" t="s">
        <v>6</v>
      </c>
      <c r="C208" s="13">
        <f t="shared" ref="C208" si="336">3*C207-D207^3-0.5*C207*E207</f>
        <v>1.7277163981557799</v>
      </c>
      <c r="D208" s="14">
        <f t="shared" ref="D208" si="337">C207^2-(D207+0.1)^2+2*E207+0.9</f>
        <v>0.56565620781941794</v>
      </c>
      <c r="E208" s="14">
        <f t="shared" ref="E208" si="338">EXP(-C207)+1/D207+1.5*E207+2</f>
        <v>0.92799750230403655</v>
      </c>
      <c r="G208" s="1">
        <f>0.5*(C208*C208+D208*D208+E208*E208)</f>
        <v>2.0830751310917783</v>
      </c>
    </row>
    <row r="209" spans="1:7" x14ac:dyDescent="0.25">
      <c r="C209" s="17">
        <f t="shared" ref="C209" si="339">3-0.5*E207</f>
        <v>3.5610621916528729</v>
      </c>
      <c r="D209" s="18">
        <f t="shared" ref="D209" si="340">-3*D207^2</f>
        <v>-10.931103066225631</v>
      </c>
      <c r="E209" s="19">
        <f t="shared" ref="E209" si="341">-0.5*C207</f>
        <v>-1.2191570462879733</v>
      </c>
    </row>
    <row r="210" spans="1:7" x14ac:dyDescent="0.25">
      <c r="B210" t="s">
        <v>7</v>
      </c>
      <c r="C210" s="20">
        <f t="shared" ref="C210" si="342">2*C207</f>
        <v>4.8766281851518931</v>
      </c>
      <c r="D210" s="14">
        <f t="shared" ref="D210" si="343">-2*(D207+0.1)</f>
        <v>-4.0176961754834339</v>
      </c>
      <c r="E210" s="21">
        <f>2</f>
        <v>2</v>
      </c>
    </row>
    <row r="211" spans="1:7" x14ac:dyDescent="0.25">
      <c r="C211" s="22">
        <f t="shared" ref="C211" si="344">-EXP(-C207)</f>
        <v>-8.7307920526127084E-2</v>
      </c>
      <c r="D211" s="23">
        <f t="shared" ref="D211" si="345">-1/D207^2</f>
        <v>-0.27444622759703441</v>
      </c>
      <c r="E211" s="24">
        <f t="shared" ref="E211" si="346">1.5</f>
        <v>1.5</v>
      </c>
    </row>
    <row r="212" spans="1:7" x14ac:dyDescent="0.25">
      <c r="B212" t="s">
        <v>12</v>
      </c>
      <c r="C212" cm="1">
        <f t="array" ref="C212:E212">-MMULT(C208:E208,C209:E211)</f>
        <v>-8.8299790173499346</v>
      </c>
      <c r="D212">
        <v>21.4131662139703</v>
      </c>
      <c r="E212">
        <v>-0.41695104829599394</v>
      </c>
      <c r="F212">
        <f>F205</f>
        <v>1</v>
      </c>
      <c r="G212"/>
    </row>
    <row r="213" spans="1:7" x14ac:dyDescent="0.25">
      <c r="B213" t="s">
        <v>13</v>
      </c>
      <c r="C213">
        <f t="shared" ref="C213" si="347">G208/SUMPRODUCT(_xlfn.ANCHORARRAY(C212),_xlfn.ANCHORARRAY(C212))</f>
        <v>3.8815108075838959E-3</v>
      </c>
      <c r="D213"/>
      <c r="E213"/>
      <c r="G213"/>
    </row>
    <row r="214" spans="1:7" x14ac:dyDescent="0.25">
      <c r="A214" t="s">
        <v>4</v>
      </c>
      <c r="B214" s="16" t="s">
        <v>5</v>
      </c>
      <c r="C214" cm="1">
        <f t="array" ref="C214:E214">C207:E207+C213*(C212:E212)</f>
        <v>2.4040404335893637</v>
      </c>
      <c r="D214">
        <v>1.9919635238258331</v>
      </c>
      <c r="E214">
        <v>-1.1237427833059397</v>
      </c>
      <c r="G214"/>
    </row>
    <row r="215" spans="1:7" x14ac:dyDescent="0.25">
      <c r="A215" s="1">
        <f>1+A208</f>
        <v>31</v>
      </c>
      <c r="B215" t="s">
        <v>6</v>
      </c>
      <c r="C215" s="13">
        <f t="shared" ref="C215" si="348">3*C214-D214^3-0.5*C214*E214</f>
        <v>0.65893356820857796</v>
      </c>
      <c r="D215" s="14">
        <f t="shared" ref="D215" si="349">C214^2-(D214+0.1)^2+2*E214+0.9</f>
        <v>5.5613454702859166E-2</v>
      </c>
      <c r="E215" s="14">
        <f t="shared" ref="E215" si="350">EXP(-C214)+1/D214+1.5*E214+2</f>
        <v>0.90675520269136611</v>
      </c>
      <c r="G215" s="1">
        <f>0.5*(C215*C215+D215*D215+E215*E215)</f>
        <v>0.62974565063196808</v>
      </c>
    </row>
    <row r="216" spans="1:7" x14ac:dyDescent="0.25">
      <c r="C216" s="17">
        <f t="shared" ref="C216" si="351">3-0.5*E214</f>
        <v>3.5618713916529696</v>
      </c>
      <c r="D216" s="18">
        <f t="shared" ref="D216" si="352">-3*D214^2</f>
        <v>-11.903756040757891</v>
      </c>
      <c r="E216" s="19">
        <f t="shared" ref="E216" si="353">-0.5*C214</f>
        <v>-1.2020202167946819</v>
      </c>
    </row>
    <row r="217" spans="1:7" x14ac:dyDescent="0.25">
      <c r="B217" t="s">
        <v>7</v>
      </c>
      <c r="C217" s="20">
        <f t="shared" ref="C217" si="354">2*C214</f>
        <v>4.8080808671787274</v>
      </c>
      <c r="D217" s="14">
        <f t="shared" ref="D217" si="355">-2*(D214+0.1)</f>
        <v>-4.1839270476516663</v>
      </c>
      <c r="E217" s="21">
        <f>2</f>
        <v>2</v>
      </c>
    </row>
    <row r="218" spans="1:7" x14ac:dyDescent="0.25">
      <c r="C218" s="22">
        <f t="shared" ref="C218" si="356">-EXP(-C214)</f>
        <v>-9.0352152917482456E-2</v>
      </c>
      <c r="D218" s="23">
        <f t="shared" ref="D218" si="357">-1/D214^2</f>
        <v>-0.25202129392841582</v>
      </c>
      <c r="E218" s="24">
        <f t="shared" ref="E218" si="358">1.5</f>
        <v>1.5</v>
      </c>
    </row>
    <row r="219" spans="1:7" x14ac:dyDescent="0.25">
      <c r="B219" t="s">
        <v>12</v>
      </c>
      <c r="C219" cm="1">
        <f t="array" ref="C219:E219">-MMULT(C215:E215,C216:E218)</f>
        <v>-2.5325033283841796</v>
      </c>
      <c r="D219">
        <v>8.3049886998242552</v>
      </c>
      <c r="E219">
        <v>-0.67930824293139924</v>
      </c>
      <c r="F219">
        <f>F212</f>
        <v>1</v>
      </c>
      <c r="G219"/>
    </row>
    <row r="220" spans="1:7" x14ac:dyDescent="0.25">
      <c r="B220" t="s">
        <v>13</v>
      </c>
      <c r="C220">
        <f t="shared" ref="C220" si="359">G215/SUMPRODUCT(_xlfn.ANCHORARRAY(C219),_xlfn.ANCHORARRAY(C219))</f>
        <v>8.3027466663212705E-3</v>
      </c>
      <c r="D220"/>
      <c r="E220"/>
      <c r="G220"/>
    </row>
    <row r="221" spans="1:7" x14ac:dyDescent="0.25">
      <c r="A221" t="s">
        <v>4</v>
      </c>
      <c r="B221" s="16" t="s">
        <v>5</v>
      </c>
      <c r="C221" cm="1">
        <f t="array" ref="C221:E221">C214:E214+C220*(C219:E219)</f>
        <v>2.3830137000221745</v>
      </c>
      <c r="D221">
        <v>2.0609177410671347</v>
      </c>
      <c r="E221">
        <v>-1.129382907555343</v>
      </c>
      <c r="G221"/>
    </row>
    <row r="222" spans="1:7" x14ac:dyDescent="0.25">
      <c r="A222" s="1">
        <f>1+A215</f>
        <v>32</v>
      </c>
      <c r="B222" t="s">
        <v>6</v>
      </c>
      <c r="C222" s="13">
        <f t="shared" ref="C222" si="360">3*C221-D221^3-0.5*C221*E221</f>
        <v>-0.25879621314304857</v>
      </c>
      <c r="D222" s="14">
        <f t="shared" ref="D222" si="361">C221^2-(D221+0.1)^2+2*E221+0.9</f>
        <v>-0.34957700427600036</v>
      </c>
      <c r="E222" s="14">
        <f t="shared" ref="E222" si="362">EXP(-C221)+1/D221+1.5*E221+2</f>
        <v>0.88341844113226475</v>
      </c>
      <c r="G222" s="1">
        <f>0.5*(C222*C222+D222*D222+E222*E222)</f>
        <v>0.48480385199416287</v>
      </c>
    </row>
    <row r="223" spans="1:7" x14ac:dyDescent="0.25">
      <c r="C223" s="17">
        <f t="shared" ref="C223" si="363">3-0.5*E221</f>
        <v>3.5646914537776713</v>
      </c>
      <c r="D223" s="18">
        <f t="shared" ref="D223" si="364">-3*D221^2</f>
        <v>-12.742145806335781</v>
      </c>
      <c r="E223" s="19">
        <f t="shared" ref="E223" si="365">-0.5*C221</f>
        <v>-1.1915068500110872</v>
      </c>
    </row>
    <row r="224" spans="1:7" x14ac:dyDescent="0.25">
      <c r="B224" t="s">
        <v>7</v>
      </c>
      <c r="C224" s="20">
        <f t="shared" ref="C224" si="366">2*C221</f>
        <v>4.766027400044349</v>
      </c>
      <c r="D224" s="14">
        <f t="shared" ref="D224" si="367">-2*(D221+0.1)</f>
        <v>-4.3218354821342695</v>
      </c>
      <c r="E224" s="21">
        <f>2</f>
        <v>2</v>
      </c>
    </row>
    <row r="225" spans="1:7" x14ac:dyDescent="0.25">
      <c r="C225" s="22">
        <f t="shared" ref="C225" si="368">-EXP(-C221)</f>
        <v>-9.2272077701075678E-2</v>
      </c>
      <c r="D225" s="23">
        <f t="shared" ref="D225" si="369">-1/D221^2</f>
        <v>-0.23543915174069888</v>
      </c>
      <c r="E225" s="24">
        <f t="shared" ref="E225" si="370">1.5</f>
        <v>1.5</v>
      </c>
    </row>
    <row r="226" spans="1:7" x14ac:dyDescent="0.25">
      <c r="B226" t="s">
        <v>12</v>
      </c>
      <c r="C226" cm="1">
        <f t="array" ref="C226:E226">-MMULT(C222:E222,C223:E225)</f>
        <v>2.6701370851086077</v>
      </c>
      <c r="D226">
        <v>-4.6004420944022284</v>
      </c>
      <c r="E226">
        <v>-0.93433111386326817</v>
      </c>
      <c r="F226">
        <f>F219</f>
        <v>1</v>
      </c>
      <c r="G226"/>
    </row>
    <row r="227" spans="1:7" x14ac:dyDescent="0.25">
      <c r="B227" t="s">
        <v>13</v>
      </c>
      <c r="C227">
        <f t="shared" ref="C227" si="371">G222/SUMPRODUCT(_xlfn.ANCHORARRAY(C226),_xlfn.ANCHORARRAY(C226))</f>
        <v>1.6621842090790206E-2</v>
      </c>
      <c r="D227"/>
      <c r="E227"/>
      <c r="G227"/>
    </row>
    <row r="228" spans="1:7" x14ac:dyDescent="0.25">
      <c r="A228" t="s">
        <v>4</v>
      </c>
      <c r="B228" s="16" t="s">
        <v>5</v>
      </c>
      <c r="C228" cm="1">
        <f t="array" ref="C228:E228">C221:E221+C227*(C226:E226)</f>
        <v>2.4273962970116125</v>
      </c>
      <c r="D228">
        <v>1.9844499190261566</v>
      </c>
      <c r="E228">
        <v>-1.1449132117904903</v>
      </c>
      <c r="G228"/>
    </row>
    <row r="229" spans="1:7" x14ac:dyDescent="0.25">
      <c r="A229" s="1">
        <f>1+A222</f>
        <v>33</v>
      </c>
      <c r="B229" t="s">
        <v>6</v>
      </c>
      <c r="C229" s="13">
        <f t="shared" ref="C229" si="372">3*C228-D228^3-0.5*C228*E228</f>
        <v>0.85692183804876776</v>
      </c>
      <c r="D229" s="14">
        <f t="shared" ref="D229" si="373">C228^2-(D228+0.1)^2+2*E228+0.9</f>
        <v>0.15749489423655716</v>
      </c>
      <c r="E229" s="14">
        <f t="shared" ref="E229" si="374">EXP(-C228)+1/D228+1.5*E228+2</f>
        <v>0.87481451805029553</v>
      </c>
      <c r="G229" s="1">
        <f>0.5*(C229*C229+D229*D229+E229*E229)</f>
        <v>0.76221005961351684</v>
      </c>
    </row>
    <row r="230" spans="1:7" x14ac:dyDescent="0.25">
      <c r="C230" s="17">
        <f t="shared" ref="C230" si="375">3-0.5*E228</f>
        <v>3.5724566058952449</v>
      </c>
      <c r="D230" s="18">
        <f t="shared" ref="D230" si="376">-3*D228^2</f>
        <v>-11.81412444336876</v>
      </c>
      <c r="E230" s="19">
        <f t="shared" ref="E230" si="377">-0.5*C228</f>
        <v>-1.2136981485058063</v>
      </c>
    </row>
    <row r="231" spans="1:7" x14ac:dyDescent="0.25">
      <c r="B231" t="s">
        <v>7</v>
      </c>
      <c r="C231" s="20">
        <f t="shared" ref="C231" si="378">2*C228</f>
        <v>4.854792594023225</v>
      </c>
      <c r="D231" s="14">
        <f t="shared" ref="D231" si="379">-2*(D228+0.1)</f>
        <v>-4.1688998380523135</v>
      </c>
      <c r="E231" s="21">
        <f>2</f>
        <v>2</v>
      </c>
    </row>
    <row r="232" spans="1:7" x14ac:dyDescent="0.25">
      <c r="C232" s="22">
        <f t="shared" ref="C232" si="380">-EXP(-C228)</f>
        <v>-8.8266353018312871E-2</v>
      </c>
      <c r="D232" s="23">
        <f t="shared" ref="D232" si="381">-1/D228^2</f>
        <v>-0.25393333330629447</v>
      </c>
      <c r="E232" s="24">
        <f t="shared" ref="E232" si="382">1.5</f>
        <v>1.5</v>
      </c>
    </row>
    <row r="233" spans="1:7" x14ac:dyDescent="0.25">
      <c r="B233" t="s">
        <v>12</v>
      </c>
      <c r="C233" cm="1">
        <f t="array" ref="C233:E233">-MMULT(C229:E229,C230:E232)</f>
        <v>-3.7487044401335519</v>
      </c>
      <c r="D233">
        <v>11.002506238618533</v>
      </c>
      <c r="E233">
        <v>-0.5871671172945756</v>
      </c>
      <c r="F233">
        <f>F226</f>
        <v>1</v>
      </c>
      <c r="G233"/>
    </row>
    <row r="234" spans="1:7" x14ac:dyDescent="0.25">
      <c r="B234" t="s">
        <v>13</v>
      </c>
      <c r="C234">
        <f t="shared" ref="C234" si="383">G229/SUMPRODUCT(_xlfn.ANCHORARRAY(C233),_xlfn.ANCHORARRAY(C233))</f>
        <v>5.6271310566227799E-3</v>
      </c>
      <c r="D234"/>
      <c r="E234"/>
      <c r="G234"/>
    </row>
    <row r="235" spans="1:7" x14ac:dyDescent="0.25">
      <c r="A235" t="s">
        <v>4</v>
      </c>
      <c r="B235" s="16" t="s">
        <v>5</v>
      </c>
      <c r="C235" cm="1">
        <f t="array" ref="C235:E235">C228:E228+C234*(C233:E233)</f>
        <v>2.4063018458344372</v>
      </c>
      <c r="D235">
        <v>2.0463624635821729</v>
      </c>
      <c r="E235">
        <v>-1.1482172781116462</v>
      </c>
      <c r="G235"/>
    </row>
    <row r="236" spans="1:7" x14ac:dyDescent="0.25">
      <c r="A236" s="1">
        <f>1+A229</f>
        <v>34</v>
      </c>
      <c r="B236" t="s">
        <v>6</v>
      </c>
      <c r="C236" s="13">
        <f t="shared" ref="C236" si="384">3*C235-D235^3-0.5*C235*E235</f>
        <v>3.1038129113452273E-2</v>
      </c>
      <c r="D236" s="14">
        <f t="shared" ref="D236" si="385">C235^2-(D235+0.1)^2+2*E235+0.9</f>
        <v>-0.21301780803160753</v>
      </c>
      <c r="E236" s="14">
        <f t="shared" ref="E236" si="386">EXP(-C235)+1/D235+1.5*E235+2</f>
        <v>0.85649412466720332</v>
      </c>
      <c r="G236" s="1">
        <f>0.5*(C236*C236+D236*D236+E236*E236)</f>
        <v>0.38996106879344644</v>
      </c>
    </row>
    <row r="237" spans="1:7" x14ac:dyDescent="0.25">
      <c r="C237" s="17">
        <f t="shared" ref="C237" si="387">3-0.5*E235</f>
        <v>3.5741086390558232</v>
      </c>
      <c r="D237" s="18">
        <f t="shared" ref="D237" si="388">-3*D235^2</f>
        <v>-12.562797997074298</v>
      </c>
      <c r="E237" s="19">
        <f t="shared" ref="E237" si="389">-0.5*C235</f>
        <v>-1.2031509229172186</v>
      </c>
    </row>
    <row r="238" spans="1:7" x14ac:dyDescent="0.25">
      <c r="B238" t="s">
        <v>7</v>
      </c>
      <c r="C238" s="20">
        <f t="shared" ref="C238" si="390">2*C235</f>
        <v>4.8126036916688744</v>
      </c>
      <c r="D238" s="14">
        <f t="shared" ref="D238" si="391">-2*(D235+0.1)</f>
        <v>-4.2927249271643459</v>
      </c>
      <c r="E238" s="21">
        <f>2</f>
        <v>2</v>
      </c>
    </row>
    <row r="239" spans="1:7" x14ac:dyDescent="0.25">
      <c r="C239" s="22">
        <f t="shared" ref="C239" si="392">-EXP(-C235)</f>
        <v>-9.0148060308246139E-2</v>
      </c>
      <c r="D239" s="23">
        <f t="shared" ref="D239" si="393">-1/D235^2</f>
        <v>-0.23880030552896403</v>
      </c>
      <c r="E239" s="24">
        <f t="shared" ref="E239" si="394">1.5</f>
        <v>1.5</v>
      </c>
    </row>
    <row r="240" spans="1:7" x14ac:dyDescent="0.25">
      <c r="B240" t="s">
        <v>12</v>
      </c>
      <c r="C240" cm="1">
        <f t="array" ref="C240:E240">-MMULT(C236:E236,C237:E239)</f>
        <v>0.99144792792376368</v>
      </c>
      <c r="D240">
        <v>-0.31997004955348862</v>
      </c>
      <c r="E240">
        <v>-0.82136201724911606</v>
      </c>
      <c r="F240">
        <f>F233</f>
        <v>1</v>
      </c>
      <c r="G240"/>
    </row>
    <row r="241" spans="1:7" x14ac:dyDescent="0.25">
      <c r="B241" t="s">
        <v>13</v>
      </c>
      <c r="C241">
        <f t="shared" ref="C241" si="395">G236/SUMPRODUCT(_xlfn.ANCHORARRAY(C240),_xlfn.ANCHORARRAY(C240))</f>
        <v>0.22157062840349626</v>
      </c>
      <c r="D241"/>
      <c r="E241"/>
      <c r="G241"/>
    </row>
    <row r="242" spans="1:7" x14ac:dyDescent="0.25">
      <c r="A242" t="s">
        <v>4</v>
      </c>
      <c r="B242" s="16" t="s">
        <v>5</v>
      </c>
      <c r="C242" cm="1">
        <f t="array" ref="C242:E242">C235:E235+C241*(C240:E240)</f>
        <v>2.6259775862538497</v>
      </c>
      <c r="D242">
        <v>1.9754664986323085</v>
      </c>
      <c r="E242">
        <v>-1.3302069764202962</v>
      </c>
      <c r="G242"/>
    </row>
    <row r="243" spans="1:7" x14ac:dyDescent="0.25">
      <c r="A243" s="1">
        <f>1+A236</f>
        <v>35</v>
      </c>
      <c r="B243" t="s">
        <v>6</v>
      </c>
      <c r="C243" s="13">
        <f t="shared" ref="C243" si="396">3*C242-D242^3-0.5*C242*E242</f>
        <v>1.9152850381519138</v>
      </c>
      <c r="D243" s="14">
        <f t="shared" ref="D243" si="397">C242^2-(D242+0.1)^2+2*E242+0.9</f>
        <v>0.82778314372194883</v>
      </c>
      <c r="E243" s="14">
        <f t="shared" ref="E243" si="398">EXP(-C242)+1/D242+1.5*E242+2</f>
        <v>0.58326805719447261</v>
      </c>
      <c r="G243" s="1">
        <f>0.5*(C243*C243+D243*D243+E243*E243)</f>
        <v>2.3468716684710929</v>
      </c>
    </row>
    <row r="244" spans="1:7" x14ac:dyDescent="0.25">
      <c r="C244" s="17">
        <f t="shared" ref="C244" si="399">3-0.5*E242</f>
        <v>3.6651034882101481</v>
      </c>
      <c r="D244" s="18">
        <f t="shared" ref="D244" si="400">-3*D242^2</f>
        <v>-11.707403661655778</v>
      </c>
      <c r="E244" s="19">
        <f t="shared" ref="E244" si="401">-0.5*C242</f>
        <v>-1.3129887931269248</v>
      </c>
    </row>
    <row r="245" spans="1:7" x14ac:dyDescent="0.25">
      <c r="B245" t="s">
        <v>7</v>
      </c>
      <c r="C245" s="20">
        <f t="shared" ref="C245" si="402">2*C242</f>
        <v>5.2519551725076994</v>
      </c>
      <c r="D245" s="14">
        <f t="shared" ref="D245" si="403">-2*(D242+0.1)</f>
        <v>-4.1509329972646167</v>
      </c>
      <c r="E245" s="21">
        <f>2</f>
        <v>2</v>
      </c>
    </row>
    <row r="246" spans="1:7" x14ac:dyDescent="0.25">
      <c r="C246" s="22">
        <f t="shared" ref="C246" si="404">-EXP(-C242)</f>
        <v>-7.2368975526693982E-2</v>
      </c>
      <c r="D246" s="23">
        <f t="shared" ref="D246" si="405">-1/D242^2</f>
        <v>-0.25624810476345272</v>
      </c>
      <c r="E246" s="24">
        <f t="shared" ref="E246" si="406">1.5</f>
        <v>1.5</v>
      </c>
    </row>
    <row r="247" spans="1:7" x14ac:dyDescent="0.25">
      <c r="B247" t="s">
        <v>12</v>
      </c>
      <c r="C247" cm="1">
        <f t="array" ref="C247:E247">-MMULT(C243:E243,C244:E246)</f>
        <v>-11.324987325875851</v>
      </c>
      <c r="D247">
        <v>26.008548768854261</v>
      </c>
      <c r="E247">
        <v>-1.5720582498469193E-2</v>
      </c>
      <c r="F247">
        <f>F240</f>
        <v>1</v>
      </c>
      <c r="G247"/>
    </row>
    <row r="248" spans="1:7" x14ac:dyDescent="0.25">
      <c r="B248" t="s">
        <v>13</v>
      </c>
      <c r="C248">
        <f t="shared" ref="C248" si="407">G243/SUMPRODUCT(_xlfn.ANCHORARRAY(C247),_xlfn.ANCHORARRAY(C247))</f>
        <v>2.9164547064747448E-3</v>
      </c>
      <c r="D248"/>
      <c r="E248"/>
      <c r="G248"/>
    </row>
    <row r="249" spans="1:7" x14ac:dyDescent="0.25">
      <c r="A249" t="s">
        <v>4</v>
      </c>
      <c r="B249" s="16" t="s">
        <v>5</v>
      </c>
      <c r="C249" cm="1">
        <f t="array" ref="C249:E249">C242:E242+C248*(C247:E247)</f>
        <v>2.5929487736665324</v>
      </c>
      <c r="D249">
        <v>2.0513192530978115</v>
      </c>
      <c r="E249">
        <v>-1.3302528247871124</v>
      </c>
      <c r="G249"/>
    </row>
    <row r="250" spans="1:7" x14ac:dyDescent="0.25">
      <c r="A250" s="1">
        <f>1+A243</f>
        <v>36</v>
      </c>
      <c r="B250" t="s">
        <v>6</v>
      </c>
      <c r="C250" s="13">
        <f t="shared" ref="C250" si="408">3*C249-D249^3-0.5*C249*E249</f>
        <v>0.87171684698523877</v>
      </c>
      <c r="D250" s="14">
        <f t="shared" ref="D250" si="409">C249^2-(D249+0.1)^2+2*E249+0.9</f>
        <v>0.33470316453522397</v>
      </c>
      <c r="E250" s="14">
        <f t="shared" ref="E250" si="410">EXP(-C249)+1/D249+1.5*E249+2</f>
        <v>0.56691107054155943</v>
      </c>
      <c r="G250" s="1">
        <f>0.5*(C250*C250+D250*D250+E250*E250)</f>
        <v>0.59665231578517819</v>
      </c>
    </row>
    <row r="251" spans="1:7" x14ac:dyDescent="0.25">
      <c r="C251" s="17">
        <f t="shared" ref="C251" si="411">3-0.5*E249</f>
        <v>3.6651264123935561</v>
      </c>
      <c r="D251" s="18">
        <f t="shared" ref="D251" si="412">-3*D249^2</f>
        <v>-12.623732034389288</v>
      </c>
      <c r="E251" s="19">
        <f t="shared" ref="E251" si="413">-0.5*C249</f>
        <v>-1.2964743868332662</v>
      </c>
    </row>
    <row r="252" spans="1:7" x14ac:dyDescent="0.25">
      <c r="B252" t="s">
        <v>7</v>
      </c>
      <c r="C252" s="20">
        <f t="shared" ref="C252" si="414">2*C249</f>
        <v>5.1858975473330648</v>
      </c>
      <c r="D252" s="14">
        <f t="shared" ref="D252" si="415">-2*(D249+0.1)</f>
        <v>-4.3026385061956232</v>
      </c>
      <c r="E252" s="21">
        <f>2</f>
        <v>2</v>
      </c>
    </row>
    <row r="253" spans="1:7" x14ac:dyDescent="0.25">
      <c r="C253" s="22">
        <f t="shared" ref="C253" si="416">-EXP(-C249)</f>
        <v>-7.4799148805914109E-2</v>
      </c>
      <c r="D253" s="23">
        <f t="shared" ref="D253" si="417">-1/D249^2</f>
        <v>-0.23764763002157102</v>
      </c>
      <c r="E253" s="24">
        <f t="shared" ref="E253" si="418">1.5</f>
        <v>1.5</v>
      </c>
    </row>
    <row r="254" spans="1:7" x14ac:dyDescent="0.25">
      <c r="B254" t="s">
        <v>12</v>
      </c>
      <c r="C254" cm="1">
        <f t="array" ref="C254:E254">-MMULT(C250:E250,C251:E253)</f>
        <v>-4.8882842945367058</v>
      </c>
      <c r="D254">
        <v>12.57915168242636</v>
      </c>
      <c r="E254">
        <v>-0.3896143701953716</v>
      </c>
      <c r="F254">
        <f>F247</f>
        <v>1</v>
      </c>
      <c r="G254"/>
    </row>
    <row r="255" spans="1:7" x14ac:dyDescent="0.25">
      <c r="B255" t="s">
        <v>13</v>
      </c>
      <c r="C255">
        <f t="shared" ref="C255" si="419">G250/SUMPRODUCT(_xlfn.ANCHORARRAY(C254),_xlfn.ANCHORARRAY(C254))</f>
        <v>3.2732344796384768E-3</v>
      </c>
      <c r="D255"/>
      <c r="E255"/>
      <c r="G255"/>
    </row>
    <row r="256" spans="1:7" x14ac:dyDescent="0.25">
      <c r="A256" t="s">
        <v>4</v>
      </c>
      <c r="B256" s="16" t="s">
        <v>5</v>
      </c>
      <c r="C256" cm="1">
        <f t="array" ref="C256:E256">C249:E249+C255*(C254:E254)</f>
        <v>2.5769482729673796</v>
      </c>
      <c r="D256">
        <v>2.0924937661093317</v>
      </c>
      <c r="E256">
        <v>-1.3315281239773984</v>
      </c>
      <c r="G256"/>
    </row>
    <row r="257" spans="1:7" x14ac:dyDescent="0.25">
      <c r="A257" s="1">
        <f>1+A250</f>
        <v>37</v>
      </c>
      <c r="B257" t="s">
        <v>6</v>
      </c>
      <c r="C257" s="13">
        <f t="shared" ref="C257" si="420">3*C256-D256^3-0.5*C256*E256</f>
        <v>0.284437301601554</v>
      </c>
      <c r="D257" s="14">
        <f t="shared" ref="D257" si="421">C256^2-(D256+0.1)^2+2*E256+0.9</f>
        <v>7.0577239166482397E-2</v>
      </c>
      <c r="E257" s="14">
        <f t="shared" ref="E257" si="422">EXP(-C256)+1/D256+1.5*E256+2</f>
        <v>0.5566120886625272</v>
      </c>
      <c r="G257" s="1">
        <f>0.5*(C257*C257+D257*D257+E257*E257)</f>
        <v>0.19785137123799867</v>
      </c>
    </row>
    <row r="258" spans="1:7" x14ac:dyDescent="0.25">
      <c r="C258" s="17">
        <f t="shared" ref="C258" si="423">3-0.5*E256</f>
        <v>3.6657640619886993</v>
      </c>
      <c r="D258" s="18">
        <f t="shared" ref="D258" si="424">-3*D256^2</f>
        <v>-13.135590483619245</v>
      </c>
      <c r="E258" s="19">
        <f t="shared" ref="E258" si="425">-0.5*C256</f>
        <v>-1.2884741364836898</v>
      </c>
    </row>
    <row r="259" spans="1:7" x14ac:dyDescent="0.25">
      <c r="B259" t="s">
        <v>7</v>
      </c>
      <c r="C259" s="20">
        <f t="shared" ref="C259" si="426">2*C256</f>
        <v>5.1538965459347592</v>
      </c>
      <c r="D259" s="14">
        <f t="shared" ref="D259" si="427">-2*(D256+0.1)</f>
        <v>-4.3849875322186636</v>
      </c>
      <c r="E259" s="21">
        <f>2</f>
        <v>2</v>
      </c>
    </row>
    <row r="260" spans="1:7" x14ac:dyDescent="0.25">
      <c r="C260" s="22">
        <f t="shared" ref="C260" si="428">-EXP(-C256)</f>
        <v>-7.600559880157777E-2</v>
      </c>
      <c r="D260" s="23">
        <f t="shared" ref="D260" si="429">-1/D256^2</f>
        <v>-0.22838714435724483</v>
      </c>
      <c r="E260" s="24">
        <f t="shared" ref="E260" si="430">1.5</f>
        <v>1.5</v>
      </c>
    </row>
    <row r="261" spans="1:7" x14ac:dyDescent="0.25">
      <c r="B261" t="s">
        <v>12</v>
      </c>
      <c r="C261" cm="1">
        <f t="array" ref="C261:E261">-MMULT(C257:E257,C258:E260)</f>
        <v>-1.3641221921627702</v>
      </c>
      <c r="D261">
        <v>4.1728552713515059</v>
      </c>
      <c r="E261">
        <v>-0.60958250476194253</v>
      </c>
      <c r="F261">
        <f>F254</f>
        <v>1</v>
      </c>
      <c r="G261"/>
    </row>
    <row r="262" spans="1:7" x14ac:dyDescent="0.25">
      <c r="B262" t="s">
        <v>13</v>
      </c>
      <c r="C262">
        <f t="shared" ref="C262" si="431">G257/SUMPRODUCT(_xlfn.ANCHORARRAY(C261),_xlfn.ANCHORARRAY(C261))</f>
        <v>1.0071262314048377E-2</v>
      </c>
      <c r="D262"/>
      <c r="E262"/>
      <c r="G262"/>
    </row>
    <row r="263" spans="1:7" x14ac:dyDescent="0.25">
      <c r="A263" t="s">
        <v>4</v>
      </c>
      <c r="B263" s="16" t="s">
        <v>5</v>
      </c>
      <c r="C263" cm="1">
        <f t="array" ref="C263:E263">C256:E256+C262*(C261:E261)</f>
        <v>2.5632098405416937</v>
      </c>
      <c r="D263">
        <v>2.1345196861456723</v>
      </c>
      <c r="E263">
        <v>-1.3376673892849105</v>
      </c>
      <c r="G263"/>
    </row>
    <row r="264" spans="1:7" x14ac:dyDescent="0.25">
      <c r="A264" s="1">
        <f>1+A257</f>
        <v>38</v>
      </c>
      <c r="B264" t="s">
        <v>6</v>
      </c>
      <c r="C264" s="13">
        <f t="shared" ref="C264" si="432">3*C263-D263^3-0.5*C263*E263</f>
        <v>-0.32125308725724167</v>
      </c>
      <c r="D264" s="14">
        <f t="shared" ref="D264" si="433">C263^2-(D263+0.1)^2+2*E263+0.9</f>
        <v>-0.1983683196926006</v>
      </c>
      <c r="E264" s="14">
        <f t="shared" ref="E264" si="434">EXP(-C263)+1/D263+1.5*E263+2</f>
        <v>0.53904539009375729</v>
      </c>
      <c r="G264" s="1">
        <f>0.5*(C264*C264+D264*D264+E264*E264)</f>
        <v>0.21656173445565285</v>
      </c>
    </row>
    <row r="265" spans="1:7" x14ac:dyDescent="0.25">
      <c r="C265" s="17">
        <f t="shared" ref="C265" si="435">3-0.5*E263</f>
        <v>3.6688336946424553</v>
      </c>
      <c r="D265" s="18">
        <f t="shared" ref="D265" si="436">-3*D263^2</f>
        <v>-13.668522871630259</v>
      </c>
      <c r="E265" s="19">
        <f t="shared" ref="E265" si="437">-0.5*C263</f>
        <v>-1.2816049202708468</v>
      </c>
    </row>
    <row r="266" spans="1:7" x14ac:dyDescent="0.25">
      <c r="B266" t="s">
        <v>7</v>
      </c>
      <c r="C266" s="20">
        <f t="shared" ref="C266" si="438">2*C263</f>
        <v>5.1264196810833873</v>
      </c>
      <c r="D266" s="14">
        <f t="shared" ref="D266" si="439">-2*(D263+0.1)</f>
        <v>-4.4690393722913448</v>
      </c>
      <c r="E266" s="21">
        <f>2</f>
        <v>2</v>
      </c>
    </row>
    <row r="267" spans="1:7" x14ac:dyDescent="0.25">
      <c r="C267" s="22">
        <f t="shared" ref="C267" si="440">-EXP(-C263)</f>
        <v>-7.7057002365927302E-2</v>
      </c>
      <c r="D267" s="23">
        <f t="shared" ref="D267" si="441">-1/D263^2</f>
        <v>-0.21948238505176432</v>
      </c>
      <c r="E267" s="24">
        <f t="shared" ref="E267" si="442">1.5</f>
        <v>1.5</v>
      </c>
    </row>
    <row r="268" spans="1:7" x14ac:dyDescent="0.25">
      <c r="B268" t="s">
        <v>12</v>
      </c>
      <c r="C268" cm="1">
        <f t="array" ref="C268:E268">-MMULT(C264:E264,C265:E267)</f>
        <v>2.2370806311126668</v>
      </c>
      <c r="D268">
        <v>-5.1592600338100114</v>
      </c>
      <c r="E268">
        <v>-0.82355098303651531</v>
      </c>
      <c r="F268">
        <f>F261</f>
        <v>1</v>
      </c>
      <c r="G268"/>
    </row>
    <row r="269" spans="1:7" x14ac:dyDescent="0.25">
      <c r="B269" t="s">
        <v>13</v>
      </c>
      <c r="C269">
        <f t="shared" ref="C269" si="443">G264/SUMPRODUCT(_xlfn.ANCHORARRAY(C268),_xlfn.ANCHORARRAY(C268))</f>
        <v>6.7045461201095911E-3</v>
      </c>
      <c r="D269"/>
      <c r="E269"/>
      <c r="G269"/>
    </row>
    <row r="270" spans="1:7" x14ac:dyDescent="0.25">
      <c r="A270" t="s">
        <v>4</v>
      </c>
      <c r="B270" s="16" t="s">
        <v>5</v>
      </c>
      <c r="C270" cm="1">
        <f t="array" ref="C270:E270">C263:E263+C269*(C268:E268)</f>
        <v>2.5782084508073924</v>
      </c>
      <c r="D270">
        <v>2.0999291893033551</v>
      </c>
      <c r="E270">
        <v>-1.3431889248329403</v>
      </c>
      <c r="G270"/>
    </row>
    <row r="271" spans="1:7" x14ac:dyDescent="0.25">
      <c r="A271" s="1">
        <f>1+A264</f>
        <v>39</v>
      </c>
      <c r="B271" t="s">
        <v>6</v>
      </c>
      <c r="C271" s="13">
        <f t="shared" ref="C271" si="444">3*C270-D270^3-0.5*C270*E270</f>
        <v>0.20607266486756104</v>
      </c>
      <c r="D271" s="14">
        <f t="shared" ref="D271" si="445">C270^2-(D270+0.1)^2+2*E270+0.9</f>
        <v>2.1092528199855853E-2</v>
      </c>
      <c r="E271" s="14">
        <f t="shared" ref="E271" si="446">EXP(-C270)+1/D270+1.5*E270+2</f>
        <v>0.53733302488500811</v>
      </c>
      <c r="G271" s="1">
        <f>0.5*(C271*C271+D271*D271+E271*E271)</f>
        <v>0.1658188087917763</v>
      </c>
    </row>
    <row r="272" spans="1:7" x14ac:dyDescent="0.25">
      <c r="C272" s="17">
        <f t="shared" ref="C272" si="447">3-0.5*E270</f>
        <v>3.6715944624164703</v>
      </c>
      <c r="D272" s="18">
        <f t="shared" ref="D272" si="448">-3*D270^2</f>
        <v>-13.229107800264739</v>
      </c>
      <c r="E272" s="19">
        <f t="shared" ref="E272" si="449">-0.5*C270</f>
        <v>-1.2891042254036962</v>
      </c>
    </row>
    <row r="273" spans="1:7" x14ac:dyDescent="0.25">
      <c r="B273" t="s">
        <v>7</v>
      </c>
      <c r="C273" s="20">
        <f t="shared" ref="C273" si="450">2*C270</f>
        <v>5.1564169016147847</v>
      </c>
      <c r="D273" s="14">
        <f t="shared" ref="D273" si="451">-2*(D270+0.1)</f>
        <v>-4.3998583786067105</v>
      </c>
      <c r="E273" s="21">
        <f>2</f>
        <v>2</v>
      </c>
    </row>
    <row r="274" spans="1:7" x14ac:dyDescent="0.25">
      <c r="C274" s="22">
        <f t="shared" ref="C274" si="452">-EXP(-C270)</f>
        <v>-7.5909878555185162E-2</v>
      </c>
      <c r="D274" s="23">
        <f t="shared" ref="D274" si="453">-1/D270^2</f>
        <v>-0.22677266262354931</v>
      </c>
      <c r="E274" s="24">
        <f t="shared" ref="E274" si="454">1.5</f>
        <v>1.5</v>
      </c>
    </row>
    <row r="275" spans="1:7" x14ac:dyDescent="0.25">
      <c r="B275" t="s">
        <v>12</v>
      </c>
      <c r="C275" cm="1">
        <f t="array" ref="C275:E275">-MMULT(C271:E271,C272:E274)</f>
        <v>-0.82458823942795412</v>
      </c>
      <c r="D275">
        <v>2.9408140759156667</v>
      </c>
      <c r="E275">
        <v>-0.58253545070625112</v>
      </c>
      <c r="F275">
        <f>F268</f>
        <v>1</v>
      </c>
      <c r="G275"/>
    </row>
    <row r="276" spans="1:7" x14ac:dyDescent="0.25">
      <c r="B276" t="s">
        <v>13</v>
      </c>
      <c r="C276">
        <f t="shared" ref="C276" si="455">G271/SUMPRODUCT(_xlfn.ANCHORARRAY(C275),_xlfn.ANCHORARRAY(C275))</f>
        <v>1.7151870563880144E-2</v>
      </c>
      <c r="D276"/>
      <c r="E276"/>
      <c r="G276"/>
    </row>
    <row r="277" spans="1:7" x14ac:dyDescent="0.25">
      <c r="A277" t="s">
        <v>4</v>
      </c>
      <c r="B277" s="16" t="s">
        <v>5</v>
      </c>
      <c r="C277" cm="1">
        <f t="array" ref="C277:E277">C270:E270+C276*(C275:E275)</f>
        <v>2.5640652200562264</v>
      </c>
      <c r="D277">
        <v>2.1503696516858977</v>
      </c>
      <c r="E277">
        <v>-1.3531804974823254</v>
      </c>
      <c r="G277"/>
    </row>
    <row r="278" spans="1:7" x14ac:dyDescent="0.25">
      <c r="A278" s="1">
        <f>1+A271</f>
        <v>40</v>
      </c>
      <c r="B278" t="s">
        <v>6</v>
      </c>
      <c r="C278" s="13">
        <f t="shared" ref="C278" si="456">3*C277-D277^3-0.5*C277*E277</f>
        <v>-0.51648484095288993</v>
      </c>
      <c r="D278" s="14">
        <f t="shared" ref="D278" si="457">C277^2-(D277+0.1)^2+2*E277+0.9</f>
        <v>-0.29609411149157505</v>
      </c>
      <c r="E278" s="14">
        <f t="shared" ref="E278" si="458">EXP(-C277)+1/D277+1.5*E277+2</f>
        <v>0.51225669624506143</v>
      </c>
      <c r="G278" s="1">
        <f>0.5*(C278*C278+D278*D278+E278*E278)</f>
        <v>0.30841761832101122</v>
      </c>
    </row>
    <row r="279" spans="1:7" x14ac:dyDescent="0.25">
      <c r="C279" s="17">
        <f t="shared" ref="C279" si="459">3-0.5*E277</f>
        <v>3.6765902487411628</v>
      </c>
      <c r="D279" s="18">
        <f t="shared" ref="D279" si="460">-3*D277^2</f>
        <v>-13.872268916675186</v>
      </c>
      <c r="E279" s="19">
        <f t="shared" ref="E279" si="461">-0.5*C277</f>
        <v>-1.2820326100281132</v>
      </c>
    </row>
    <row r="280" spans="1:7" x14ac:dyDescent="0.25">
      <c r="B280" t="s">
        <v>7</v>
      </c>
      <c r="C280" s="20">
        <f t="shared" ref="C280" si="462">2*C277</f>
        <v>5.1281304401124528</v>
      </c>
      <c r="D280" s="14">
        <f t="shared" ref="D280" si="463">-2*(D277+0.1)</f>
        <v>-4.5007393033717955</v>
      </c>
      <c r="E280" s="21">
        <f>2</f>
        <v>2</v>
      </c>
    </row>
    <row r="281" spans="1:7" x14ac:dyDescent="0.25">
      <c r="C281" s="22">
        <f t="shared" ref="C281" si="464">-EXP(-C277)</f>
        <v>-7.6991117566923062E-2</v>
      </c>
      <c r="D281" s="23">
        <f t="shared" ref="D281" si="465">-1/D277^2</f>
        <v>-0.21625878347801092</v>
      </c>
      <c r="E281" s="24">
        <f t="shared" ref="E281" si="466">1.5</f>
        <v>1.5</v>
      </c>
    </row>
    <row r="282" spans="1:7" x14ac:dyDescent="0.25">
      <c r="B282" t="s">
        <v>12</v>
      </c>
      <c r="C282" cm="1">
        <f t="array" ref="C282:E282">-MMULT(C278:E278,C279:E281)</f>
        <v>3.456751571673069</v>
      </c>
      <c r="D282">
        <v>-8.3866790002133627</v>
      </c>
      <c r="E282">
        <v>-0.83834723007123046</v>
      </c>
      <c r="F282">
        <f>F275</f>
        <v>1</v>
      </c>
      <c r="G282"/>
    </row>
    <row r="283" spans="1:7" x14ac:dyDescent="0.25">
      <c r="B283" t="s">
        <v>13</v>
      </c>
      <c r="C283">
        <f t="shared" ref="C283" si="467">G278/SUMPRODUCT(_xlfn.ANCHORARRAY(C282),_xlfn.ANCHORARRAY(C282))</f>
        <v>3.7163969094588046E-3</v>
      </c>
      <c r="D283"/>
      <c r="E283"/>
      <c r="G283"/>
    </row>
    <row r="284" spans="1:7" x14ac:dyDescent="0.25">
      <c r="A284" t="s">
        <v>4</v>
      </c>
      <c r="B284" s="16" t="s">
        <v>5</v>
      </c>
      <c r="C284" cm="1">
        <f t="array" ref="C284:E284">C277:E277+C283*(C282:E282)</f>
        <v>2.5769118809139591</v>
      </c>
      <c r="D284">
        <v>2.1192014237688817</v>
      </c>
      <c r="E284">
        <v>-1.3562961285372155</v>
      </c>
      <c r="G284"/>
    </row>
    <row r="285" spans="1:7" x14ac:dyDescent="0.25">
      <c r="A285" s="1">
        <f>1+A278</f>
        <v>41</v>
      </c>
      <c r="B285" t="s">
        <v>6</v>
      </c>
      <c r="C285" s="13">
        <f t="shared" ref="C285" si="468">3*C284-D284^3-0.5*C284*E284</f>
        <v>-3.9101245801479889E-2</v>
      </c>
      <c r="D285" s="14">
        <f t="shared" ref="D285" si="469">C284^2-(D284+0.1)^2+2*E284+0.9</f>
        <v>-9.6972374336745104E-2</v>
      </c>
      <c r="E285" s="14">
        <f t="shared" ref="E285" si="470">EXP(-C284)+1/D284+1.5*E284+2</f>
        <v>0.51344003471003008</v>
      </c>
      <c r="G285" s="1">
        <f>0.5*(C285*C285+D285*D285+E285*E285)</f>
        <v>0.13727660902538524</v>
      </c>
    </row>
    <row r="286" spans="1:7" x14ac:dyDescent="0.25">
      <c r="C286" s="17">
        <f t="shared" ref="C286" si="471">3-0.5*E284</f>
        <v>3.6781480642686075</v>
      </c>
      <c r="D286" s="18">
        <f t="shared" ref="D286" si="472">-3*D284^2</f>
        <v>-13.473044023512166</v>
      </c>
      <c r="E286" s="19">
        <f t="shared" ref="E286" si="473">-0.5*C284</f>
        <v>-1.2884559404569795</v>
      </c>
    </row>
    <row r="287" spans="1:7" x14ac:dyDescent="0.25">
      <c r="B287" t="s">
        <v>7</v>
      </c>
      <c r="C287" s="20">
        <f t="shared" ref="C287" si="474">2*C284</f>
        <v>5.1538237618279181</v>
      </c>
      <c r="D287" s="14">
        <f t="shared" ref="D287" si="475">-2*(D284+0.1)</f>
        <v>-4.4384028475377635</v>
      </c>
      <c r="E287" s="21">
        <f>2</f>
        <v>2</v>
      </c>
    </row>
    <row r="288" spans="1:7" x14ac:dyDescent="0.25">
      <c r="C288" s="22">
        <f t="shared" ref="C288" si="476">-EXP(-C284)</f>
        <v>-7.6008364851720439E-2</v>
      </c>
      <c r="D288" s="23">
        <f t="shared" ref="D288" si="477">-1/D284^2</f>
        <v>-0.22266682976501975</v>
      </c>
      <c r="E288" s="24">
        <f t="shared" ref="E288" si="478">1.5</f>
        <v>1.5</v>
      </c>
    </row>
    <row r="289" spans="1:7" x14ac:dyDescent="0.25">
      <c r="B289" t="s">
        <v>12</v>
      </c>
      <c r="C289" cm="1">
        <f t="array" ref="C289:E289">-MMULT(C285:E285,C286:E288)</f>
        <v>0.68262443614051305</v>
      </c>
      <c r="D289">
        <v>-0.8428892036428921</v>
      </c>
      <c r="E289">
        <v>-0.62659553582374017</v>
      </c>
      <c r="F289">
        <f>F282</f>
        <v>1</v>
      </c>
      <c r="G289"/>
    </row>
    <row r="290" spans="1:7" x14ac:dyDescent="0.25">
      <c r="B290" t="s">
        <v>13</v>
      </c>
      <c r="C290">
        <f t="shared" ref="C290" si="479">G285/SUMPRODUCT(_xlfn.ANCHORARRAY(C289),_xlfn.ANCHORARRAY(C289))</f>
        <v>8.7489696463469921E-2</v>
      </c>
      <c r="D290"/>
      <c r="E290"/>
      <c r="G290"/>
    </row>
    <row r="291" spans="1:7" x14ac:dyDescent="0.25">
      <c r="A291" t="s">
        <v>4</v>
      </c>
      <c r="B291" s="16" t="s">
        <v>5</v>
      </c>
      <c r="C291" cm="1">
        <f t="array" ref="C291:E291">C284:E284+C290*(C289:E289)</f>
        <v>2.6366344856304398</v>
      </c>
      <c r="D291">
        <v>2.0454573031898291</v>
      </c>
      <c r="E291">
        <v>-1.4111167817717998</v>
      </c>
      <c r="G291"/>
    </row>
    <row r="292" spans="1:7" x14ac:dyDescent="0.25">
      <c r="A292" s="1">
        <f>1+A285</f>
        <v>42</v>
      </c>
      <c r="B292" t="s">
        <v>6</v>
      </c>
      <c r="C292" s="13">
        <f t="shared" ref="C292" si="480">3*C291-D291^3-0.5*C291*E291</f>
        <v>1.2122232737247531</v>
      </c>
      <c r="D292" s="14">
        <f t="shared" ref="D292" si="481">C291^2-(D291+0.1)^2+2*E291+0.9</f>
        <v>0.42662080746151887</v>
      </c>
      <c r="E292" s="14">
        <f t="shared" ref="E292" si="482">EXP(-C291)+1/D291+1.5*E291+2</f>
        <v>0.44381489863095336</v>
      </c>
      <c r="G292" s="1">
        <f>0.5*(C292*C292+D292*D292+E292*E292)</f>
        <v>0.92423112148293973</v>
      </c>
    </row>
    <row r="293" spans="1:7" x14ac:dyDescent="0.25">
      <c r="C293" s="17">
        <f t="shared" ref="C293" si="483">3-0.5*E291</f>
        <v>3.7055583908859</v>
      </c>
      <c r="D293" s="18">
        <f t="shared" ref="D293" si="484">-3*D291^2</f>
        <v>-12.551686737517825</v>
      </c>
      <c r="E293" s="19">
        <f t="shared" ref="E293" si="485">-0.5*C291</f>
        <v>-1.3183172428152199</v>
      </c>
    </row>
    <row r="294" spans="1:7" x14ac:dyDescent="0.25">
      <c r="B294" t="s">
        <v>7</v>
      </c>
      <c r="C294" s="20">
        <f t="shared" ref="C294" si="486">2*C291</f>
        <v>5.2732689712608796</v>
      </c>
      <c r="D294" s="14">
        <f t="shared" ref="D294" si="487">-2*(D291+0.1)</f>
        <v>-4.2909146063796584</v>
      </c>
      <c r="E294" s="21">
        <f>2</f>
        <v>2</v>
      </c>
    </row>
    <row r="295" spans="1:7" x14ac:dyDescent="0.25">
      <c r="C295" s="22">
        <f t="shared" ref="C295" si="488">-EXP(-C291)</f>
        <v>-7.16018415316544E-2</v>
      </c>
      <c r="D295" s="23">
        <f t="shared" ref="D295" si="489">-1/D291^2</f>
        <v>-0.2390117011949319</v>
      </c>
      <c r="E295" s="24">
        <f t="shared" ref="E295" si="490">1.5</f>
        <v>1.5</v>
      </c>
    </row>
    <row r="296" spans="1:7" x14ac:dyDescent="0.25">
      <c r="B296" t="s">
        <v>12</v>
      </c>
      <c r="C296" cm="1">
        <f t="array" ref="C296:E296">-MMULT(C292:E292,C293:E295)</f>
        <v>-6.7098724260178626</v>
      </c>
      <c r="D296">
        <v>17.152117195780978</v>
      </c>
      <c r="E296">
        <v>7.9130881023788291E-2</v>
      </c>
      <c r="F296">
        <f>F289</f>
        <v>1</v>
      </c>
      <c r="G296"/>
    </row>
    <row r="297" spans="1:7" x14ac:dyDescent="0.25">
      <c r="B297" t="s">
        <v>13</v>
      </c>
      <c r="C297">
        <f t="shared" ref="C297" si="491">G292/SUMPRODUCT(_xlfn.ANCHORARRAY(C296),_xlfn.ANCHORARRAY(C296))</f>
        <v>2.7245470170710719E-3</v>
      </c>
      <c r="D297"/>
      <c r="E297"/>
      <c r="G297"/>
    </row>
    <row r="298" spans="1:7" x14ac:dyDescent="0.25">
      <c r="A298" t="s">
        <v>4</v>
      </c>
      <c r="B298" s="16" t="s">
        <v>5</v>
      </c>
      <c r="C298" cm="1">
        <f t="array" ref="C298:E298">C291:E291+C297*(C296:E296)</f>
        <v>2.6183531227272052</v>
      </c>
      <c r="D298">
        <v>2.0921890529320475</v>
      </c>
      <c r="E298">
        <v>-1.4109011859659482</v>
      </c>
      <c r="G298"/>
    </row>
    <row r="299" spans="1:7" x14ac:dyDescent="0.25">
      <c r="A299" s="1">
        <f>1+A292</f>
        <v>43</v>
      </c>
      <c r="B299" t="s">
        <v>6</v>
      </c>
      <c r="C299" s="13">
        <f t="shared" ref="C299" si="492">3*C298-D298^3-0.5*C298*E298</f>
        <v>0.54413306887740087</v>
      </c>
      <c r="D299" s="14">
        <f t="shared" ref="D299" si="493">C298^2-(D298+0.1)^2+2*E298+0.9</f>
        <v>0.12827785956830262</v>
      </c>
      <c r="E299" s="14">
        <f t="shared" ref="E299" si="494">EXP(-C298)+1/D298+1.5*E298+2</f>
        <v>0.43453935857619586</v>
      </c>
      <c r="G299" s="1">
        <f>0.5*(C299*C299+D299*D299+E299*E299)</f>
        <v>0.25068023002658757</v>
      </c>
    </row>
    <row r="300" spans="1:7" x14ac:dyDescent="0.25">
      <c r="C300" s="17">
        <f t="shared" ref="C300" si="495">3-0.5*E298</f>
        <v>3.7054505929829742</v>
      </c>
      <c r="D300" s="18">
        <f t="shared" ref="D300" si="496">-3*D298^2</f>
        <v>-13.131765099626094</v>
      </c>
      <c r="E300" s="19">
        <f t="shared" ref="E300" si="497">-0.5*C298</f>
        <v>-1.3091765613636026</v>
      </c>
    </row>
    <row r="301" spans="1:7" x14ac:dyDescent="0.25">
      <c r="B301" t="s">
        <v>7</v>
      </c>
      <c r="C301" s="20">
        <f t="shared" ref="C301" si="498">2*C298</f>
        <v>5.2367062454544104</v>
      </c>
      <c r="D301" s="14">
        <f t="shared" ref="D301" si="499">-2*(D298+0.1)</f>
        <v>-4.3843781058640952</v>
      </c>
      <c r="E301" s="21">
        <f>2</f>
        <v>2</v>
      </c>
    </row>
    <row r="302" spans="1:7" x14ac:dyDescent="0.25">
      <c r="C302" s="22">
        <f t="shared" ref="C302" si="500">-EXP(-C298)</f>
        <v>-7.2922858989975775E-2</v>
      </c>
      <c r="D302" s="23">
        <f t="shared" ref="D302" si="501">-1/D298^2</f>
        <v>-0.22845367528584715</v>
      </c>
      <c r="E302" s="24">
        <f t="shared" ref="E302" si="502">1.5</f>
        <v>1.5</v>
      </c>
    </row>
    <row r="303" spans="1:7" x14ac:dyDescent="0.25">
      <c r="B303" t="s">
        <v>12</v>
      </c>
      <c r="C303" cm="1">
        <f t="array" ref="C303:E303">-MMULT(C299:E299,C300:E302)</f>
        <v>-2.6563238187172185</v>
      </c>
      <c r="D303">
        <v>7.807118395918156</v>
      </c>
      <c r="E303">
        <v>-0.19599849696375904</v>
      </c>
      <c r="F303">
        <f>F296</f>
        <v>1</v>
      </c>
      <c r="G303"/>
    </row>
    <row r="304" spans="1:7" x14ac:dyDescent="0.25">
      <c r="B304" t="s">
        <v>13</v>
      </c>
      <c r="C304">
        <f t="shared" ref="C304" si="503">G299/SUMPRODUCT(_xlfn.ANCHORARRAY(C303),_xlfn.ANCHORARRAY(C303))</f>
        <v>3.684005184282562E-3</v>
      </c>
      <c r="D304"/>
      <c r="E304"/>
      <c r="G304"/>
    </row>
    <row r="305" spans="1:7" x14ac:dyDescent="0.25">
      <c r="A305" t="s">
        <v>4</v>
      </c>
      <c r="B305" s="16" t="s">
        <v>5</v>
      </c>
      <c r="C305" cm="1">
        <f t="array" ref="C305:E305">C298:E298+C304*(C303:E303)</f>
        <v>2.6085672120079177</v>
      </c>
      <c r="D305">
        <v>2.1209505175769179</v>
      </c>
      <c r="E305">
        <v>-1.4116232454448743</v>
      </c>
      <c r="G305"/>
    </row>
    <row r="306" spans="1:7" x14ac:dyDescent="0.25">
      <c r="A306" s="1">
        <f>1+A299</f>
        <v>44</v>
      </c>
      <c r="B306" t="s">
        <v>6</v>
      </c>
      <c r="C306" s="13">
        <f t="shared" ref="C306" si="504">3*C305-D305^3-0.5*C305*E305</f>
        <v>0.12590892730362535</v>
      </c>
      <c r="D306" s="14">
        <f t="shared" ref="D306" si="505">C305^2-(D305+0.1)^2+2*E305+0.9</f>
        <v>-5.1244792852167875E-2</v>
      </c>
      <c r="E306" s="14">
        <f t="shared" ref="E306" si="506">EXP(-C305)+1/D305+1.5*E305+2</f>
        <v>0.42769182919489657</v>
      </c>
      <c r="G306" s="1">
        <f>0.5*(C306*C306+D306*D306+E306*E306)</f>
        <v>0.1006996937646439</v>
      </c>
    </row>
    <row r="307" spans="1:7" x14ac:dyDescent="0.25">
      <c r="C307" s="17">
        <f t="shared" ref="C307" si="507">3-0.5*E305</f>
        <v>3.7058116227224369</v>
      </c>
      <c r="D307" s="18">
        <f t="shared" ref="D307" si="508">-3*D305^2</f>
        <v>-13.495293294029388</v>
      </c>
      <c r="E307" s="19">
        <f t="shared" ref="E307" si="509">-0.5*C305</f>
        <v>-1.3042836060039589</v>
      </c>
    </row>
    <row r="308" spans="1:7" x14ac:dyDescent="0.25">
      <c r="B308" t="s">
        <v>7</v>
      </c>
      <c r="C308" s="20">
        <f t="shared" ref="C308" si="510">2*C305</f>
        <v>5.2171344240158355</v>
      </c>
      <c r="D308" s="14">
        <f t="shared" ref="D308" si="511">-2*(D305+0.1)</f>
        <v>-4.4419010351538359</v>
      </c>
      <c r="E308" s="21">
        <f>2</f>
        <v>2</v>
      </c>
    </row>
    <row r="309" spans="1:7" x14ac:dyDescent="0.25">
      <c r="C309" s="22">
        <f t="shared" ref="C309" si="512">-EXP(-C305)</f>
        <v>-7.3639978689275049E-2</v>
      </c>
      <c r="D309" s="23">
        <f t="shared" ref="D309" si="513">-1/D305^2</f>
        <v>-0.22229972588496949</v>
      </c>
      <c r="E309" s="24">
        <f t="shared" ref="E309" si="514">1.5</f>
        <v>1.5</v>
      </c>
    </row>
    <row r="310" spans="1:7" x14ac:dyDescent="0.25">
      <c r="B310" t="s">
        <v>12</v>
      </c>
      <c r="C310" cm="1">
        <f t="array" ref="C310:E310">-MMULT(C306:E306,C307:E309)</f>
        <v>-0.1677485761781943</v>
      </c>
      <c r="D310">
        <v>1.5666293802760274</v>
      </c>
      <c r="E310">
        <v>-0.37482720835634631</v>
      </c>
      <c r="F310">
        <f>F303</f>
        <v>1</v>
      </c>
      <c r="G310"/>
    </row>
    <row r="311" spans="1:7" x14ac:dyDescent="0.25">
      <c r="B311" t="s">
        <v>13</v>
      </c>
      <c r="C311">
        <f t="shared" ref="C311" si="515">G306/SUMPRODUCT(_xlfn.ANCHORARRAY(C310),_xlfn.ANCHORARRAY(C310))</f>
        <v>3.8391585293495789E-2</v>
      </c>
      <c r="D311"/>
      <c r="E311"/>
      <c r="G311"/>
    </row>
    <row r="312" spans="1:7" x14ac:dyDescent="0.25">
      <c r="A312" t="s">
        <v>4</v>
      </c>
      <c r="B312" s="16" t="s">
        <v>5</v>
      </c>
      <c r="C312" cm="1">
        <f t="array" ref="C312:E312">C305:E305+C311*(C310:E310)</f>
        <v>2.6021270782377099</v>
      </c>
      <c r="D312">
        <v>2.1810959030530817</v>
      </c>
      <c r="E312">
        <v>-1.4260134561848099</v>
      </c>
      <c r="G312"/>
    </row>
    <row r="313" spans="1:7" x14ac:dyDescent="0.25">
      <c r="A313" s="1">
        <f>1+A306</f>
        <v>45</v>
      </c>
      <c r="B313" t="s">
        <v>6</v>
      </c>
      <c r="C313" s="13">
        <f t="shared" ref="C313" si="516">3*C312-D312^3-0.5*C312*E312</f>
        <v>-0.71414901603943126</v>
      </c>
      <c r="D313" s="14">
        <f t="shared" ref="D313" si="517">C312^2-(D312+0.1)^2+2*E312+0.9</f>
        <v>-0.38436009999725396</v>
      </c>
      <c r="E313" s="14">
        <f t="shared" ref="E313" si="518">EXP(-C312)+1/D312+1.5*E312+2</f>
        <v>0.39358068840800398</v>
      </c>
      <c r="G313" s="1">
        <f>0.5*(C313*C313+D313*D313+E313*E313)</f>
        <v>0.40632363093385265</v>
      </c>
    </row>
    <row r="314" spans="1:7" x14ac:dyDescent="0.25">
      <c r="C314" s="17">
        <f t="shared" ref="C314" si="519">3-0.5*E312</f>
        <v>3.7130067280924051</v>
      </c>
      <c r="D314" s="18">
        <f t="shared" ref="D314" si="520">-3*D312^2</f>
        <v>-14.271538014944813</v>
      </c>
      <c r="E314" s="19">
        <f t="shared" ref="E314" si="521">-0.5*C312</f>
        <v>-1.301063539118855</v>
      </c>
    </row>
    <row r="315" spans="1:7" x14ac:dyDescent="0.25">
      <c r="B315" t="s">
        <v>7</v>
      </c>
      <c r="C315" s="20">
        <f t="shared" ref="C315" si="522">2*C312</f>
        <v>5.2042541564754199</v>
      </c>
      <c r="D315" s="14">
        <f t="shared" ref="D315" si="523">-2*(D312+0.1)</f>
        <v>-4.5621918061061635</v>
      </c>
      <c r="E315" s="21">
        <f>2</f>
        <v>2</v>
      </c>
    </row>
    <row r="316" spans="1:7" x14ac:dyDescent="0.25">
      <c r="C316" s="22">
        <f t="shared" ref="C316" si="524">-EXP(-C312)</f>
        <v>-7.411576040739204E-2</v>
      </c>
      <c r="D316" s="23">
        <f t="shared" ref="D316" si="525">-1/D312^2</f>
        <v>-0.21020859818041138</v>
      </c>
      <c r="E316" s="24">
        <f t="shared" ref="E316" si="526">1.5</f>
        <v>1.5</v>
      </c>
    </row>
    <row r="317" spans="1:7" x14ac:dyDescent="0.25">
      <c r="B317" t="s">
        <v>12</v>
      </c>
      <c r="C317" cm="1">
        <f t="array" ref="C317:E317">-MMULT(C313:E313,C314:E316)</f>
        <v>4.6811182814120205</v>
      </c>
      <c r="D317">
        <v>-11.862795284762665</v>
      </c>
      <c r="E317">
        <v>-0.75080407888400846</v>
      </c>
      <c r="F317">
        <f>F310</f>
        <v>1</v>
      </c>
      <c r="G317"/>
    </row>
    <row r="318" spans="1:7" x14ac:dyDescent="0.25">
      <c r="B318" t="s">
        <v>13</v>
      </c>
      <c r="C318">
        <f t="shared" ref="C318" si="527">G313/SUMPRODUCT(_xlfn.ANCHORARRAY(C317),_xlfn.ANCHORARRAY(C317))</f>
        <v>2.4896901889172444E-3</v>
      </c>
      <c r="D318"/>
      <c r="E318"/>
      <c r="G318"/>
    </row>
    <row r="319" spans="1:7" x14ac:dyDescent="0.25">
      <c r="A319" t="s">
        <v>4</v>
      </c>
      <c r="B319" s="16" t="s">
        <v>5</v>
      </c>
      <c r="C319" cm="1">
        <f t="array" ref="C319:E319">C312:E312+C318*(C317:E317)</f>
        <v>2.6137816124961026</v>
      </c>
      <c r="D319">
        <v>2.1515612180194741</v>
      </c>
      <c r="E319">
        <v>-1.4278827257338065</v>
      </c>
      <c r="G319"/>
    </row>
    <row r="320" spans="1:7" x14ac:dyDescent="0.25">
      <c r="A320" s="1">
        <f>1+A313</f>
        <v>46</v>
      </c>
      <c r="B320" t="s">
        <v>6</v>
      </c>
      <c r="C320" s="13">
        <f t="shared" ref="C320" si="528">3*C319-D319^3-0.5*C319*E319</f>
        <v>-0.25260927178113879</v>
      </c>
      <c r="D320" s="14">
        <f t="shared" ref="D320" si="529">C319^2-(D319+0.1)^2+2*E319+0.9</f>
        <v>-0.19343905213422452</v>
      </c>
      <c r="E320" s="14">
        <f t="shared" ref="E320" si="530">EXP(-C319)+1/D319+1.5*E319+2</f>
        <v>0.39621168207097535</v>
      </c>
      <c r="G320" s="1">
        <f>0.5*(C320*C320+D320*D320+E320*E320)</f>
        <v>0.12910690404494807</v>
      </c>
    </row>
    <row r="321" spans="1:7" x14ac:dyDescent="0.25">
      <c r="C321" s="17">
        <f t="shared" ref="C321" si="531">3-0.5*E319</f>
        <v>3.7139413628669034</v>
      </c>
      <c r="D321" s="18">
        <f t="shared" ref="D321" si="532">-3*D319^2</f>
        <v>-13.887647024656328</v>
      </c>
      <c r="E321" s="19">
        <f t="shared" ref="E321" si="533">-0.5*C319</f>
        <v>-1.3068908062480513</v>
      </c>
    </row>
    <row r="322" spans="1:7" x14ac:dyDescent="0.25">
      <c r="B322" t="s">
        <v>7</v>
      </c>
      <c r="C322" s="20">
        <f t="shared" ref="C322" si="534">2*C319</f>
        <v>5.2275632249922053</v>
      </c>
      <c r="D322" s="14">
        <f t="shared" ref="D322" si="535">-2*(D319+0.1)</f>
        <v>-4.5031224360389484</v>
      </c>
      <c r="E322" s="21">
        <f>2</f>
        <v>2</v>
      </c>
    </row>
    <row r="323" spans="1:7" x14ac:dyDescent="0.25">
      <c r="C323" s="22">
        <f t="shared" ref="C323" si="536">-EXP(-C319)</f>
        <v>-7.3256989745104334E-2</v>
      </c>
      <c r="D323" s="23">
        <f t="shared" ref="D323" si="537">-1/D319^2</f>
        <v>-0.21601931519959838</v>
      </c>
      <c r="E323" s="24">
        <f t="shared" ref="E323" si="538">1.5</f>
        <v>1.5</v>
      </c>
    </row>
    <row r="324" spans="1:7" x14ac:dyDescent="0.25">
      <c r="B324" t="s">
        <v>12</v>
      </c>
      <c r="C324" cm="1">
        <f t="array" ref="C324:E324">-MMULT(C320:E320,C321:E323)</f>
        <v>1.9784161734562444</v>
      </c>
      <c r="D324">
        <v>-4.2936387610886149</v>
      </c>
      <c r="E324">
        <v>-0.53757215370179956</v>
      </c>
      <c r="F324">
        <f>F317</f>
        <v>1</v>
      </c>
      <c r="G324"/>
    </row>
    <row r="325" spans="1:7" x14ac:dyDescent="0.25">
      <c r="B325" t="s">
        <v>13</v>
      </c>
      <c r="C325">
        <f t="shared" ref="C325" si="539">G320/SUMPRODUCT(_xlfn.ANCHORARRAY(C324),_xlfn.ANCHORARRAY(C324))</f>
        <v>5.7029926689783116E-3</v>
      </c>
      <c r="D325"/>
      <c r="E325"/>
      <c r="G325"/>
    </row>
    <row r="326" spans="1:7" x14ac:dyDescent="0.25">
      <c r="A326" t="s">
        <v>4</v>
      </c>
      <c r="B326" s="16" t="s">
        <v>5</v>
      </c>
      <c r="C326" cm="1">
        <f t="array" ref="C326:E326">C319:E319+C325*(C324:E324)</f>
        <v>2.6250645054295116</v>
      </c>
      <c r="D326">
        <v>2.1270746276417447</v>
      </c>
      <c r="E326">
        <v>-1.4309484957854148</v>
      </c>
      <c r="G326"/>
    </row>
    <row r="327" spans="1:7" x14ac:dyDescent="0.25">
      <c r="A327" s="1">
        <f>1+A320</f>
        <v>47</v>
      </c>
      <c r="B327" t="s">
        <v>6</v>
      </c>
      <c r="C327" s="13">
        <f t="shared" ref="C327" si="540">3*C326-D326^3-0.5*C326*E326</f>
        <v>0.12952427520787624</v>
      </c>
      <c r="D327" s="14">
        <f t="shared" ref="D327" si="541">C326^2-(D326+0.1)^2+2*E326+0.9</f>
        <v>-3.0794730990559294E-2</v>
      </c>
      <c r="E327" s="14">
        <f t="shared" ref="E327" si="542">EXP(-C326)+1/D326+1.5*E326+2</f>
        <v>0.3961415910372692</v>
      </c>
      <c r="G327" s="1">
        <f>0.5*(C327*C327+D327*D327+E327*E327)</f>
        <v>8.7326506737222809E-2</v>
      </c>
    </row>
    <row r="328" spans="1:7" x14ac:dyDescent="0.25">
      <c r="C328" s="17">
        <f t="shared" ref="C328" si="543">3-0.5*E326</f>
        <v>3.7154742478927076</v>
      </c>
      <c r="D328" s="18">
        <f t="shared" ref="D328" si="544">-3*D326^2</f>
        <v>-13.573339414671802</v>
      </c>
      <c r="E328" s="19">
        <f t="shared" ref="E328" si="545">-0.5*C326</f>
        <v>-1.3125322527147558</v>
      </c>
    </row>
    <row r="329" spans="1:7" x14ac:dyDescent="0.25">
      <c r="B329" t="s">
        <v>7</v>
      </c>
      <c r="C329" s="20">
        <f t="shared" ref="C329" si="546">2*C326</f>
        <v>5.2501290108590233</v>
      </c>
      <c r="D329" s="14">
        <f t="shared" ref="D329" si="547">-2*(D326+0.1)</f>
        <v>-4.4541492552834896</v>
      </c>
      <c r="E329" s="21">
        <f>2</f>
        <v>2</v>
      </c>
    </row>
    <row r="330" spans="1:7" x14ac:dyDescent="0.25">
      <c r="C330" s="22">
        <f t="shared" ref="C330" si="548">-EXP(-C326)</f>
        <v>-7.2435084427316124E-2</v>
      </c>
      <c r="D330" s="23">
        <f t="shared" ref="D330" si="549">-1/D326^2</f>
        <v>-0.22102151197642758</v>
      </c>
      <c r="E330" s="24">
        <f t="shared" ref="E330" si="550">1.5</f>
        <v>1.5</v>
      </c>
    </row>
    <row r="331" spans="1:7" x14ac:dyDescent="0.25">
      <c r="B331" t="s">
        <v>12</v>
      </c>
      <c r="C331" cm="1">
        <f t="array" ref="C331:E331">-MMULT(C327:E327,C328:E330)</f>
        <v>-0.29087324886474136</v>
      </c>
      <c r="D331">
        <v>1.708468435135414</v>
      </c>
      <c r="E331">
        <v>-0.3626181358549454</v>
      </c>
      <c r="F331">
        <f>F324</f>
        <v>1</v>
      </c>
      <c r="G331"/>
    </row>
    <row r="332" spans="1:7" x14ac:dyDescent="0.25">
      <c r="B332" t="s">
        <v>13</v>
      </c>
      <c r="C332">
        <f t="shared" ref="C332" si="551">G327/SUMPRODUCT(_xlfn.ANCHORARRAY(C331),_xlfn.ANCHORARRAY(C331))</f>
        <v>2.7855668895353965E-2</v>
      </c>
      <c r="D332"/>
      <c r="E332"/>
      <c r="G332"/>
    </row>
    <row r="333" spans="1:7" x14ac:dyDescent="0.25">
      <c r="A333" t="s">
        <v>4</v>
      </c>
      <c r="B333" s="16" t="s">
        <v>5</v>
      </c>
      <c r="C333" cm="1">
        <f t="array" ref="C333:E333">C326:E326+C332*(C331:E331)</f>
        <v>2.6169620365186197</v>
      </c>
      <c r="D333">
        <v>2.1746651586890402</v>
      </c>
      <c r="E333">
        <v>-1.4410494665132407</v>
      </c>
      <c r="G333"/>
    </row>
    <row r="334" spans="1:7" x14ac:dyDescent="0.25">
      <c r="A334" s="1">
        <f>1+A327</f>
        <v>48</v>
      </c>
      <c r="B334" t="s">
        <v>6</v>
      </c>
      <c r="C334" s="13">
        <f t="shared" ref="C334" si="552">3*C333-D333^3-0.5*C333*E333</f>
        <v>-0.5478860976458817</v>
      </c>
      <c r="D334" s="14">
        <f t="shared" ref="D334" si="553">C333^2-(D333+0.1)^2+2*E333+0.9</f>
        <v>-0.30771021660063702</v>
      </c>
      <c r="E334" s="14">
        <f t="shared" ref="E334" si="554">EXP(-C333)+1/D333+1.5*E333+2</f>
        <v>0.37129107925666771</v>
      </c>
      <c r="G334" s="1">
        <f>0.5*(C334*C334+D334*D334+E334*E334)</f>
        <v>0.26636090946481233</v>
      </c>
    </row>
    <row r="335" spans="1:7" x14ac:dyDescent="0.25">
      <c r="C335" s="17">
        <f t="shared" ref="C335" si="555">3-0.5*E333</f>
        <v>3.7205247332566205</v>
      </c>
      <c r="D335" s="18">
        <f t="shared" ref="D335" si="556">-3*D333^2</f>
        <v>-14.187505657248085</v>
      </c>
      <c r="E335" s="19">
        <f t="shared" ref="E335" si="557">-0.5*C333</f>
        <v>-1.3084810182593098</v>
      </c>
    </row>
    <row r="336" spans="1:7" x14ac:dyDescent="0.25">
      <c r="B336" t="s">
        <v>7</v>
      </c>
      <c r="C336" s="20">
        <f t="shared" ref="C336" si="558">2*C333</f>
        <v>5.2339240730372394</v>
      </c>
      <c r="D336" s="14">
        <f t="shared" ref="D336" si="559">-2*(D333+0.1)</f>
        <v>-4.5493303173780806</v>
      </c>
      <c r="E336" s="21">
        <f>2</f>
        <v>2</v>
      </c>
    </row>
    <row r="337" spans="1:7" x14ac:dyDescent="0.25">
      <c r="C337" s="22">
        <f t="shared" ref="C337" si="560">-EXP(-C333)</f>
        <v>-7.302437156340788E-2</v>
      </c>
      <c r="D337" s="23">
        <f t="shared" ref="D337" si="561">-1/D333^2</f>
        <v>-0.21145366017650652</v>
      </c>
      <c r="E337" s="24">
        <f t="shared" ref="E337" si="562">1.5</f>
        <v>1.5</v>
      </c>
    </row>
    <row r="338" spans="1:7" x14ac:dyDescent="0.25">
      <c r="B338" t="s">
        <v>12</v>
      </c>
      <c r="C338" cm="1">
        <f t="array" ref="C338:E338">-MMULT(C334:E334,C335:E337)</f>
        <v>3.67606898521435</v>
      </c>
      <c r="D338">
        <v>-9.0945016695270695</v>
      </c>
      <c r="E338">
        <v>-0.65841474462153049</v>
      </c>
      <c r="F338">
        <f>F331</f>
        <v>1</v>
      </c>
      <c r="G338"/>
    </row>
    <row r="339" spans="1:7" x14ac:dyDescent="0.25">
      <c r="B339" t="s">
        <v>13</v>
      </c>
      <c r="C339">
        <f t="shared" ref="C339" si="563">G334/SUMPRODUCT(_xlfn.ANCHORARRAY(C338),_xlfn.ANCHORARRAY(C338))</f>
        <v>2.7557345752824416E-3</v>
      </c>
      <c r="D339"/>
      <c r="E339"/>
      <c r="G339"/>
    </row>
    <row r="340" spans="1:7" x14ac:dyDescent="0.25">
      <c r="A340" t="s">
        <v>4</v>
      </c>
      <c r="B340" s="16" t="s">
        <v>5</v>
      </c>
      <c r="C340" cm="1">
        <f t="array" ref="C340:E340">C333:E333+C339*(C338:E338)</f>
        <v>2.6270923069222984</v>
      </c>
      <c r="D340">
        <v>2.1496031259933606</v>
      </c>
      <c r="E340">
        <v>-1.4428638827898701</v>
      </c>
      <c r="G340"/>
    </row>
    <row r="341" spans="1:7" x14ac:dyDescent="0.25">
      <c r="A341" s="1">
        <f>1+A334</f>
        <v>49</v>
      </c>
      <c r="B341" t="s">
        <v>6</v>
      </c>
      <c r="C341" s="13">
        <f t="shared" ref="C341" si="564">3*C340-D340^3-0.5*C340*E340</f>
        <v>-0.15632714160977201</v>
      </c>
      <c r="D341" s="14">
        <f t="shared" ref="D341" si="565">C340^2-(D340+0.1)^2+2*E340+0.9</f>
        <v>-0.14482800096851667</v>
      </c>
      <c r="E341" s="14">
        <f t="shared" ref="E341" si="566">EXP(-C340)+1/D340+1.5*E340+2</f>
        <v>0.37319467702181575</v>
      </c>
      <c r="G341" s="1">
        <f>0.5*(C341*C341+D341*D341+E341*E341)</f>
        <v>9.2343796012917881E-2</v>
      </c>
    </row>
    <row r="342" spans="1:7" x14ac:dyDescent="0.25">
      <c r="C342" s="17">
        <f t="shared" ref="C342" si="567">3-0.5*E340</f>
        <v>3.7214319413949353</v>
      </c>
      <c r="D342" s="18">
        <f t="shared" ref="D342" si="568">-3*D340^2</f>
        <v>-13.862380797841283</v>
      </c>
      <c r="E342" s="19">
        <f t="shared" ref="E342" si="569">-0.5*C340</f>
        <v>-1.3135461534611492</v>
      </c>
    </row>
    <row r="343" spans="1:7" x14ac:dyDescent="0.25">
      <c r="B343" t="s">
        <v>7</v>
      </c>
      <c r="C343" s="20">
        <f t="shared" ref="C343" si="570">2*C340</f>
        <v>5.2541846138445969</v>
      </c>
      <c r="D343" s="14">
        <f t="shared" ref="D343" si="571">-2*(D340+0.1)</f>
        <v>-4.4992062519867213</v>
      </c>
      <c r="E343" s="21">
        <f>2</f>
        <v>2</v>
      </c>
    </row>
    <row r="344" spans="1:7" x14ac:dyDescent="0.25">
      <c r="C344" s="22">
        <f t="shared" ref="C344" si="572">-EXP(-C340)</f>
        <v>-7.228834928014051E-2</v>
      </c>
      <c r="D344" s="23">
        <f t="shared" ref="D344" si="573">-1/D340^2</f>
        <v>-0.21641304215702792</v>
      </c>
      <c r="E344" s="24">
        <f t="shared" ref="E344" si="574">1.5</f>
        <v>1.5</v>
      </c>
    </row>
    <row r="345" spans="1:7" x14ac:dyDescent="0.25">
      <c r="B345" t="s">
        <v>12</v>
      </c>
      <c r="C345" cm="1">
        <f t="array" ref="C345:E345">-MMULT(C341:E341,C342:E344)</f>
        <v>1.3696914995982679</v>
      </c>
      <c r="D345">
        <v>-2.737913218081907</v>
      </c>
      <c r="E345">
        <v>-0.47547892913878265</v>
      </c>
      <c r="F345">
        <f>F338</f>
        <v>1</v>
      </c>
      <c r="G345"/>
    </row>
    <row r="346" spans="1:7" x14ac:dyDescent="0.25">
      <c r="B346" t="s">
        <v>13</v>
      </c>
      <c r="C346">
        <f t="shared" ref="C346" si="575">G341/SUMPRODUCT(_xlfn.ANCHORARRAY(C345),_xlfn.ANCHORARRAY(C345))</f>
        <v>9.6208452952282857E-3</v>
      </c>
      <c r="D346"/>
      <c r="E346"/>
      <c r="G346"/>
    </row>
    <row r="347" spans="1:7" x14ac:dyDescent="0.25">
      <c r="A347" t="s">
        <v>4</v>
      </c>
      <c r="B347" s="16" t="s">
        <v>5</v>
      </c>
      <c r="C347" cm="1">
        <f t="array" ref="C347:E347">C340:E340+C346*(C345:E345)</f>
        <v>2.6402698969421228</v>
      </c>
      <c r="D347">
        <v>2.1232620864904339</v>
      </c>
      <c r="E347">
        <v>-1.4474383920082552</v>
      </c>
      <c r="G347"/>
    </row>
    <row r="348" spans="1:7" x14ac:dyDescent="0.25">
      <c r="A348" s="1">
        <f>1+A341</f>
        <v>50</v>
      </c>
      <c r="B348" t="s">
        <v>6</v>
      </c>
      <c r="C348" s="13">
        <f t="shared" ref="C348" si="576">3*C347-D347^3-0.5*C347*E347</f>
        <v>0.25944462051025829</v>
      </c>
      <c r="D348" s="14">
        <f t="shared" ref="D348" si="577">C347^2-(D347+0.1)^2+2*E347+0.9</f>
        <v>3.3254039456458551E-2</v>
      </c>
      <c r="E348" s="14">
        <f t="shared" ref="E348" si="578">EXP(-C347)+1/D347+1.5*E347+2</f>
        <v>0.37115784092575765</v>
      </c>
      <c r="G348" s="1">
        <f>0.5*(C348*C348+D348*D348+E348*E348)</f>
        <v>0.10308774256627684</v>
      </c>
    </row>
    <row r="349" spans="1:7" x14ac:dyDescent="0.25">
      <c r="C349" s="17">
        <f t="shared" ref="C349" si="579">3-0.5*E347</f>
        <v>3.7237191960041276</v>
      </c>
      <c r="D349" s="18">
        <f t="shared" ref="D349" si="580">-3*D347^2</f>
        <v>-13.524725663783133</v>
      </c>
      <c r="E349" s="19">
        <f t="shared" ref="E349" si="581">-0.5*C347</f>
        <v>-1.3201349484710614</v>
      </c>
    </row>
    <row r="350" spans="1:7" x14ac:dyDescent="0.25">
      <c r="B350" t="s">
        <v>7</v>
      </c>
      <c r="C350" s="20">
        <f t="shared" ref="C350" si="582">2*C347</f>
        <v>5.2805397938842455</v>
      </c>
      <c r="D350" s="14">
        <f t="shared" ref="D350" si="583">-2*(D347+0.1)</f>
        <v>-4.446524172980868</v>
      </c>
      <c r="E350" s="21">
        <f>2</f>
        <v>2</v>
      </c>
    </row>
    <row r="351" spans="1:7" x14ac:dyDescent="0.25">
      <c r="C351" s="22">
        <f t="shared" ref="C351" si="584">-EXP(-C347)</f>
        <v>-7.1342011966845961E-2</v>
      </c>
      <c r="D351" s="23">
        <f t="shared" ref="D351" si="585">-1/D347^2</f>
        <v>-0.22181595949361688</v>
      </c>
      <c r="E351" s="24">
        <f t="shared" ref="E351" si="586">1.5</f>
        <v>1.5</v>
      </c>
    </row>
    <row r="352" spans="1:7" x14ac:dyDescent="0.25">
      <c r="B352" t="s">
        <v>12</v>
      </c>
      <c r="C352" cm="1">
        <f t="array" ref="C352:E352">-MMULT(C348:E348,C349:E351)</f>
        <v>-1.1152190452223671</v>
      </c>
      <c r="D352">
        <v>3.739110940246495</v>
      </c>
      <c r="E352">
        <v>-0.28074292957314967</v>
      </c>
      <c r="F352">
        <f>F345</f>
        <v>1</v>
      </c>
      <c r="G352"/>
    </row>
    <row r="353" spans="1:7" x14ac:dyDescent="0.25">
      <c r="B353" t="s">
        <v>13</v>
      </c>
      <c r="C353">
        <f t="shared" ref="C353" si="587">G348/SUMPRODUCT(_xlfn.ANCHORARRAY(C352),_xlfn.ANCHORARRAY(C352))</f>
        <v>6.7362284667589175E-3</v>
      </c>
      <c r="D353"/>
      <c r="E353"/>
      <c r="G353"/>
    </row>
    <row r="354" spans="1:7" x14ac:dyDescent="0.25">
      <c r="A354" t="s">
        <v>4</v>
      </c>
      <c r="B354" s="16" t="s">
        <v>5</v>
      </c>
      <c r="C354" cm="1">
        <f t="array" ref="C354:E354">C347:E347+C353*(C352:E352)</f>
        <v>2.6327575266630241</v>
      </c>
      <c r="D354">
        <v>2.1484495920464921</v>
      </c>
      <c r="E354">
        <v>-1.4493295405222872</v>
      </c>
      <c r="G354"/>
    </row>
    <row r="355" spans="1:7" x14ac:dyDescent="0.25">
      <c r="A355" s="1">
        <f>1+A348</f>
        <v>51</v>
      </c>
      <c r="B355" t="s">
        <v>6</v>
      </c>
      <c r="C355" s="13">
        <f t="shared" ref="C355" si="588">3*C354-D354^3-0.5*C354*E354</f>
        <v>-0.11075101005938737</v>
      </c>
      <c r="D355" s="14">
        <f t="shared" ref="D355" si="589">C354^2-(D354+0.1)^2+2*E354+0.9</f>
        <v>-0.12277245481780763</v>
      </c>
      <c r="E355" s="14">
        <f t="shared" ref="E355" si="590">EXP(-C354)+1/D354+1.5*E354+2</f>
        <v>0.36333759271519517</v>
      </c>
      <c r="G355" s="1">
        <f>0.5*(C355*C355+D355*D355+E355*E355)</f>
        <v>7.9676534085619088E-2</v>
      </c>
    </row>
    <row r="356" spans="1:7" x14ac:dyDescent="0.25">
      <c r="C356" s="17">
        <f t="shared" ref="C356" si="591">3-0.5*E354</f>
        <v>3.7246647702611435</v>
      </c>
      <c r="D356" s="18">
        <f t="shared" ref="D356" si="592">-3*D354^2</f>
        <v>-13.847506948694216</v>
      </c>
      <c r="E356" s="19">
        <f t="shared" ref="E356" si="593">-0.5*C354</f>
        <v>-1.316378763331512</v>
      </c>
    </row>
    <row r="357" spans="1:7" x14ac:dyDescent="0.25">
      <c r="B357" t="s">
        <v>7</v>
      </c>
      <c r="C357" s="20">
        <f t="shared" ref="C357" si="594">2*C354</f>
        <v>5.2655150533260482</v>
      </c>
      <c r="D357" s="14">
        <f t="shared" ref="D357" si="595">-2*(D354+0.1)</f>
        <v>-4.4968991840929844</v>
      </c>
      <c r="E357" s="21">
        <f>2</f>
        <v>2</v>
      </c>
    </row>
    <row r="358" spans="1:7" x14ac:dyDescent="0.25">
      <c r="C358" s="22">
        <f t="shared" ref="C358" si="596">-EXP(-C354)</f>
        <v>-7.1879977746225329E-2</v>
      </c>
      <c r="D358" s="23">
        <f t="shared" ref="D358" si="597">-1/D354^2</f>
        <v>-0.21664549518661858</v>
      </c>
      <c r="E358" s="24">
        <f t="shared" ref="E358" si="598">1.5</f>
        <v>1.5</v>
      </c>
    </row>
    <row r="359" spans="1:7" x14ac:dyDescent="0.25">
      <c r="B359" t="s">
        <v>12</v>
      </c>
      <c r="C359" cm="1">
        <f t="array" ref="C359:E359">-MMULT(C355:E355,C356:E358)</f>
        <v>1.0850872924947312</v>
      </c>
      <c r="D359">
        <v>-2.007005280577864</v>
      </c>
      <c r="E359">
        <v>-0.4452517570968697</v>
      </c>
      <c r="F359">
        <f>F352</f>
        <v>1</v>
      </c>
      <c r="G359"/>
    </row>
    <row r="360" spans="1:7" x14ac:dyDescent="0.25">
      <c r="B360" t="s">
        <v>13</v>
      </c>
      <c r="C360">
        <f t="shared" ref="C360" si="599">G355/SUMPRODUCT(_xlfn.ANCHORARRAY(C359),_xlfn.ANCHORARRAY(C359))</f>
        <v>1.4744718686429919E-2</v>
      </c>
      <c r="D360"/>
      <c r="E360"/>
      <c r="G360"/>
    </row>
    <row r="361" spans="1:7" x14ac:dyDescent="0.25">
      <c r="A361" t="s">
        <v>4</v>
      </c>
      <c r="B361" s="16" t="s">
        <v>5</v>
      </c>
      <c r="C361" cm="1">
        <f t="array" ref="C361:E361">C354:E354+C360*(C359:E359)</f>
        <v>2.6487568335410789</v>
      </c>
      <c r="D361">
        <v>2.1188568637821921</v>
      </c>
      <c r="E361">
        <v>-1.4558946524253191</v>
      </c>
      <c r="G361"/>
    </row>
    <row r="362" spans="1:7" x14ac:dyDescent="0.25">
      <c r="A362" s="1">
        <f>1+A355</f>
        <v>52</v>
      </c>
      <c r="B362" t="s">
        <v>6</v>
      </c>
      <c r="C362" s="13">
        <f t="shared" ref="C362" si="600">3*C361-D361^3-0.5*C361*E361</f>
        <v>0.3617027801365067</v>
      </c>
      <c r="D362" s="14">
        <f t="shared" ref="D362" si="601">C361^2-(D361+0.1)^2+2*E361+0.9</f>
        <v>8.0797676426579312E-2</v>
      </c>
      <c r="E362" s="14">
        <f t="shared" ref="E362" si="602">EXP(-C361)+1/D361+1.5*E361+2</f>
        <v>0.35884971747812155</v>
      </c>
      <c r="G362" s="1">
        <f>0.5*(C362*C362+D362*D362+E362*E362)</f>
        <v>0.13306514270427</v>
      </c>
    </row>
    <row r="363" spans="1:7" x14ac:dyDescent="0.25">
      <c r="C363" s="17">
        <f t="shared" ref="C363" si="603">3-0.5*E361</f>
        <v>3.7279473262126595</v>
      </c>
      <c r="D363" s="18">
        <f t="shared" ref="D363" si="604">-3*D361^2</f>
        <v>-13.468663227590721</v>
      </c>
      <c r="E363" s="19">
        <f t="shared" ref="E363" si="605">-0.5*C361</f>
        <v>-1.3243784167705395</v>
      </c>
    </row>
    <row r="364" spans="1:7" x14ac:dyDescent="0.25">
      <c r="B364" t="s">
        <v>7</v>
      </c>
      <c r="C364" s="20">
        <f t="shared" ref="C364" si="606">2*C361</f>
        <v>5.2975136670821579</v>
      </c>
      <c r="D364" s="14">
        <f t="shared" ref="D364" si="607">-2*(D361+0.1)</f>
        <v>-4.4377137275643843</v>
      </c>
      <c r="E364" s="21">
        <f>2</f>
        <v>2</v>
      </c>
    </row>
    <row r="365" spans="1:7" x14ac:dyDescent="0.25">
      <c r="C365" s="22">
        <f t="shared" ref="C365" si="608">-EXP(-C361)</f>
        <v>-7.0739098895831104E-2</v>
      </c>
      <c r="D365" s="23">
        <f t="shared" ref="D365" si="609">-1/D361^2</f>
        <v>-0.2227392540229578</v>
      </c>
      <c r="E365" s="24">
        <f t="shared" ref="E365" si="610">1.5</f>
        <v>1.5</v>
      </c>
    </row>
    <row r="366" spans="1:7" x14ac:dyDescent="0.25">
      <c r="B366" t="s">
        <v>12</v>
      </c>
      <c r="C366" cm="1">
        <f t="array" ref="C366:E366">-MMULT(C362:E362,C363:E365)</f>
        <v>-1.7510510015784353</v>
      </c>
      <c r="D366">
        <v>5.3101398103528608</v>
      </c>
      <c r="E366">
        <v>-0.22083857377165167</v>
      </c>
      <c r="F366">
        <f>F359</f>
        <v>1</v>
      </c>
      <c r="G366"/>
    </row>
    <row r="367" spans="1:7" x14ac:dyDescent="0.25">
      <c r="B367" t="s">
        <v>13</v>
      </c>
      <c r="C367">
        <f t="shared" ref="C367" si="611">G362/SUMPRODUCT(_xlfn.ANCHORARRAY(C366),_xlfn.ANCHORARRAY(C366))</f>
        <v>4.2495807690406499E-3</v>
      </c>
      <c r="D367"/>
      <c r="E367"/>
      <c r="G367"/>
    </row>
    <row r="368" spans="1:7" x14ac:dyDescent="0.25">
      <c r="A368" t="s">
        <v>4</v>
      </c>
      <c r="B368" s="16" t="s">
        <v>5</v>
      </c>
      <c r="C368" cm="1">
        <f t="array" ref="C368:E368">C361:E361+C367*(C366:E366)</f>
        <v>2.6413156008791621</v>
      </c>
      <c r="D368">
        <v>2.1414227318011849</v>
      </c>
      <c r="E368">
        <v>-1.4568331237814816</v>
      </c>
      <c r="G368"/>
    </row>
    <row r="369" spans="1:7" x14ac:dyDescent="0.25">
      <c r="A369" s="1">
        <f>1+A362</f>
        <v>53</v>
      </c>
      <c r="B369" t="s">
        <v>6</v>
      </c>
      <c r="C369" s="13">
        <f t="shared" ref="C369" si="612">3*C368-D368^3-0.5*C368*E368</f>
        <v>2.8021205804002358E-2</v>
      </c>
      <c r="D369" s="14">
        <f t="shared" ref="D369" si="613">C368^2-(D368+0.1)^2+2*E368+0.9</f>
        <v>-6.109400675040122E-2</v>
      </c>
      <c r="E369" s="14">
        <f t="shared" ref="E369" si="614">EXP(-C368)+1/D368+1.5*E368+2</f>
        <v>0.35299702142981793</v>
      </c>
      <c r="G369" s="1">
        <f>0.5*(C369*C369+D369*D369+E369*E369)</f>
        <v>6.4562281386925824E-2</v>
      </c>
    </row>
    <row r="370" spans="1:7" x14ac:dyDescent="0.25">
      <c r="C370" s="17">
        <f t="shared" ref="C370" si="615">3-0.5*E368</f>
        <v>3.7284165618907408</v>
      </c>
      <c r="D370" s="18">
        <f t="shared" ref="D370" si="616">-3*D368^2</f>
        <v>-13.757073948824548</v>
      </c>
      <c r="E370" s="19">
        <f t="shared" ref="E370" si="617">-0.5*C368</f>
        <v>-1.320657800439581</v>
      </c>
    </row>
    <row r="371" spans="1:7" x14ac:dyDescent="0.25">
      <c r="B371" t="s">
        <v>7</v>
      </c>
      <c r="C371" s="20">
        <f t="shared" ref="C371" si="618">2*C368</f>
        <v>5.2826312017583241</v>
      </c>
      <c r="D371" s="14">
        <f t="shared" ref="D371" si="619">-2*(D368+0.1)</f>
        <v>-4.48284546360237</v>
      </c>
      <c r="E371" s="21">
        <f>2</f>
        <v>2</v>
      </c>
    </row>
    <row r="372" spans="1:7" x14ac:dyDescent="0.25">
      <c r="C372" s="22">
        <f t="shared" ref="C372" si="620">-EXP(-C368)</f>
        <v>-7.1267448336591377E-2</v>
      </c>
      <c r="D372" s="23">
        <f t="shared" ref="D372" si="621">-1/D368^2</f>
        <v>-0.21806962811712807</v>
      </c>
      <c r="E372" s="24">
        <f t="shared" ref="E372" si="622">1.5</f>
        <v>1.5</v>
      </c>
    </row>
    <row r="373" spans="1:7" x14ac:dyDescent="0.25">
      <c r="B373" t="s">
        <v>12</v>
      </c>
      <c r="C373" cm="1">
        <f t="array" ref="C373:E373">-MMULT(C369:E369,C370:E372)</f>
        <v>0.24341957548403198</v>
      </c>
      <c r="D373">
        <v>0.18859273855621772</v>
      </c>
      <c r="E373">
        <v>-0.37030109462114591</v>
      </c>
      <c r="F373">
        <f>F366</f>
        <v>1</v>
      </c>
      <c r="G373"/>
    </row>
    <row r="374" spans="1:7" x14ac:dyDescent="0.25">
      <c r="B374" t="s">
        <v>13</v>
      </c>
      <c r="C374">
        <f t="shared" ref="C374" si="623">G369/SUMPRODUCT(_xlfn.ANCHORARRAY(C373),_xlfn.ANCHORARRAY(C373))</f>
        <v>0.27835383060094065</v>
      </c>
      <c r="D374"/>
      <c r="E374"/>
      <c r="G374"/>
    </row>
    <row r="375" spans="1:7" x14ac:dyDescent="0.25">
      <c r="A375" t="s">
        <v>4</v>
      </c>
      <c r="B375" s="16" t="s">
        <v>5</v>
      </c>
      <c r="C375" cm="1">
        <f t="array" ref="C375:E375">C368:E368+C374*(C373:E373)</f>
        <v>2.7090723721583974</v>
      </c>
      <c r="D375">
        <v>2.1939182430018298</v>
      </c>
      <c r="E375">
        <v>-1.5599078519449989</v>
      </c>
      <c r="G375"/>
    </row>
    <row r="376" spans="1:7" x14ac:dyDescent="0.25">
      <c r="A376" s="1">
        <f>1+A369</f>
        <v>54</v>
      </c>
      <c r="B376" t="s">
        <v>6</v>
      </c>
      <c r="C376" s="13">
        <f t="shared" ref="C376" si="624">3*C375-D375^3-0.5*C375*E375</f>
        <v>-0.31976803382220531</v>
      </c>
      <c r="D376" s="14">
        <f t="shared" ref="D376" si="625">C375^2-(D375+0.1)^2+2*E375+0.9</f>
        <v>-0.14280349187467356</v>
      </c>
      <c r="E376" s="14">
        <f t="shared" ref="E376" si="626">EXP(-C375)+1/D375+1.5*E375+2</f>
        <v>0.18254227804832701</v>
      </c>
      <c r="G376" s="1">
        <f>0.5*(C376*C376+D376*D376+E376*E376)</f>
        <v>7.7983058010595865E-2</v>
      </c>
    </row>
    <row r="377" spans="1:7" x14ac:dyDescent="0.25">
      <c r="C377" s="17">
        <f t="shared" ref="C377" si="627">3-0.5*E375</f>
        <v>3.7799539259724995</v>
      </c>
      <c r="D377" s="18">
        <f t="shared" ref="D377" si="628">-3*D375^2</f>
        <v>-14.439831770928709</v>
      </c>
      <c r="E377" s="19">
        <f t="shared" ref="E377" si="629">-0.5*C375</f>
        <v>-1.3545361860791987</v>
      </c>
    </row>
    <row r="378" spans="1:7" x14ac:dyDescent="0.25">
      <c r="B378" t="s">
        <v>7</v>
      </c>
      <c r="C378" s="20">
        <f t="shared" ref="C378" si="630">2*C375</f>
        <v>5.4181447443167947</v>
      </c>
      <c r="D378" s="14">
        <f t="shared" ref="D378" si="631">-2*(D375+0.1)</f>
        <v>-4.5878364860036598</v>
      </c>
      <c r="E378" s="21">
        <f>2</f>
        <v>2</v>
      </c>
    </row>
    <row r="379" spans="1:7" x14ac:dyDescent="0.25">
      <c r="C379" s="22">
        <f t="shared" ref="C379" si="632">-EXP(-C375)</f>
        <v>-6.6598556745512835E-2</v>
      </c>
      <c r="D379" s="23">
        <f t="shared" ref="D379" si="633">-1/D375^2</f>
        <v>-0.20775865311947833</v>
      </c>
      <c r="E379" s="24">
        <f t="shared" ref="E379" si="634">1.5</f>
        <v>1.5</v>
      </c>
    </row>
    <row r="380" spans="1:7" x14ac:dyDescent="0.25">
      <c r="B380" t="s">
        <v>12</v>
      </c>
      <c r="C380" cm="1">
        <f t="array" ref="C380:E380">-MMULT(C376:E376,C377:E379)</f>
        <v>1.9945954760806575</v>
      </c>
      <c r="D380">
        <v>-5.2346309466399594</v>
      </c>
      <c r="E380">
        <v>-0.42134380628671758</v>
      </c>
      <c r="F380">
        <f>F373</f>
        <v>1</v>
      </c>
      <c r="G380"/>
    </row>
    <row r="381" spans="1:7" x14ac:dyDescent="0.25">
      <c r="B381" t="s">
        <v>13</v>
      </c>
      <c r="C381">
        <f t="shared" ref="C381" si="635">G376/SUMPRODUCT(_xlfn.ANCHORARRAY(C380),_xlfn.ANCHORARRAY(C380))</f>
        <v>2.4711572578658609E-3</v>
      </c>
      <c r="D381"/>
      <c r="E381"/>
      <c r="G381"/>
    </row>
    <row r="382" spans="1:7" x14ac:dyDescent="0.25">
      <c r="A382" t="s">
        <v>4</v>
      </c>
      <c r="B382" s="16" t="s">
        <v>5</v>
      </c>
      <c r="C382" cm="1">
        <f t="array" ref="C382:E382">C375:E375+C381*(C380:E380)</f>
        <v>2.7140013312456204</v>
      </c>
      <c r="D382">
        <v>2.1809826467457913</v>
      </c>
      <c r="E382">
        <v>-1.5609490587499613</v>
      </c>
      <c r="G382"/>
    </row>
    <row r="383" spans="1:7" x14ac:dyDescent="0.25">
      <c r="A383" s="1">
        <f>1+A376</f>
        <v>55</v>
      </c>
      <c r="B383" t="s">
        <v>6</v>
      </c>
      <c r="C383" s="13">
        <f t="shared" ref="C383" si="636">3*C382-D382^3-0.5*C382*E382</f>
        <v>-0.11403520165793823</v>
      </c>
      <c r="D383" s="14">
        <f t="shared" ref="D383" si="637">C382^2-(D382+0.1)^2+2*E382+0.9</f>
        <v>-5.8976726252358502E-2</v>
      </c>
      <c r="E383" s="14">
        <f t="shared" ref="E383" si="638">EXP(-C382)+1/D382+1.5*E382+2</f>
        <v>0.18335643568919258</v>
      </c>
      <c r="G383" s="1">
        <f>0.5*(C383*C383+D383*D383+E383*E383)</f>
        <v>2.505093198262864E-2</v>
      </c>
    </row>
    <row r="384" spans="1:7" x14ac:dyDescent="0.25">
      <c r="C384" s="17">
        <f t="shared" ref="C384" si="639">3-0.5*E382</f>
        <v>3.7804745293749806</v>
      </c>
      <c r="D384" s="18">
        <f t="shared" ref="D384" si="640">-3*D382^2</f>
        <v>-14.270055916218832</v>
      </c>
      <c r="E384" s="19">
        <f t="shared" ref="E384" si="641">-0.5*C382</f>
        <v>-1.3570006656228102</v>
      </c>
    </row>
    <row r="385" spans="1:7" x14ac:dyDescent="0.25">
      <c r="B385" t="s">
        <v>7</v>
      </c>
      <c r="C385" s="20">
        <f t="shared" ref="C385" si="642">2*C382</f>
        <v>5.4280026624912407</v>
      </c>
      <c r="D385" s="14">
        <f t="shared" ref="D385" si="643">-2*(D382+0.1)</f>
        <v>-4.5619652934915829</v>
      </c>
      <c r="E385" s="21">
        <f>2</f>
        <v>2</v>
      </c>
    </row>
    <row r="386" spans="1:7" x14ac:dyDescent="0.25">
      <c r="C386" s="22">
        <f t="shared" ref="C386" si="644">-EXP(-C382)</f>
        <v>-6.6271102850419566E-2</v>
      </c>
      <c r="D386" s="23">
        <f t="shared" ref="D386" si="645">-1/D382^2</f>
        <v>-0.21023043060331026</v>
      </c>
      <c r="E386" s="24">
        <f t="shared" ref="E386" si="646">1.5</f>
        <v>1.5</v>
      </c>
    </row>
    <row r="387" spans="1:7" x14ac:dyDescent="0.25">
      <c r="B387" t="s">
        <v>12</v>
      </c>
      <c r="C387" cm="1">
        <f t="array" ref="C387:E387">-MMULT(C383:E383,C384:E386)</f>
        <v>0.76338423565063884</v>
      </c>
      <c r="D387">
        <v>-1.8577913799342554</v>
      </c>
      <c r="E387">
        <v>-0.31182704558332541</v>
      </c>
      <c r="F387">
        <f>F380</f>
        <v>1</v>
      </c>
      <c r="G387"/>
    </row>
    <row r="388" spans="1:7" x14ac:dyDescent="0.25">
      <c r="B388" t="s">
        <v>13</v>
      </c>
      <c r="C388">
        <f t="shared" ref="C388" si="647">G383/SUMPRODUCT(_xlfn.ANCHORARRAY(C387),_xlfn.ANCHORARRAY(C387))</f>
        <v>6.0635742785458257E-3</v>
      </c>
      <c r="D388"/>
      <c r="E388"/>
      <c r="G388"/>
    </row>
    <row r="389" spans="1:7" x14ac:dyDescent="0.25">
      <c r="A389" t="s">
        <v>4</v>
      </c>
      <c r="B389" s="16" t="s">
        <v>5</v>
      </c>
      <c r="C389" cm="1">
        <f t="array" ref="C389:E389">C382:E382+C388*(C387:E387)</f>
        <v>2.718630168261559</v>
      </c>
      <c r="D389">
        <v>2.1697177907195178</v>
      </c>
      <c r="E389">
        <v>-1.5628398452029153</v>
      </c>
      <c r="G389"/>
    </row>
    <row r="390" spans="1:7" x14ac:dyDescent="0.25">
      <c r="A390" s="1">
        <f>1+A383</f>
        <v>56</v>
      </c>
      <c r="B390" t="s">
        <v>6</v>
      </c>
      <c r="C390" s="13">
        <f t="shared" ref="C390" si="648">3*C389-D389^3-0.5*C389*E389</f>
        <v>6.5955447844749493E-2</v>
      </c>
      <c r="D390" s="14">
        <f t="shared" ref="D390" si="649">C389^2-(D389+0.1)^2+2*E389+0.9</f>
        <v>1.3651451867352837E-2</v>
      </c>
      <c r="E390" s="14">
        <f t="shared" ref="E390" si="650">EXP(-C389)+1/D389+1.5*E389+2</f>
        <v>0.18259471770856162</v>
      </c>
      <c r="G390" s="1">
        <f>0.5*(C390*C390+D390*D390+E390*E390)</f>
        <v>1.893865708677871E-2</v>
      </c>
    </row>
    <row r="391" spans="1:7" x14ac:dyDescent="0.25">
      <c r="C391" s="17">
        <f t="shared" ref="C391" si="651">3-0.5*E389</f>
        <v>3.7814199226014575</v>
      </c>
      <c r="D391" s="18">
        <f t="shared" ref="D391" si="652">-3*D389^2</f>
        <v>-14.123025874094354</v>
      </c>
      <c r="E391" s="19">
        <f t="shared" ref="E391" si="653">-0.5*C389</f>
        <v>-1.3593150841307795</v>
      </c>
    </row>
    <row r="392" spans="1:7" x14ac:dyDescent="0.25">
      <c r="B392" t="s">
        <v>7</v>
      </c>
      <c r="C392" s="20">
        <f t="shared" ref="C392" si="654">2*C389</f>
        <v>5.437260336523118</v>
      </c>
      <c r="D392" s="14">
        <f t="shared" ref="D392" si="655">-2*(D389+0.1)</f>
        <v>-4.5394355814390357</v>
      </c>
      <c r="E392" s="21">
        <f>2</f>
        <v>2</v>
      </c>
    </row>
    <row r="393" spans="1:7" x14ac:dyDescent="0.25">
      <c r="C393" s="22">
        <f t="shared" ref="C393" si="656">-EXP(-C389)</f>
        <v>-6.5965053588987618E-2</v>
      </c>
      <c r="D393" s="23">
        <f t="shared" ref="D393" si="657">-1/D389^2</f>
        <v>-0.21241906845917866</v>
      </c>
      <c r="E393" s="24">
        <f t="shared" ref="E393" si="658">1.5</f>
        <v>1.5</v>
      </c>
    </row>
    <row r="394" spans="1:7" x14ac:dyDescent="0.25">
      <c r="B394" t="s">
        <v>12</v>
      </c>
      <c r="C394" cm="1">
        <f t="array" ref="C394:E394">-MMULT(C390:E390,C391:E393)</f>
        <v>-0.3115868719198378</v>
      </c>
      <c r="D394">
        <v>1.0322469826350611</v>
      </c>
      <c r="E394">
        <v>-0.2115407451615792</v>
      </c>
      <c r="F394">
        <f>F387</f>
        <v>1</v>
      </c>
      <c r="G394"/>
    </row>
    <row r="395" spans="1:7" x14ac:dyDescent="0.25">
      <c r="B395" t="s">
        <v>13</v>
      </c>
      <c r="C395">
        <f t="shared" ref="C395" si="659">G390/SUMPRODUCT(_xlfn.ANCHORARRAY(C394),_xlfn.ANCHORARRAY(C394))</f>
        <v>1.5685880725668511E-2</v>
      </c>
      <c r="D395"/>
      <c r="E395"/>
      <c r="G395"/>
    </row>
    <row r="396" spans="1:7" x14ac:dyDescent="0.25">
      <c r="A396" t="s">
        <v>4</v>
      </c>
      <c r="B396" s="16" t="s">
        <v>5</v>
      </c>
      <c r="C396" cm="1">
        <f t="array" ref="C396:E396">C389:E389+C395*(C394:E394)</f>
        <v>2.7137426537529401</v>
      </c>
      <c r="D396">
        <v>2.1859094937685626</v>
      </c>
      <c r="E396">
        <v>-1.5661580481001389</v>
      </c>
      <c r="G396"/>
    </row>
    <row r="397" spans="1:7" x14ac:dyDescent="0.25">
      <c r="A397" s="1">
        <f>1+A390</f>
        <v>57</v>
      </c>
      <c r="B397" t="s">
        <v>6</v>
      </c>
      <c r="C397" s="13">
        <f t="shared" ref="C397" si="660">3*C396-D396^3-0.5*C396*E396</f>
        <v>-0.17841052148903058</v>
      </c>
      <c r="D397" s="14">
        <f t="shared" ref="D397" si="661">C396^2-(D396+0.1)^2+2*E396+0.9</f>
        <v>-9.3299119103474548E-2</v>
      </c>
      <c r="E397" s="14">
        <f t="shared" ref="E397" si="662">EXP(-C396)+1/D396+1.5*E396+2</f>
        <v>0.17452665809424728</v>
      </c>
      <c r="G397" s="1">
        <f>0.5*(C397*C397+D397*D397+E397*E397)</f>
        <v>3.5497297094509231E-2</v>
      </c>
    </row>
    <row r="398" spans="1:7" x14ac:dyDescent="0.25">
      <c r="C398" s="17">
        <f t="shared" ref="C398" si="663">3-0.5*E396</f>
        <v>3.7830790240500693</v>
      </c>
      <c r="D398" s="18">
        <f t="shared" ref="D398" si="664">-3*D396^2</f>
        <v>-14.334600944842602</v>
      </c>
      <c r="E398" s="19">
        <f t="shared" ref="E398" si="665">-0.5*C396</f>
        <v>-1.3568713268764701</v>
      </c>
    </row>
    <row r="399" spans="1:7" x14ac:dyDescent="0.25">
      <c r="B399" t="s">
        <v>7</v>
      </c>
      <c r="C399" s="20">
        <f t="shared" ref="C399" si="666">2*C396</f>
        <v>5.4274853075058802</v>
      </c>
      <c r="D399" s="14">
        <f t="shared" ref="D399" si="667">-2*(D396+0.1)</f>
        <v>-4.5718189875371253</v>
      </c>
      <c r="E399" s="21">
        <f>2</f>
        <v>2</v>
      </c>
    </row>
    <row r="400" spans="1:7" x14ac:dyDescent="0.25">
      <c r="C400" s="22">
        <f t="shared" ref="C400" si="668">-EXP(-C396)</f>
        <v>-6.6288247910567061E-2</v>
      </c>
      <c r="D400" s="23">
        <f t="shared" ref="D400" si="669">-1/D396^2</f>
        <v>-0.20928381693662426</v>
      </c>
      <c r="E400" s="24">
        <f t="shared" ref="E400" si="670">1.5</f>
        <v>1.5</v>
      </c>
    </row>
    <row r="401" spans="1:7" x14ac:dyDescent="0.25">
      <c r="B401" t="s">
        <v>12</v>
      </c>
      <c r="C401" cm="1">
        <f t="array" ref="C401:E401">-MMULT(C397:E397,C398:E400)</f>
        <v>1.1928897660310893</v>
      </c>
      <c r="D401">
        <v>-2.9474647089811148</v>
      </c>
      <c r="E401">
        <v>-0.31727186995596568</v>
      </c>
      <c r="F401">
        <f>F394</f>
        <v>1</v>
      </c>
      <c r="G401"/>
    </row>
    <row r="402" spans="1:7" x14ac:dyDescent="0.25">
      <c r="B402" t="s">
        <v>13</v>
      </c>
      <c r="C402">
        <f t="shared" ref="C402" si="671">G397/SUMPRODUCT(_xlfn.ANCHORARRAY(C401),_xlfn.ANCHORARRAY(C401))</f>
        <v>3.476311524319071E-3</v>
      </c>
      <c r="D402"/>
      <c r="E402"/>
      <c r="G402"/>
    </row>
    <row r="403" spans="1:7" x14ac:dyDescent="0.25">
      <c r="A403" t="s">
        <v>4</v>
      </c>
      <c r="B403" s="16" t="s">
        <v>5</v>
      </c>
      <c r="C403" cm="1">
        <f t="array" ref="C403:E403">C396:E396+C402*(C401:E401)</f>
        <v>2.7178895101938361</v>
      </c>
      <c r="D403">
        <v>2.1756631882332078</v>
      </c>
      <c r="E403">
        <v>-1.5672609839580092</v>
      </c>
      <c r="G403"/>
    </row>
    <row r="404" spans="1:7" x14ac:dyDescent="0.25">
      <c r="A404" s="1">
        <f>1+A397</f>
        <v>58</v>
      </c>
      <c r="B404" t="s">
        <v>6</v>
      </c>
      <c r="C404" s="13">
        <f t="shared" ref="C404" si="672">3*C403-D403^3-0.5*C403*E403</f>
        <v>-1.5034505016136901E-2</v>
      </c>
      <c r="D404" s="14">
        <f t="shared" ref="D404" si="673">C403^2-(D403+0.1)^2+2*E403+0.9</f>
        <v>-2.6241524574056707E-2</v>
      </c>
      <c r="E404" s="14">
        <f t="shared" ref="E404" si="674">EXP(-C403)+1/D403+1.5*E403+2</f>
        <v>0.1747524205697788</v>
      </c>
      <c r="G404" s="1">
        <f>0.5*(C404*C404+D404*D404+E404*E404)</f>
        <v>1.5726531224023958E-2</v>
      </c>
    </row>
    <row r="405" spans="1:7" x14ac:dyDescent="0.25">
      <c r="C405" s="17">
        <f t="shared" ref="C405" si="675">3-0.5*E403</f>
        <v>3.7836304919790047</v>
      </c>
      <c r="D405" s="18">
        <f t="shared" ref="D405" si="676">-3*D403^2</f>
        <v>-14.200530925899262</v>
      </c>
      <c r="E405" s="19">
        <f t="shared" ref="E405" si="677">-0.5*C403</f>
        <v>-1.358944755096918</v>
      </c>
    </row>
    <row r="406" spans="1:7" x14ac:dyDescent="0.25">
      <c r="B406" t="s">
        <v>7</v>
      </c>
      <c r="C406" s="20">
        <f t="shared" ref="C406" si="678">2*C403</f>
        <v>5.4357790203876721</v>
      </c>
      <c r="D406" s="14">
        <f t="shared" ref="D406" si="679">-2*(D403+0.1)</f>
        <v>-4.5513263764664158</v>
      </c>
      <c r="E406" s="21">
        <f>2</f>
        <v>2</v>
      </c>
    </row>
    <row r="407" spans="1:7" x14ac:dyDescent="0.25">
      <c r="C407" s="22">
        <f t="shared" ref="C407" si="680">-EXP(-C403)</f>
        <v>-6.6013929235952867E-2</v>
      </c>
      <c r="D407" s="23">
        <f t="shared" ref="D407" si="681">-1/D403^2</f>
        <v>-0.21125970681339312</v>
      </c>
      <c r="E407" s="24">
        <f t="shared" ref="E407" si="682">1.5</f>
        <v>1.5</v>
      </c>
    </row>
    <row r="408" spans="1:7" x14ac:dyDescent="0.25">
      <c r="B408" t="s">
        <v>12</v>
      </c>
      <c r="C408" cm="1">
        <f t="array" ref="C408:E408">-MMULT(C404:E404,C405:E407)</f>
        <v>0.21106423427881671</v>
      </c>
      <c r="D408">
        <v>-0.2960135512553333</v>
      </c>
      <c r="E408">
        <v>-0.23007664344371231</v>
      </c>
      <c r="F408">
        <f>F401</f>
        <v>1</v>
      </c>
      <c r="G408"/>
    </row>
    <row r="409" spans="1:7" x14ac:dyDescent="0.25">
      <c r="B409" t="s">
        <v>13</v>
      </c>
      <c r="C409">
        <f t="shared" ref="C409" si="683">G404/SUMPRODUCT(_xlfn.ANCHORARRAY(C408),_xlfn.ANCHORARRAY(C408))</f>
        <v>8.4958956890995835E-2</v>
      </c>
      <c r="D409"/>
      <c r="E409"/>
      <c r="G409"/>
    </row>
    <row r="410" spans="1:7" x14ac:dyDescent="0.25">
      <c r="A410" t="s">
        <v>4</v>
      </c>
      <c r="B410" s="16" t="s">
        <v>5</v>
      </c>
      <c r="C410" cm="1">
        <f t="array" ref="C410:E410">C403:E403+C409*(C408:E408)</f>
        <v>2.7358213073751609</v>
      </c>
      <c r="D410">
        <v>2.1505141856929555</v>
      </c>
      <c r="E410">
        <v>-1.5868080555899686</v>
      </c>
      <c r="G410"/>
    </row>
    <row r="411" spans="1:7" x14ac:dyDescent="0.25">
      <c r="A411" s="1">
        <f>1+A404</f>
        <v>59</v>
      </c>
      <c r="B411" t="s">
        <v>6</v>
      </c>
      <c r="C411" s="13">
        <f t="shared" ref="C411" si="684">3*C410-D410^3-0.5*C410*E410</f>
        <v>0.43256839119559265</v>
      </c>
      <c r="D411" s="14">
        <f t="shared" ref="D411" si="685">C410^2-(D410+0.1)^2+2*E410+0.9</f>
        <v>0.14628801470277042</v>
      </c>
      <c r="E411" s="14">
        <f t="shared" ref="E411" si="686">EXP(-C410)+1/D410+1.5*E410+2</f>
        <v>0.14963371792710256</v>
      </c>
      <c r="G411" s="1">
        <f>0.5*(C411*C411+D411*D411+E411*E411)</f>
        <v>0.11545292292395447</v>
      </c>
    </row>
    <row r="412" spans="1:7" x14ac:dyDescent="0.25">
      <c r="C412" s="17">
        <f t="shared" ref="C412" si="687">3-0.5*E410</f>
        <v>3.7934040277949843</v>
      </c>
      <c r="D412" s="18">
        <f t="shared" ref="D412" si="688">-3*D410^2</f>
        <v>-13.874133788599906</v>
      </c>
      <c r="E412" s="19">
        <f t="shared" ref="E412" si="689">-0.5*C410</f>
        <v>-1.3679106536875805</v>
      </c>
    </row>
    <row r="413" spans="1:7" x14ac:dyDescent="0.25">
      <c r="B413" t="s">
        <v>7</v>
      </c>
      <c r="C413" s="20">
        <f t="shared" ref="C413" si="690">2*C410</f>
        <v>5.4716426147503219</v>
      </c>
      <c r="D413" s="14">
        <f t="shared" ref="D413" si="691">-2*(D410+0.1)</f>
        <v>-4.5010283713859112</v>
      </c>
      <c r="E413" s="21">
        <f>2</f>
        <v>2</v>
      </c>
    </row>
    <row r="414" spans="1:7" x14ac:dyDescent="0.25">
      <c r="C414" s="22">
        <f t="shared" ref="C414" si="692">-EXP(-C410)</f>
        <v>-6.4840731058230461E-2</v>
      </c>
      <c r="D414" s="23">
        <f t="shared" ref="D414" si="693">-1/D410^2</f>
        <v>-0.21622971536176472</v>
      </c>
      <c r="E414" s="24">
        <f t="shared" ref="E414" si="694">1.5</f>
        <v>1.5</v>
      </c>
    </row>
    <row r="415" spans="1:7" x14ac:dyDescent="0.25">
      <c r="B415" t="s">
        <v>12</v>
      </c>
      <c r="C415" cm="1">
        <f t="array" ref="C415:E415">-MMULT(C411:E411,C412:E414)</f>
        <v>-2.4316400530717037</v>
      </c>
      <c r="D415">
        <v>6.692313492973863</v>
      </c>
      <c r="E415">
        <v>7.4688304468753519E-2</v>
      </c>
      <c r="F415">
        <f>F408</f>
        <v>1</v>
      </c>
      <c r="G415"/>
    </row>
    <row r="416" spans="1:7" x14ac:dyDescent="0.25">
      <c r="B416" t="s">
        <v>13</v>
      </c>
      <c r="C416">
        <f t="shared" ref="C416" si="695">G411/SUMPRODUCT(_xlfn.ANCHORARRAY(C415),_xlfn.ANCHORARRAY(C415))</f>
        <v>2.2769304426523236E-3</v>
      </c>
      <c r="D416"/>
      <c r="E416"/>
      <c r="G416"/>
    </row>
    <row r="417" spans="1:7" x14ac:dyDescent="0.25">
      <c r="A417" t="s">
        <v>4</v>
      </c>
      <c r="B417" s="16" t="s">
        <v>5</v>
      </c>
      <c r="C417" cm="1">
        <f t="array" ref="C417:E417">C410:E410+C416*(C415:E415)</f>
        <v>2.7302846321127494</v>
      </c>
      <c r="D417">
        <v>2.1657521180168806</v>
      </c>
      <c r="E417">
        <v>-1.5866379955158136</v>
      </c>
      <c r="G417"/>
    </row>
    <row r="418" spans="1:7" x14ac:dyDescent="0.25">
      <c r="A418" s="1">
        <f>1+A411</f>
        <v>60</v>
      </c>
      <c r="B418" t="s">
        <v>6</v>
      </c>
      <c r="C418" s="13">
        <f t="shared" ref="C418" si="696">3*C417-D417^3-0.5*C417*E417</f>
        <v>0.19841872563785445</v>
      </c>
      <c r="D418" s="14">
        <f t="shared" ref="D418" si="697">C417^2-(D417+0.1)^2+2*E417+0.9</f>
        <v>4.7545521021443382E-2</v>
      </c>
      <c r="E418" s="14">
        <f t="shared" ref="E418" si="698">EXP(-C417)+1/D417+1.5*E417+2</f>
        <v>0.1469770944333435</v>
      </c>
      <c r="G418" s="1">
        <f>0.5*(C418*C418+D418*D418+E418*E418)</f>
        <v>3.1616416770509324E-2</v>
      </c>
    </row>
    <row r="419" spans="1:7" x14ac:dyDescent="0.25">
      <c r="C419" s="17">
        <f t="shared" ref="C419" si="699">3-0.5*E417</f>
        <v>3.7933189977579067</v>
      </c>
      <c r="D419" s="18">
        <f t="shared" ref="D419" si="700">-3*D417^2</f>
        <v>-14.071446710083814</v>
      </c>
      <c r="E419" s="19">
        <f t="shared" ref="E419" si="701">-0.5*C417</f>
        <v>-1.3651423160563747</v>
      </c>
    </row>
    <row r="420" spans="1:7" x14ac:dyDescent="0.25">
      <c r="B420" t="s">
        <v>7</v>
      </c>
      <c r="C420" s="20">
        <f t="shared" ref="C420" si="702">2*C417</f>
        <v>5.4605692642254988</v>
      </c>
      <c r="D420" s="14">
        <f t="shared" ref="D420" si="703">-2*(D417+0.1)</f>
        <v>-4.5315042360337614</v>
      </c>
      <c r="E420" s="21">
        <f>2</f>
        <v>2</v>
      </c>
    </row>
    <row r="421" spans="1:7" x14ac:dyDescent="0.25">
      <c r="C421" s="22">
        <f t="shared" ref="C421" si="704">-EXP(-C417)</f>
        <v>-6.5200728805551347E-2</v>
      </c>
      <c r="D421" s="23">
        <f t="shared" ref="D421" si="705">-1/D417^2</f>
        <v>-0.2131976947224733</v>
      </c>
      <c r="E421" s="24">
        <f t="shared" ref="E421" si="706">1.5</f>
        <v>1.5</v>
      </c>
    </row>
    <row r="422" spans="1:7" x14ac:dyDescent="0.25">
      <c r="B422" t="s">
        <v>12</v>
      </c>
      <c r="C422" cm="1">
        <f t="array" ref="C422:E422">-MMULT(C418:E418,C419:E421)</f>
        <v>-1.0027081185394919</v>
      </c>
      <c r="D422">
        <v>3.0388264317191092</v>
      </c>
      <c r="E422">
        <v>-4.4686885026686995E-2</v>
      </c>
      <c r="F422">
        <f>F415</f>
        <v>1</v>
      </c>
      <c r="G422"/>
    </row>
    <row r="423" spans="1:7" x14ac:dyDescent="0.25">
      <c r="B423" t="s">
        <v>13</v>
      </c>
      <c r="C423">
        <f t="shared" ref="C423" si="707">G418/SUMPRODUCT(_xlfn.ANCHORARRAY(C422),_xlfn.ANCHORARRAY(C422))</f>
        <v>3.0869719706396906E-3</v>
      </c>
      <c r="D423"/>
      <c r="E423"/>
      <c r="G423"/>
    </row>
    <row r="424" spans="1:7" x14ac:dyDescent="0.25">
      <c r="A424" t="s">
        <v>4</v>
      </c>
      <c r="B424" s="16" t="s">
        <v>5</v>
      </c>
      <c r="C424" cm="1">
        <f t="array" ref="C424:E424">C417:E417+C423*(C422:E422)</f>
        <v>2.727189300256085</v>
      </c>
      <c r="D424">
        <v>2.1751328900352367</v>
      </c>
      <c r="E424">
        <v>-1.5867759426773462</v>
      </c>
      <c r="G424"/>
    </row>
    <row r="425" spans="1:7" x14ac:dyDescent="0.25">
      <c r="A425" s="1">
        <f>1+A418</f>
        <v>61</v>
      </c>
      <c r="B425" t="s">
        <v>6</v>
      </c>
      <c r="C425" s="13">
        <f t="shared" ref="C425" si="708">3*C424-D424^3-0.5*C424*E424</f>
        <v>5.4291638153848965E-2</v>
      </c>
      <c r="D425" s="14">
        <f t="shared" ref="D425" si="709">C424^2-(D424+0.1)^2+2*E424+0.9</f>
        <v>-1.2220073243506824E-2</v>
      </c>
      <c r="E425" s="14">
        <f t="shared" ref="E425" si="710">EXP(-C424)+1/D424+1.5*E424+2</f>
        <v>0.14498097057745829</v>
      </c>
      <c r="G425" s="1">
        <f>0.5*(C425*C425+D425*D425+E425*E425)</f>
        <v>1.2058196996543483E-2</v>
      </c>
    </row>
    <row r="426" spans="1:7" x14ac:dyDescent="0.25">
      <c r="C426" s="17">
        <f t="shared" ref="C426" si="711">3-0.5*E424</f>
        <v>3.7933879713386731</v>
      </c>
      <c r="D426" s="18">
        <f t="shared" ref="D426" si="712">-3*D424^2</f>
        <v>-14.193609267939124</v>
      </c>
      <c r="E426" s="19">
        <f t="shared" ref="E426" si="713">-0.5*C424</f>
        <v>-1.3635946501280425</v>
      </c>
    </row>
    <row r="427" spans="1:7" x14ac:dyDescent="0.25">
      <c r="B427" t="s">
        <v>7</v>
      </c>
      <c r="C427" s="20">
        <f t="shared" ref="C427" si="714">2*C424</f>
        <v>5.4543786005121699</v>
      </c>
      <c r="D427" s="14">
        <f t="shared" ref="D427" si="715">-2*(D424+0.1)</f>
        <v>-4.5502657800704736</v>
      </c>
      <c r="E427" s="21">
        <f>2</f>
        <v>2</v>
      </c>
    </row>
    <row r="428" spans="1:7" x14ac:dyDescent="0.25">
      <c r="C428" s="22">
        <f t="shared" ref="C428" si="716">-EXP(-C424)</f>
        <v>-6.5402859367699295E-2</v>
      </c>
      <c r="D428" s="23">
        <f t="shared" ref="D428" si="717">-1/D424^2</f>
        <v>-0.21136272975870024</v>
      </c>
      <c r="E428" s="24">
        <f t="shared" ref="E428" si="718">1.5</f>
        <v>1.5</v>
      </c>
    </row>
    <row r="429" spans="1:7" x14ac:dyDescent="0.25">
      <c r="B429" t="s">
        <v>12</v>
      </c>
      <c r="C429" cm="1">
        <f t="array" ref="C429:E429">-MMULT(C425:E425,C426:E428)</f>
        <v>-0.12981417109133742</v>
      </c>
      <c r="D429">
        <v>0.74563329106650145</v>
      </c>
      <c r="E429">
        <v>-0.11899952204589782</v>
      </c>
      <c r="F429">
        <f>F422</f>
        <v>1</v>
      </c>
      <c r="G429"/>
    </row>
    <row r="430" spans="1:7" x14ac:dyDescent="0.25">
      <c r="B430" t="s">
        <v>13</v>
      </c>
      <c r="C430">
        <f t="shared" ref="C430" si="719">G425/SUMPRODUCT(_xlfn.ANCHORARRAY(C429),_xlfn.ANCHORARRAY(C429))</f>
        <v>2.0542716826067481E-2</v>
      </c>
      <c r="D430"/>
      <c r="E430"/>
      <c r="G430"/>
    </row>
    <row r="431" spans="1:7" x14ac:dyDescent="0.25">
      <c r="A431" t="s">
        <v>4</v>
      </c>
      <c r="B431" s="16" t="s">
        <v>5</v>
      </c>
      <c r="C431" cm="1">
        <f t="array" ref="C431:E431">C424:E424+C430*(C429:E429)</f>
        <v>2.7245225644993449</v>
      </c>
      <c r="D431">
        <v>2.1904502235897048</v>
      </c>
      <c r="E431">
        <v>-1.5892205161611725</v>
      </c>
      <c r="G431"/>
    </row>
    <row r="432" spans="1:7" x14ac:dyDescent="0.25">
      <c r="A432" s="1">
        <f>1+A425</f>
        <v>62</v>
      </c>
      <c r="B432" t="s">
        <v>6</v>
      </c>
      <c r="C432" s="13">
        <f t="shared" ref="C432" si="720">3*C431-D431^3-0.5*C431*E431</f>
        <v>-0.17143701229318298</v>
      </c>
      <c r="D432" s="14">
        <f t="shared" ref="D432" si="721">C431^2-(D431+0.1)^2+2*E431+0.9</f>
        <v>-0.10158005459838682</v>
      </c>
      <c r="E432" s="14">
        <f t="shared" ref="E432" si="722">EXP(-C431)+1/D431+1.5*E431+2</f>
        <v>0.13827388103990712</v>
      </c>
      <c r="G432" s="1">
        <f>0.5*(C432*C432+D432*D432+E432*E432)</f>
        <v>2.9414411427031301E-2</v>
      </c>
    </row>
    <row r="433" spans="1:7" x14ac:dyDescent="0.25">
      <c r="C433" s="17">
        <f t="shared" ref="C433" si="723">3-0.5*E431</f>
        <v>3.7946102580805863</v>
      </c>
      <c r="D433" s="18">
        <f t="shared" ref="D433" si="724">-3*D431^2</f>
        <v>-14.394216546072562</v>
      </c>
      <c r="E433" s="19">
        <f t="shared" ref="E433" si="725">-0.5*C431</f>
        <v>-1.3622612822496725</v>
      </c>
    </row>
    <row r="434" spans="1:7" x14ac:dyDescent="0.25">
      <c r="B434" t="s">
        <v>7</v>
      </c>
      <c r="C434" s="20">
        <f t="shared" ref="C434" si="726">2*C431</f>
        <v>5.4490451289986899</v>
      </c>
      <c r="D434" s="14">
        <f t="shared" ref="D434" si="727">-2*(D431+0.1)</f>
        <v>-4.5809004471794097</v>
      </c>
      <c r="E434" s="21">
        <f>2</f>
        <v>2</v>
      </c>
    </row>
    <row r="435" spans="1:7" x14ac:dyDescent="0.25">
      <c r="C435" s="22">
        <f t="shared" ref="C435" si="728">-EXP(-C431)</f>
        <v>-6.557750427377744E-2</v>
      </c>
      <c r="D435" s="23">
        <f t="shared" ref="D435" si="729">-1/D431^2</f>
        <v>-0.20841703960737934</v>
      </c>
      <c r="E435" s="24">
        <f t="shared" ref="E435" si="730">1.5</f>
        <v>1.5</v>
      </c>
    </row>
    <row r="436" spans="1:7" x14ac:dyDescent="0.25">
      <c r="B436" t="s">
        <v>12</v>
      </c>
      <c r="C436" cm="1">
        <f t="array" ref="C436:E436">-MMULT(C432:E432,C433:E435)</f>
        <v>1.2131186032000068</v>
      </c>
      <c r="D436">
        <v>-2.9042109635526785</v>
      </c>
      <c r="E436">
        <v>-0.23779271655465137</v>
      </c>
      <c r="F436">
        <f>F429</f>
        <v>1</v>
      </c>
      <c r="G436"/>
    </row>
    <row r="437" spans="1:7" x14ac:dyDescent="0.25">
      <c r="B437" t="s">
        <v>13</v>
      </c>
      <c r="C437">
        <f t="shared" ref="C437" si="731">G432/SUMPRODUCT(_xlfn.ANCHORARRAY(C436),_xlfn.ANCHORARRAY(C436))</f>
        <v>2.9524705563739985E-3</v>
      </c>
      <c r="D437"/>
      <c r="E437"/>
      <c r="G437"/>
    </row>
    <row r="438" spans="1:7" x14ac:dyDescent="0.25">
      <c r="A438" t="s">
        <v>4</v>
      </c>
      <c r="B438" s="16" t="s">
        <v>5</v>
      </c>
      <c r="C438" cm="1">
        <f t="array" ref="C438:E438">C431:E431+C437*(C436:E436)</f>
        <v>2.7281042614566826</v>
      </c>
      <c r="D438">
        <v>2.1818756262303167</v>
      </c>
      <c r="E438">
        <v>-1.5899225921553204</v>
      </c>
      <c r="G438"/>
    </row>
    <row r="439" spans="1:7" x14ac:dyDescent="0.25">
      <c r="A439" s="1">
        <f>1+A432</f>
        <v>63</v>
      </c>
      <c r="B439" t="s">
        <v>6</v>
      </c>
      <c r="C439" s="13">
        <f t="shared" ref="C439" si="732">3*C438-D438^3-0.5*C438*E438</f>
        <v>-3.3946108544998577E-2</v>
      </c>
      <c r="D439" s="14">
        <f t="shared" ref="D439" si="733">C438^2-(D438+0.1)^2+2*E438+0.9</f>
        <v>-4.4248696516528851E-2</v>
      </c>
      <c r="E439" s="14">
        <f t="shared" ref="E439" si="734">EXP(-C438)+1/D438+1.5*E438+2</f>
        <v>0.13878042375907196</v>
      </c>
      <c r="G439" s="1">
        <f>0.5*(C439*C439+D439*D439+E439*E439)</f>
        <v>1.118514572375414E-2</v>
      </c>
    </row>
    <row r="440" spans="1:7" x14ac:dyDescent="0.25">
      <c r="C440" s="17">
        <f t="shared" ref="C440" si="735">3-0.5*E438</f>
        <v>3.79496129607766</v>
      </c>
      <c r="D440" s="18">
        <f t="shared" ref="D440" si="736">-3*D438^2</f>
        <v>-14.281743745013811</v>
      </c>
      <c r="E440" s="19">
        <f t="shared" ref="E440" si="737">-0.5*C438</f>
        <v>-1.3640521307283413</v>
      </c>
    </row>
    <row r="441" spans="1:7" x14ac:dyDescent="0.25">
      <c r="B441" t="s">
        <v>7</v>
      </c>
      <c r="C441" s="20">
        <f t="shared" ref="C441" si="738">2*C438</f>
        <v>5.4562085229133652</v>
      </c>
      <c r="D441" s="14">
        <f t="shared" ref="D441" si="739">-2*(D438+0.1)</f>
        <v>-4.5637512524606336</v>
      </c>
      <c r="E441" s="21">
        <f>2</f>
        <v>2</v>
      </c>
    </row>
    <row r="442" spans="1:7" x14ac:dyDescent="0.25">
      <c r="C442" s="22">
        <f t="shared" ref="C442" si="740">-EXP(-C438)</f>
        <v>-6.5343045656754875E-2</v>
      </c>
      <c r="D442" s="23">
        <f t="shared" ref="D442" si="741">-1/D438^2</f>
        <v>-0.2100583831751911</v>
      </c>
      <c r="E442" s="24">
        <f t="shared" ref="E442" si="742">1.5</f>
        <v>1.5</v>
      </c>
    </row>
    <row r="443" spans="1:7" x14ac:dyDescent="0.25">
      <c r="B443" t="s">
        <v>12</v>
      </c>
      <c r="C443" cm="1">
        <f t="array" ref="C443:E443">-MMULT(C439:E439,C440:E442)</f>
        <v>0.37932261870796519</v>
      </c>
      <c r="D443">
        <v>-0.65759767609595376</v>
      </c>
      <c r="E443">
        <v>-0.1659775042962911</v>
      </c>
      <c r="F443">
        <f>F436</f>
        <v>1</v>
      </c>
      <c r="G443"/>
    </row>
    <row r="444" spans="1:7" x14ac:dyDescent="0.25">
      <c r="B444" t="s">
        <v>13</v>
      </c>
      <c r="C444">
        <f t="shared" ref="C444" si="743">G439/SUMPRODUCT(_xlfn.ANCHORARRAY(C443),_xlfn.ANCHORARRAY(C443))</f>
        <v>1.852247401538706E-2</v>
      </c>
      <c r="D444"/>
      <c r="E444"/>
      <c r="G444"/>
    </row>
    <row r="445" spans="1:7" x14ac:dyDescent="0.25">
      <c r="A445" t="s">
        <v>4</v>
      </c>
      <c r="B445" s="16" t="s">
        <v>5</v>
      </c>
      <c r="C445" cm="1">
        <f t="array" ref="C445:E445">C438:E438+C444*(C443:E443)</f>
        <v>2.7351302548051493</v>
      </c>
      <c r="D445">
        <v>2.1696952903622506</v>
      </c>
      <c r="E445">
        <v>-1.5929969061657872</v>
      </c>
      <c r="G445"/>
    </row>
    <row r="446" spans="1:7" x14ac:dyDescent="0.25">
      <c r="A446" s="1">
        <f>1+A439</f>
        <v>64</v>
      </c>
      <c r="B446" t="s">
        <v>6</v>
      </c>
      <c r="C446" s="13">
        <f t="shared" ref="C446" si="744">3*C445-D445^3-0.5*C445*E445</f>
        <v>0.16990871857561451</v>
      </c>
      <c r="D446" s="14">
        <f t="shared" ref="D446" si="745">C445^2-(D445+0.1)^2+2*E445+0.9</f>
        <v>4.3426987326325439E-2</v>
      </c>
      <c r="E446" s="14">
        <f t="shared" ref="E446" si="746">EXP(-C445)+1/D445+1.5*E445+2</f>
        <v>0.13628440712786261</v>
      </c>
      <c r="G446" s="1">
        <f>0.5*(C446*C446+D446*D446+E446*E446)</f>
        <v>2.4664157751220606E-2</v>
      </c>
    </row>
    <row r="447" spans="1:7" x14ac:dyDescent="0.25">
      <c r="C447" s="17">
        <f t="shared" ref="C447" si="747">3-0.5*E445</f>
        <v>3.7964984530828936</v>
      </c>
      <c r="D447" s="18">
        <f t="shared" ref="D447" si="748">-3*D445^2</f>
        <v>-14.122732959060393</v>
      </c>
      <c r="E447" s="19">
        <f t="shared" ref="E447" si="749">-0.5*C445</f>
        <v>-1.3675651274025746</v>
      </c>
    </row>
    <row r="448" spans="1:7" x14ac:dyDescent="0.25">
      <c r="B448" t="s">
        <v>7</v>
      </c>
      <c r="C448" s="20">
        <f t="shared" ref="C448" si="750">2*C445</f>
        <v>5.4702605096102985</v>
      </c>
      <c r="D448" s="14">
        <f t="shared" ref="D448" si="751">-2*(D445+0.1)</f>
        <v>-4.5393905807245014</v>
      </c>
      <c r="E448" s="21">
        <f>2</f>
        <v>2</v>
      </c>
    </row>
    <row r="449" spans="1:7" x14ac:dyDescent="0.25">
      <c r="C449" s="22">
        <f t="shared" ref="C449" si="752">-EXP(-C445)</f>
        <v>-6.4885554898100745E-2</v>
      </c>
      <c r="D449" s="23">
        <f t="shared" ref="D449" si="753">-1/D445^2</f>
        <v>-0.21242347417433535</v>
      </c>
      <c r="E449" s="24">
        <f t="shared" ref="E449" si="754">1.5</f>
        <v>1.5</v>
      </c>
    </row>
    <row r="450" spans="1:7" x14ac:dyDescent="0.25">
      <c r="B450" t="s">
        <v>12</v>
      </c>
      <c r="C450" cm="1">
        <f t="array" ref="C450:E450">-MMULT(C446:E446,C447:E449)</f>
        <v>-0.87377223167971207</v>
      </c>
      <c r="D450">
        <v>2.6256575243158022</v>
      </c>
      <c r="E450">
        <v>-5.8919346978776321E-2</v>
      </c>
      <c r="F450">
        <f>F443</f>
        <v>1</v>
      </c>
      <c r="G450"/>
    </row>
    <row r="451" spans="1:7" x14ac:dyDescent="0.25">
      <c r="B451" t="s">
        <v>13</v>
      </c>
      <c r="C451">
        <f t="shared" ref="C451" si="755">G446/SUMPRODUCT(_xlfn.ANCHORARRAY(C450),_xlfn.ANCHORARRAY(C450))</f>
        <v>3.2194323652723097E-3</v>
      </c>
      <c r="D451"/>
      <c r="E451"/>
      <c r="G451"/>
    </row>
    <row r="452" spans="1:7" x14ac:dyDescent="0.25">
      <c r="A452" t="s">
        <v>4</v>
      </c>
      <c r="B452" s="16" t="s">
        <v>5</v>
      </c>
      <c r="C452" cm="1">
        <f t="array" ref="C452:E452">C445:E445+C451*(C450:E450)</f>
        <v>2.7323172042026034</v>
      </c>
      <c r="D452">
        <v>2.1781484171761538</v>
      </c>
      <c r="E452">
        <v>-1.5931865930183913</v>
      </c>
      <c r="G452"/>
    </row>
    <row r="453" spans="1:7" x14ac:dyDescent="0.25">
      <c r="A453" s="1">
        <f>1+A446</f>
        <v>65</v>
      </c>
      <c r="B453" t="s">
        <v>6</v>
      </c>
      <c r="C453" s="13">
        <f t="shared" ref="C453" si="756">3*C452-D452^3-0.5*C452*E452</f>
        <v>3.9641152928825196E-2</v>
      </c>
      <c r="D453" s="14">
        <f t="shared" ref="D453" si="757">C452^2-(D452+0.1)^2+2*E452+0.9</f>
        <v>-1.0776092337467236E-2</v>
      </c>
      <c r="E453" s="14">
        <f t="shared" ref="E453" si="758">EXP(-C452)+1/D452+1.5*E452+2</f>
        <v>0.13439398627016597</v>
      </c>
      <c r="G453" s="1">
        <f>0.5*(C453*C453+D453*D453+E453*E453)</f>
        <v>9.8746443585888428E-3</v>
      </c>
    </row>
    <row r="454" spans="1:7" x14ac:dyDescent="0.25">
      <c r="C454" s="17">
        <f t="shared" ref="C454" si="759">3-0.5*E452</f>
        <v>3.7965932965091955</v>
      </c>
      <c r="D454" s="18">
        <f t="shared" ref="D454" si="760">-3*D452^2</f>
        <v>-14.232991581740954</v>
      </c>
      <c r="E454" s="19">
        <f t="shared" ref="E454" si="761">-0.5*C452</f>
        <v>-1.3661586021013017</v>
      </c>
    </row>
    <row r="455" spans="1:7" x14ac:dyDescent="0.25">
      <c r="B455" t="s">
        <v>7</v>
      </c>
      <c r="C455" s="20">
        <f t="shared" ref="C455" si="762">2*C452</f>
        <v>5.4646344084052068</v>
      </c>
      <c r="D455" s="14">
        <f t="shared" ref="D455" si="763">-2*(D452+0.1)</f>
        <v>-4.5562968343523078</v>
      </c>
      <c r="E455" s="21">
        <f>2</f>
        <v>2</v>
      </c>
    </row>
    <row r="456" spans="1:7" x14ac:dyDescent="0.25">
      <c r="C456" s="22">
        <f t="shared" ref="C456" si="764">-EXP(-C452)</f>
        <v>-6.5068338216230759E-2</v>
      </c>
      <c r="D456" s="23">
        <f t="shared" ref="D456" si="765">-1/D452^2</f>
        <v>-0.21077789463801858</v>
      </c>
      <c r="E456" s="24">
        <f t="shared" ref="E456" si="766">1.5</f>
        <v>1.5</v>
      </c>
    </row>
    <row r="457" spans="1:7" x14ac:dyDescent="0.25">
      <c r="B457" t="s">
        <v>12</v>
      </c>
      <c r="C457" cm="1">
        <f t="array" ref="C457:E457">-MMULT(C453:E453,C454:E456)</f>
        <v>-8.2869137147143807E-2</v>
      </c>
      <c r="D457">
        <v>0.54344040200062094</v>
      </c>
      <c r="E457">
        <v>-0.12588269265938673</v>
      </c>
      <c r="F457">
        <f>F450</f>
        <v>1</v>
      </c>
      <c r="G457"/>
    </row>
    <row r="458" spans="1:7" x14ac:dyDescent="0.25">
      <c r="B458" t="s">
        <v>13</v>
      </c>
      <c r="C458">
        <f t="shared" ref="C458" si="767">G453/SUMPRODUCT(_xlfn.ANCHORARRAY(C457),_xlfn.ANCHORARRAY(C457))</f>
        <v>3.104831650481972E-2</v>
      </c>
      <c r="D458"/>
      <c r="E458"/>
      <c r="G458"/>
    </row>
    <row r="459" spans="1:7" x14ac:dyDescent="0.25">
      <c r="A459" t="s">
        <v>4</v>
      </c>
      <c r="B459" s="16" t="s">
        <v>5</v>
      </c>
      <c r="C459" cm="1">
        <f t="array" ref="C459:E459">C452:E452+C458*(C457:E457)</f>
        <v>2.7297442570039774</v>
      </c>
      <c r="D459">
        <v>2.1950213267789755</v>
      </c>
      <c r="E459">
        <v>-1.5970950387025589</v>
      </c>
      <c r="G459"/>
    </row>
    <row r="460" spans="1:7" x14ac:dyDescent="0.25">
      <c r="A460" s="1">
        <f>1+A453</f>
        <v>66</v>
      </c>
      <c r="B460" t="s">
        <v>6</v>
      </c>
      <c r="C460" s="13">
        <f t="shared" ref="C460" si="768">3*C459-D459^3-0.5*C459*E459</f>
        <v>-0.20680986095203746</v>
      </c>
      <c r="D460" s="14">
        <f t="shared" ref="D460" si="769">C459^2-(D459+0.1)^2+2*E459+0.9</f>
        <v>-0.1098092591292511</v>
      </c>
      <c r="E460" s="14">
        <f t="shared" ref="E460" si="770">EXP(-C459)+1/D459+1.5*E459+2</f>
        <v>0.12516985231379207</v>
      </c>
      <c r="G460" s="1">
        <f>0.5*(C460*C460+D460*D460+E460*E460)</f>
        <v>3.5247941952886302E-2</v>
      </c>
    </row>
    <row r="461" spans="1:7" x14ac:dyDescent="0.25">
      <c r="C461" s="17">
        <f t="shared" ref="C461" si="771">3-0.5*E459</f>
        <v>3.7985475193512794</v>
      </c>
      <c r="D461" s="18">
        <f t="shared" ref="D461" si="772">-3*D459^2</f>
        <v>-14.454355875043603</v>
      </c>
      <c r="E461" s="19">
        <f t="shared" ref="E461" si="773">-0.5*C459</f>
        <v>-1.3648721285019887</v>
      </c>
    </row>
    <row r="462" spans="1:7" x14ac:dyDescent="0.25">
      <c r="B462" t="s">
        <v>7</v>
      </c>
      <c r="C462" s="20">
        <f t="shared" ref="C462" si="774">2*C459</f>
        <v>5.4594885140079548</v>
      </c>
      <c r="D462" s="14">
        <f t="shared" ref="D462" si="775">-2*(D459+0.1)</f>
        <v>-4.5900426535579513</v>
      </c>
      <c r="E462" s="21">
        <f>2</f>
        <v>2</v>
      </c>
    </row>
    <row r="463" spans="1:7" x14ac:dyDescent="0.25">
      <c r="C463" s="22">
        <f t="shared" ref="C463" si="776">-EXP(-C459)</f>
        <v>-6.5235971177664415E-2</v>
      </c>
      <c r="D463" s="23">
        <f t="shared" ref="D463" si="777">-1/D459^2</f>
        <v>-0.20754989194500859</v>
      </c>
      <c r="E463" s="24">
        <f t="shared" ref="E463" si="778">1.5</f>
        <v>1.5</v>
      </c>
    </row>
    <row r="464" spans="1:7" x14ac:dyDescent="0.25">
      <c r="B464" t="s">
        <v>12</v>
      </c>
      <c r="C464" cm="1">
        <f t="array" ref="C464:E464">-MMULT(C460:E460,C461:E463)</f>
        <v>1.3932450501224694</v>
      </c>
      <c r="D464">
        <v>-3.4673535225053933</v>
      </c>
      <c r="E464">
        <v>-0.25040527532499357</v>
      </c>
      <c r="F464">
        <f>F457</f>
        <v>1</v>
      </c>
      <c r="G464"/>
    </row>
    <row r="465" spans="1:7" x14ac:dyDescent="0.25">
      <c r="B465" t="s">
        <v>13</v>
      </c>
      <c r="C465">
        <f t="shared" ref="C465" si="779">G460/SUMPRODUCT(_xlfn.ANCHORARRAY(C464),_xlfn.ANCHORARRAY(C464))</f>
        <v>2.5129758685708777E-3</v>
      </c>
      <c r="D465"/>
      <c r="E465"/>
      <c r="G465"/>
    </row>
    <row r="466" spans="1:7" x14ac:dyDescent="0.25">
      <c r="A466" t="s">
        <v>4</v>
      </c>
      <c r="B466" s="16" t="s">
        <v>5</v>
      </c>
      <c r="C466" cm="1">
        <f t="array" ref="C466:E466">C459:E459+C465*(C464:E464)</f>
        <v>2.7332454481939408</v>
      </c>
      <c r="D466">
        <v>2.1863079510491152</v>
      </c>
      <c r="E466">
        <v>-1.5977243011168134</v>
      </c>
      <c r="G466"/>
    </row>
    <row r="467" spans="1:7" x14ac:dyDescent="0.25">
      <c r="A467" s="1">
        <f>1+A460</f>
        <v>67</v>
      </c>
      <c r="B467" t="s">
        <v>6</v>
      </c>
      <c r="C467" s="13">
        <f t="shared" ref="C467" si="780">3*C466-D466^3-0.5*C466*E466</f>
        <v>-6.7203517574067284E-2</v>
      </c>
      <c r="D467" s="14">
        <f t="shared" ref="D467" si="781">C466^2-(D466+0.1)^2+2*E466+0.9</f>
        <v>-5.2021969191134221E-2</v>
      </c>
      <c r="E467" s="14">
        <f t="shared" ref="E467" si="782">EXP(-C466)+1/D466+1.5*E466+2</f>
        <v>0.12581362214238223</v>
      </c>
      <c r="G467" s="1">
        <f>0.5*(C467*C467+D467*D467+E467*E467)</f>
        <v>1.1525832784718712E-2</v>
      </c>
    </row>
    <row r="468" spans="1:7" x14ac:dyDescent="0.25">
      <c r="C468" s="17">
        <f t="shared" ref="C468" si="783">3-0.5*E466</f>
        <v>3.7988621505584068</v>
      </c>
      <c r="D468" s="18">
        <f t="shared" ref="D468" si="784">-3*D466^2</f>
        <v>-14.339827370461741</v>
      </c>
      <c r="E468" s="19">
        <f t="shared" ref="E468" si="785">-0.5*C466</f>
        <v>-1.3666227240969704</v>
      </c>
    </row>
    <row r="469" spans="1:7" x14ac:dyDescent="0.25">
      <c r="B469" t="s">
        <v>7</v>
      </c>
      <c r="C469" s="20">
        <f t="shared" ref="C469" si="786">2*C466</f>
        <v>5.4664908963878815</v>
      </c>
      <c r="D469" s="14">
        <f t="shared" ref="D469" si="787">-2*(D466+0.1)</f>
        <v>-4.5726159020982307</v>
      </c>
      <c r="E469" s="21">
        <f>2</f>
        <v>2</v>
      </c>
    </row>
    <row r="470" spans="1:7" x14ac:dyDescent="0.25">
      <c r="C470" s="22">
        <f t="shared" ref="C470" si="788">-EXP(-C466)</f>
        <v>-6.5007966946224391E-2</v>
      </c>
      <c r="D470" s="23">
        <f t="shared" ref="D470" si="789">-1/D466^2</f>
        <v>-0.20920753942823792</v>
      </c>
      <c r="E470" s="24">
        <f t="shared" ref="E470" si="790">1.5</f>
        <v>1.5</v>
      </c>
    </row>
    <row r="471" spans="1:7" x14ac:dyDescent="0.25">
      <c r="B471" t="s">
        <v>12</v>
      </c>
      <c r="C471" cm="1">
        <f t="array" ref="C471:E471">-MMULT(C467:E467,C468:E470)</f>
        <v>0.54785340808163374</v>
      </c>
      <c r="D471">
        <v>-1.1752421659667993</v>
      </c>
      <c r="E471">
        <v>-0.17651834908727537</v>
      </c>
      <c r="F471">
        <f>F464</f>
        <v>1</v>
      </c>
      <c r="G471"/>
    </row>
    <row r="472" spans="1:7" x14ac:dyDescent="0.25">
      <c r="B472" t="s">
        <v>13</v>
      </c>
      <c r="C472">
        <f t="shared" ref="C472" si="791">G467/SUMPRODUCT(_xlfn.ANCHORARRAY(C471),_xlfn.ANCHORARRAY(C471))</f>
        <v>6.7304281100104462E-3</v>
      </c>
      <c r="D472"/>
      <c r="E472"/>
      <c r="G472"/>
    </row>
    <row r="473" spans="1:7" x14ac:dyDescent="0.25">
      <c r="A473" t="s">
        <v>4</v>
      </c>
      <c r="B473" s="16" t="s">
        <v>5</v>
      </c>
      <c r="C473" cm="1">
        <f t="array" ref="C473:E473">C466:E466+C472*(C471:E471)</f>
        <v>2.7369327361718585</v>
      </c>
      <c r="D473">
        <v>2.1783980681392228</v>
      </c>
      <c r="E473">
        <v>-1.598912345175443</v>
      </c>
      <c r="G473"/>
    </row>
    <row r="474" spans="1:7" x14ac:dyDescent="0.25">
      <c r="A474" s="1">
        <f>1+A467</f>
        <v>68</v>
      </c>
      <c r="B474" t="s">
        <v>6</v>
      </c>
      <c r="C474" s="13">
        <f t="shared" ref="C474" si="792">3*C473-D473^3-0.5*C473*E473</f>
        <v>6.1446262587507405E-2</v>
      </c>
      <c r="D474" s="14">
        <f t="shared" ref="D474" si="793">C473^2-(D473+0.1)^2+2*E473+0.9</f>
        <v>1.8783550777464741E-3</v>
      </c>
      <c r="E474" s="14">
        <f t="shared" ref="E474" si="794">EXP(-C473)+1/D473+1.5*E473+2</f>
        <v>0.12545311018021588</v>
      </c>
      <c r="G474" s="1">
        <f>0.5*(C474*C474+D474*D474+E474*E474)</f>
        <v>9.7588271288301959E-3</v>
      </c>
    </row>
    <row r="475" spans="1:7" x14ac:dyDescent="0.25">
      <c r="C475" s="17">
        <f t="shared" ref="C475" si="795">3-0.5*E473</f>
        <v>3.7994561725877216</v>
      </c>
      <c r="D475" s="18">
        <f t="shared" ref="D475" si="796">-3*D473^2</f>
        <v>-14.236254429818093</v>
      </c>
      <c r="E475" s="19">
        <f t="shared" ref="E475" si="797">-0.5*C473</f>
        <v>-1.3684663680859293</v>
      </c>
    </row>
    <row r="476" spans="1:7" x14ac:dyDescent="0.25">
      <c r="B476" t="s">
        <v>7</v>
      </c>
      <c r="C476" s="20">
        <f t="shared" ref="C476" si="798">2*C473</f>
        <v>5.473865472343717</v>
      </c>
      <c r="D476" s="14">
        <f t="shared" ref="D476" si="799">-2*(D473+0.1)</f>
        <v>-4.5567961362784457</v>
      </c>
      <c r="E476" s="21">
        <f>2</f>
        <v>2</v>
      </c>
    </row>
    <row r="477" spans="1:7" x14ac:dyDescent="0.25">
      <c r="C477" s="22">
        <f t="shared" ref="C477" si="800">-EXP(-C473)</f>
        <v>-6.4768705235734345E-2</v>
      </c>
      <c r="D477" s="23">
        <f t="shared" ref="D477" si="801">-1/D473^2</f>
        <v>-0.21072958584643203</v>
      </c>
      <c r="E477" s="24">
        <f t="shared" ref="E477" si="802">1.5</f>
        <v>1.5</v>
      </c>
    </row>
    <row r="478" spans="1:7" x14ac:dyDescent="0.25">
      <c r="B478" t="s">
        <v>12</v>
      </c>
      <c r="C478" cm="1">
        <f t="array" ref="C478:E478">-MMULT(C474:E474,C475:E477)</f>
        <v>-0.23561880916126043</v>
      </c>
      <c r="D478">
        <v>0.90976059106942586</v>
      </c>
      <c r="E478">
        <v>-0.10784923163023619</v>
      </c>
      <c r="F478">
        <f>F471</f>
        <v>1</v>
      </c>
      <c r="G478"/>
    </row>
    <row r="479" spans="1:7" x14ac:dyDescent="0.25">
      <c r="B479" t="s">
        <v>13</v>
      </c>
      <c r="C479">
        <f t="shared" ref="C479" si="803">G474/SUMPRODUCT(_xlfn.ANCHORARRAY(C478),_xlfn.ANCHORARRAY(C478))</f>
        <v>1.090600817426755E-2</v>
      </c>
      <c r="D479"/>
      <c r="E479"/>
      <c r="G479"/>
    </row>
    <row r="480" spans="1:7" x14ac:dyDescent="0.25">
      <c r="A480" t="s">
        <v>4</v>
      </c>
      <c r="B480" s="16" t="s">
        <v>5</v>
      </c>
      <c r="C480" cm="1">
        <f t="array" ref="C480:E480">C473:E473+C479*(C478:E478)</f>
        <v>2.7343630755131345</v>
      </c>
      <c r="D480">
        <v>2.1883199245820526</v>
      </c>
      <c r="E480">
        <v>-1.6000885497771908</v>
      </c>
      <c r="G480"/>
    </row>
    <row r="481" spans="1:7" x14ac:dyDescent="0.25">
      <c r="A481" s="1">
        <f>1+A474</f>
        <v>69</v>
      </c>
      <c r="B481" t="s">
        <v>6</v>
      </c>
      <c r="C481" s="13">
        <f t="shared" ref="C481" si="804">3*C480-D480^3-0.5*C480*E480</f>
        <v>-8.8603360384119867E-2</v>
      </c>
      <c r="D481" s="14">
        <f t="shared" ref="D481" si="805">C480^2-(D480+0.1)^2+2*E480+0.9</f>
        <v>-5.9843748063945212E-2</v>
      </c>
      <c r="E481" s="14">
        <f t="shared" ref="E481" si="806">EXP(-C480)+1/D480+1.5*E480+2</f>
        <v>0.12177410202514727</v>
      </c>
      <c r="G481" s="1">
        <f>0.5*(C481*C481+D481*D481+E481*E481)</f>
        <v>1.3130380788865073E-2</v>
      </c>
    </row>
    <row r="482" spans="1:7" x14ac:dyDescent="0.25">
      <c r="C482" s="17">
        <f t="shared" ref="C482" si="807">3-0.5*E480</f>
        <v>3.8000442748885952</v>
      </c>
      <c r="D482" s="18">
        <f t="shared" ref="D482" si="808">-3*D480^2</f>
        <v>-14.3662322769684</v>
      </c>
      <c r="E482" s="19">
        <f t="shared" ref="E482" si="809">-0.5*C480</f>
        <v>-1.3671815377565673</v>
      </c>
    </row>
    <row r="483" spans="1:7" x14ac:dyDescent="0.25">
      <c r="B483" t="s">
        <v>7</v>
      </c>
      <c r="C483" s="20">
        <f t="shared" ref="C483" si="810">2*C480</f>
        <v>5.468726151026269</v>
      </c>
      <c r="D483" s="14">
        <f t="shared" ref="D483" si="811">-2*(D480+0.1)</f>
        <v>-4.5766398491641054</v>
      </c>
      <c r="E483" s="21">
        <f>2</f>
        <v>2</v>
      </c>
    </row>
    <row r="484" spans="1:7" x14ac:dyDescent="0.25">
      <c r="C484" s="22">
        <f t="shared" ref="C484" si="812">-EXP(-C480)</f>
        <v>-6.4935352851706415E-2</v>
      </c>
      <c r="D484" s="23">
        <f t="shared" ref="D484" si="813">-1/D480^2</f>
        <v>-0.20882301929710045</v>
      </c>
      <c r="E484" s="24">
        <f t="shared" ref="E484" si="814">1.5</f>
        <v>1.5</v>
      </c>
    </row>
    <row r="485" spans="1:7" x14ac:dyDescent="0.25">
      <c r="B485" t="s">
        <v>12</v>
      </c>
      <c r="C485" cm="1">
        <f t="array" ref="C485:E485">-MMULT(C481:E481,C482:E484)</f>
        <v>0.67187320665949313</v>
      </c>
      <c r="D485">
        <v>-1.5213505022539107</v>
      </c>
      <c r="E485">
        <v>-0.18411053541019079</v>
      </c>
      <c r="F485">
        <f>F478</f>
        <v>1</v>
      </c>
      <c r="G485"/>
    </row>
    <row r="486" spans="1:7" x14ac:dyDescent="0.25">
      <c r="B486" t="s">
        <v>13</v>
      </c>
      <c r="C486">
        <f t="shared" ref="C486" si="815">G481/SUMPRODUCT(_xlfn.ANCHORARRAY(C485),_xlfn.ANCHORARRAY(C485))</f>
        <v>4.6897271358497918E-3</v>
      </c>
      <c r="D486"/>
      <c r="E486"/>
      <c r="G486"/>
    </row>
    <row r="487" spans="1:7" x14ac:dyDescent="0.25">
      <c r="A487" t="s">
        <v>4</v>
      </c>
      <c r="B487" s="16" t="s">
        <v>5</v>
      </c>
      <c r="C487" cm="1">
        <f t="array" ref="C487:E487">C480:E480+C486*(C485:E485)</f>
        <v>2.7375139775222559</v>
      </c>
      <c r="D487">
        <v>2.1811852058484935</v>
      </c>
      <c r="E487">
        <v>-1.6009519779510999</v>
      </c>
      <c r="G487"/>
    </row>
    <row r="488" spans="1:7" x14ac:dyDescent="0.25">
      <c r="A488" s="1">
        <f>1+A481</f>
        <v>70</v>
      </c>
      <c r="B488" t="s">
        <v>6</v>
      </c>
      <c r="C488" s="13">
        <f t="shared" ref="C488" si="816">3*C487-D487^3-0.5*C487*E487</f>
        <v>2.6717235747884871E-2</v>
      </c>
      <c r="D488" s="14">
        <f t="shared" ref="D488" si="817">C487^2-(D487+0.1)^2+2*E487+0.9</f>
        <v>-1.1727122154511327E-2</v>
      </c>
      <c r="E488" s="14">
        <f t="shared" ref="E488" si="818">EXP(-C487)+1/D487+1.5*E487+2</f>
        <v>0.12176944382901667</v>
      </c>
      <c r="G488" s="1">
        <f>0.5*(C488*C488+D488*D488+E488*E488)</f>
        <v>7.8395667652314659E-3</v>
      </c>
    </row>
    <row r="489" spans="1:7" x14ac:dyDescent="0.25">
      <c r="C489" s="17">
        <f t="shared" ref="C489" si="819">3-0.5*E487</f>
        <v>3.8004759889755499</v>
      </c>
      <c r="D489" s="18">
        <f t="shared" ref="D489" si="820">-3*D487^2</f>
        <v>-14.272706706637006</v>
      </c>
      <c r="E489" s="19">
        <f t="shared" ref="E489" si="821">-0.5*C487</f>
        <v>-1.3687569887611279</v>
      </c>
    </row>
    <row r="490" spans="1:7" x14ac:dyDescent="0.25">
      <c r="B490" t="s">
        <v>7</v>
      </c>
      <c r="C490" s="20">
        <f t="shared" ref="C490" si="822">2*C487</f>
        <v>5.4750279550445118</v>
      </c>
      <c r="D490" s="14">
        <f t="shared" ref="D490" si="823">-2*(D487+0.1)</f>
        <v>-4.5623704116969872</v>
      </c>
      <c r="E490" s="21">
        <f>2</f>
        <v>2</v>
      </c>
    </row>
    <row r="491" spans="1:7" x14ac:dyDescent="0.25">
      <c r="C491" s="22">
        <f t="shared" ref="C491" si="824">-EXP(-C487)</f>
        <v>-6.4731069924698709E-2</v>
      </c>
      <c r="D491" s="23">
        <f t="shared" ref="D491" si="825">-1/D487^2</f>
        <v>-0.21019138567493709</v>
      </c>
      <c r="E491" s="24">
        <f t="shared" ref="E491" si="826">1.5</f>
        <v>1.5</v>
      </c>
    </row>
    <row r="492" spans="1:7" x14ac:dyDescent="0.25">
      <c r="B492" t="s">
        <v>12</v>
      </c>
      <c r="C492" cm="1">
        <f t="array" ref="C492:E492">-MMULT(C488:E488,C489:E491)</f>
        <v>-2.9449624940276579E-2</v>
      </c>
      <c r="D492">
        <v>0.35341868284082706</v>
      </c>
      <c r="E492">
        <v>-0.12263051828420629</v>
      </c>
      <c r="F492">
        <f>F485</f>
        <v>1</v>
      </c>
      <c r="G492"/>
    </row>
    <row r="493" spans="1:7" x14ac:dyDescent="0.25">
      <c r="B493" t="s">
        <v>13</v>
      </c>
      <c r="C493">
        <f t="shared" ref="C493" si="827">G488/SUMPRODUCT(_xlfn.ANCHORARRAY(C492),_xlfn.ANCHORARRAY(C492))</f>
        <v>5.5674672469629552E-2</v>
      </c>
      <c r="D493"/>
      <c r="E493"/>
      <c r="G493"/>
    </row>
    <row r="494" spans="1:7" x14ac:dyDescent="0.25">
      <c r="A494" t="s">
        <v>4</v>
      </c>
      <c r="B494" s="16" t="s">
        <v>5</v>
      </c>
      <c r="C494" cm="1">
        <f t="array" ref="C494:E494">C487:E487+C493*(C492:E492)</f>
        <v>2.7358743792993527</v>
      </c>
      <c r="D494">
        <v>2.2008616752603043</v>
      </c>
      <c r="E494">
        <v>-1.6077793918913541</v>
      </c>
      <c r="G494"/>
    </row>
    <row r="495" spans="1:7" x14ac:dyDescent="0.25">
      <c r="A495" s="1">
        <f>1+A488</f>
        <v>71</v>
      </c>
      <c r="B495" t="s">
        <v>6</v>
      </c>
      <c r="C495" s="13">
        <f t="shared" ref="C495" si="828">3*C494-D494^3-0.5*C494*E494</f>
        <v>-0.25355206499689453</v>
      </c>
      <c r="D495" s="14">
        <f t="shared" ref="D495" si="829">C494^2-(D494+0.1)^2+2*E494+0.9</f>
        <v>-0.12451461315774359</v>
      </c>
      <c r="E495" s="14">
        <f t="shared" ref="E495" si="830">EXP(-C494)+1/D494+1.5*E494+2</f>
        <v>0.10753569425965548</v>
      </c>
      <c r="G495" s="1">
        <f>0.5*(C495*C495+D495*D495+E495*E495)</f>
        <v>4.5678232046959026E-2</v>
      </c>
    </row>
    <row r="496" spans="1:7" x14ac:dyDescent="0.25">
      <c r="C496" s="17">
        <f t="shared" ref="C496" si="831">3-0.5*E494</f>
        <v>3.8038896959456769</v>
      </c>
      <c r="D496" s="18">
        <f t="shared" ref="D496" si="832">-3*D494^2</f>
        <v>-14.53137634088878</v>
      </c>
      <c r="E496" s="19">
        <f t="shared" ref="E496" si="833">-0.5*C494</f>
        <v>-1.3679371896496764</v>
      </c>
    </row>
    <row r="497" spans="1:7" x14ac:dyDescent="0.25">
      <c r="B497" t="s">
        <v>7</v>
      </c>
      <c r="C497" s="20">
        <f t="shared" ref="C497" si="834">2*C494</f>
        <v>5.4717487585987055</v>
      </c>
      <c r="D497" s="14">
        <f t="shared" ref="D497" si="835">-2*(D494+0.1)</f>
        <v>-4.6017233505206088</v>
      </c>
      <c r="E497" s="21">
        <f>2</f>
        <v>2</v>
      </c>
    </row>
    <row r="498" spans="1:7" x14ac:dyDescent="0.25">
      <c r="C498" s="22">
        <f t="shared" ref="C498" si="836">-EXP(-C494)</f>
        <v>-6.483728992718174E-2</v>
      </c>
      <c r="D498" s="23">
        <f t="shared" ref="D498" si="837">-1/D494^2</f>
        <v>-0.20644981794040518</v>
      </c>
      <c r="E498" s="24">
        <f t="shared" ref="E498" si="838">1.5</f>
        <v>1.5</v>
      </c>
    </row>
    <row r="499" spans="1:7" x14ac:dyDescent="0.25">
      <c r="B499" t="s">
        <v>12</v>
      </c>
      <c r="C499" cm="1">
        <f t="array" ref="C499:E499">-MMULT(C495:E495,C496:E498)</f>
        <v>1.652769090386951</v>
      </c>
      <c r="D499">
        <v>-4.235241556826395</v>
      </c>
      <c r="E499">
        <v>-0.25911761429572</v>
      </c>
      <c r="F499">
        <f>F492</f>
        <v>1</v>
      </c>
      <c r="G499"/>
    </row>
    <row r="500" spans="1:7" x14ac:dyDescent="0.25">
      <c r="B500" t="s">
        <v>13</v>
      </c>
      <c r="C500">
        <f t="shared" ref="C500" si="839">G495/SUMPRODUCT(_xlfn.ANCHORARRAY(C499),_xlfn.ANCHORARRAY(C499))</f>
        <v>2.2028406082609596E-3</v>
      </c>
      <c r="D500"/>
      <c r="E500"/>
      <c r="G500"/>
    </row>
    <row r="501" spans="1:7" x14ac:dyDescent="0.25">
      <c r="A501" t="s">
        <v>4</v>
      </c>
      <c r="B501" s="16" t="s">
        <v>5</v>
      </c>
      <c r="C501" cm="1">
        <f t="array" ref="C501:E501">C494:E494+C500*(C499:E499)</f>
        <v>2.7395151661677355</v>
      </c>
      <c r="D501">
        <v>2.1915321131731327</v>
      </c>
      <c r="E501">
        <v>-1.6083501866944405</v>
      </c>
      <c r="G501"/>
    </row>
    <row r="502" spans="1:7" x14ac:dyDescent="0.25">
      <c r="A502" s="1">
        <f>1+A495</f>
        <v>72</v>
      </c>
      <c r="B502" t="s">
        <v>6</v>
      </c>
      <c r="C502" s="13">
        <f t="shared" ref="C502" si="840">3*C501-D501^3-0.5*C501*E501</f>
        <v>-0.10392356680914538</v>
      </c>
      <c r="D502" s="14">
        <f t="shared" ref="D502" si="841">C501^2-(D501+0.1)^2+2*E501+0.9</f>
        <v>-6.2876453429569046E-2</v>
      </c>
      <c r="E502" s="14">
        <f t="shared" ref="E502" si="842">EXP(-C501)+1/D501+1.5*E501+2</f>
        <v>0.1083781584286525</v>
      </c>
      <c r="G502" s="1">
        <f>0.5*(C502*C502+D502*D502+E502*E502)</f>
        <v>1.3249690679300884E-2</v>
      </c>
    </row>
    <row r="503" spans="1:7" x14ac:dyDescent="0.25">
      <c r="C503" s="17">
        <f t="shared" ref="C503" si="843">3-0.5*E501</f>
        <v>3.8041750933472205</v>
      </c>
      <c r="D503" s="18">
        <f t="shared" ref="D503" si="844">-3*D501^2</f>
        <v>-14.408439009207289</v>
      </c>
      <c r="E503" s="19">
        <f t="shared" ref="E503" si="845">-0.5*C501</f>
        <v>-1.3697575830838677</v>
      </c>
    </row>
    <row r="504" spans="1:7" x14ac:dyDescent="0.25">
      <c r="B504" t="s">
        <v>7</v>
      </c>
      <c r="C504" s="20">
        <f t="shared" ref="C504" si="846">2*C501</f>
        <v>5.479030332335471</v>
      </c>
      <c r="D504" s="14">
        <f t="shared" ref="D504" si="847">-2*(D501+0.1)</f>
        <v>-4.5830642263462655</v>
      </c>
      <c r="E504" s="21">
        <f>2</f>
        <v>2</v>
      </c>
    </row>
    <row r="505" spans="1:7" x14ac:dyDescent="0.25">
      <c r="C505" s="22">
        <f t="shared" ref="C505" si="848">-EXP(-C501)</f>
        <v>-6.4601660372206979E-2</v>
      </c>
      <c r="D505" s="23">
        <f t="shared" ref="D505" si="849">-1/D501^2</f>
        <v>-0.20821131269549312</v>
      </c>
      <c r="E505" s="24">
        <f t="shared" ref="E505" si="850">1.5</f>
        <v>1.5</v>
      </c>
    </row>
    <row r="506" spans="1:7" x14ac:dyDescent="0.25">
      <c r="B506" t="s">
        <v>12</v>
      </c>
      <c r="C506" cm="1">
        <f t="array" ref="C506:E506">-MMULT(C502:E502,C503:E505)</f>
        <v>0.74684684898001719</v>
      </c>
      <c r="D506">
        <v>-1.762977639747485</v>
      </c>
      <c r="E506">
        <v>-0.17916442448179051</v>
      </c>
      <c r="F506">
        <f>F499</f>
        <v>1</v>
      </c>
      <c r="G506"/>
    </row>
    <row r="507" spans="1:7" x14ac:dyDescent="0.25">
      <c r="B507" t="s">
        <v>13</v>
      </c>
      <c r="C507">
        <f t="shared" ref="C507" si="851">G502/SUMPRODUCT(_xlfn.ANCHORARRAY(C506),_xlfn.ANCHORARRAY(C506))</f>
        <v>3.5829630120108812E-3</v>
      </c>
      <c r="D507"/>
      <c r="E507"/>
      <c r="G507"/>
    </row>
    <row r="508" spans="1:7" x14ac:dyDescent="0.25">
      <c r="A508" t="s">
        <v>4</v>
      </c>
      <c r="B508" s="16" t="s">
        <v>5</v>
      </c>
      <c r="C508" cm="1">
        <f t="array" ref="C508:E508">C501:E501+C507*(C506:E506)</f>
        <v>2.7421910908032676</v>
      </c>
      <c r="D508">
        <v>2.185215429498915</v>
      </c>
      <c r="E508">
        <v>-1.608992126200427</v>
      </c>
      <c r="G508"/>
    </row>
    <row r="509" spans="1:7" x14ac:dyDescent="0.25">
      <c r="A509" s="1">
        <f>1+A502</f>
        <v>73</v>
      </c>
      <c r="B509" t="s">
        <v>6</v>
      </c>
      <c r="C509" s="13">
        <f t="shared" ref="C509" si="852">3*C508-D508^3-0.5*C508*E508</f>
        <v>-2.1122466955501018E-3</v>
      </c>
      <c r="D509" s="14">
        <f t="shared" ref="D509" si="853">C508^2-(D508+0.1)^2+2*E508+0.9</f>
        <v>-2.0581833139949768E-2</v>
      </c>
      <c r="E509" s="14">
        <f t="shared" ref="E509" si="854">EXP(-C508)+1/D508+1.5*E508+2</f>
        <v>0.10856161787288032</v>
      </c>
      <c r="G509" s="1">
        <f>0.5*(C509*C509+D509*D509+E509*E509)</f>
        <v>6.1068491583404425E-3</v>
      </c>
    </row>
    <row r="510" spans="1:7" x14ac:dyDescent="0.25">
      <c r="C510" s="17">
        <f t="shared" ref="C510" si="855">3-0.5*E508</f>
        <v>3.8044960631002134</v>
      </c>
      <c r="D510" s="18">
        <f t="shared" ref="D510" si="856">-3*D508^2</f>
        <v>-14.325499419960384</v>
      </c>
      <c r="E510" s="19">
        <f t="shared" ref="E510" si="857">-0.5*C508</f>
        <v>-1.3710955454016338</v>
      </c>
    </row>
    <row r="511" spans="1:7" x14ac:dyDescent="0.25">
      <c r="B511" t="s">
        <v>7</v>
      </c>
      <c r="C511" s="20">
        <f t="shared" ref="C511" si="858">2*C508</f>
        <v>5.4843821816065352</v>
      </c>
      <c r="D511" s="14">
        <f t="shared" ref="D511" si="859">-2*(D508+0.1)</f>
        <v>-4.5704308589978302</v>
      </c>
      <c r="E511" s="21">
        <f>2</f>
        <v>2</v>
      </c>
    </row>
    <row r="512" spans="1:7" x14ac:dyDescent="0.25">
      <c r="C512" s="22">
        <f t="shared" ref="C512" si="860">-EXP(-C508)</f>
        <v>-6.4429022283992984E-2</v>
      </c>
      <c r="D512" s="23">
        <f t="shared" ref="D512" si="861">-1/D508^2</f>
        <v>-0.20941678276290743</v>
      </c>
      <c r="E512" s="24">
        <f t="shared" ref="E512" si="862">1.5</f>
        <v>1.5</v>
      </c>
    </row>
    <row r="513" spans="1:7" x14ac:dyDescent="0.25">
      <c r="B513" t="s">
        <v>12</v>
      </c>
      <c r="C513" cm="1">
        <f t="array" ref="C513:E513">-MMULT(C509:E509,C510:E512)</f>
        <v>0.12790919207217433</v>
      </c>
      <c r="D513">
        <v>-0.10159220938301208</v>
      </c>
      <c r="E513">
        <v>-0.12457485256447901</v>
      </c>
      <c r="F513">
        <f>F506</f>
        <v>1</v>
      </c>
      <c r="G513"/>
    </row>
    <row r="514" spans="1:7" x14ac:dyDescent="0.25">
      <c r="B514" t="s">
        <v>13</v>
      </c>
      <c r="C514">
        <f t="shared" ref="C514" si="863">G509/SUMPRODUCT(_xlfn.ANCHORARRAY(C513),_xlfn.ANCHORARRAY(C513))</f>
        <v>0.14470989706286028</v>
      </c>
      <c r="D514"/>
      <c r="E514"/>
      <c r="G514"/>
    </row>
    <row r="515" spans="1:7" x14ac:dyDescent="0.25">
      <c r="A515" t="s">
        <v>4</v>
      </c>
      <c r="B515" s="16" t="s">
        <v>5</v>
      </c>
      <c r="C515" cm="1">
        <f t="array" ref="C515:E515">C508:E508+C514*(C513:E513)</f>
        <v>2.7607008168214255</v>
      </c>
      <c r="D515">
        <v>2.1705140313367108</v>
      </c>
      <c r="E515">
        <v>-1.6270193402916537</v>
      </c>
      <c r="G515"/>
    </row>
    <row r="516" spans="1:7" x14ac:dyDescent="0.25">
      <c r="A516" s="1">
        <f>1+A509</f>
        <v>74</v>
      </c>
      <c r="B516" t="s">
        <v>6</v>
      </c>
      <c r="C516" s="13">
        <f t="shared" ref="C516" si="864">3*C515-D515^3-0.5*C515*E515</f>
        <v>0.30238297458217378</v>
      </c>
      <c r="D516" s="14">
        <f t="shared" ref="D516" si="865">C515^2-(D515+0.1)^2+2*E515+0.9</f>
        <v>0.11219635291829599</v>
      </c>
      <c r="E516" s="14">
        <f t="shared" ref="E516" si="866">EXP(-C515)+1/D515+1.5*E515+2</f>
        <v>8.3438774805896232E-2</v>
      </c>
      <c r="G516" s="1">
        <f>0.5*(C516*C516+D516*D516+E516*E516)</f>
        <v>5.5492757033219722E-2</v>
      </c>
    </row>
    <row r="517" spans="1:7" x14ac:dyDescent="0.25">
      <c r="C517" s="17">
        <f t="shared" ref="C517" si="867">3-0.5*E515</f>
        <v>3.8135096701458266</v>
      </c>
      <c r="D517" s="18">
        <f t="shared" ref="D517" si="868">-3*D515^2</f>
        <v>-14.133393480688619</v>
      </c>
      <c r="E517" s="19">
        <f t="shared" ref="E517" si="869">-0.5*C515</f>
        <v>-1.3803504084107128</v>
      </c>
    </row>
    <row r="518" spans="1:7" x14ac:dyDescent="0.25">
      <c r="B518" t="s">
        <v>7</v>
      </c>
      <c r="C518" s="20">
        <f t="shared" ref="C518" si="870">2*C515</f>
        <v>5.5214016336428511</v>
      </c>
      <c r="D518" s="14">
        <f t="shared" ref="D518" si="871">-2*(D515+0.1)</f>
        <v>-4.5410280626734219</v>
      </c>
      <c r="E518" s="21">
        <f>2</f>
        <v>2</v>
      </c>
    </row>
    <row r="519" spans="1:7" x14ac:dyDescent="0.25">
      <c r="C519" s="22">
        <f t="shared" ref="C519" si="872">-EXP(-C515)</f>
        <v>-6.324742796277931E-2</v>
      </c>
      <c r="D519" s="23">
        <f t="shared" ref="D519" si="873">-1/D515^2</f>
        <v>-0.21226324761276166</v>
      </c>
      <c r="E519" s="24">
        <f t="shared" ref="E519" si="874">1.5</f>
        <v>1.5</v>
      </c>
    </row>
    <row r="520" spans="1:7" x14ac:dyDescent="0.25">
      <c r="B520" t="s">
        <v>12</v>
      </c>
      <c r="C520" cm="1">
        <f t="array" ref="C520:E520">-MMULT(C516:E516,C517:E519)</f>
        <v>-1.7673442360495903</v>
      </c>
      <c r="D520">
        <v>4.8008953340796507</v>
      </c>
      <c r="E520">
        <v>6.7843594415513409E-2</v>
      </c>
      <c r="F520">
        <f>F513</f>
        <v>1</v>
      </c>
      <c r="G520"/>
    </row>
    <row r="521" spans="1:7" x14ac:dyDescent="0.25">
      <c r="B521" t="s">
        <v>13</v>
      </c>
      <c r="C521">
        <f t="shared" ref="C521" si="875">G516/SUMPRODUCT(_xlfn.ANCHORARRAY(C520),_xlfn.ANCHORARRAY(C520))</f>
        <v>2.1199290851276324E-3</v>
      </c>
      <c r="D521"/>
      <c r="E521"/>
      <c r="G521"/>
    </row>
    <row r="522" spans="1:7" x14ac:dyDescent="0.25">
      <c r="A522" t="s">
        <v>4</v>
      </c>
      <c r="B522" s="16" t="s">
        <v>5</v>
      </c>
      <c r="C522" cm="1">
        <f t="array" ref="C522:E522">C515:E515+C521*(C520:E520)</f>
        <v>2.7569541723719913</v>
      </c>
      <c r="D522">
        <v>2.1806915889900798</v>
      </c>
      <c r="E522">
        <v>-1.6268755166826128</v>
      </c>
      <c r="G522"/>
    </row>
    <row r="523" spans="1:7" x14ac:dyDescent="0.25">
      <c r="A523" s="1">
        <f>1+A516</f>
        <v>75</v>
      </c>
      <c r="B523" t="s">
        <v>6</v>
      </c>
      <c r="C523" s="13">
        <f t="shared" ref="C523" si="876">3*C522-D522^3-0.5*C522*E522</f>
        <v>0.14337788800834428</v>
      </c>
      <c r="D523" s="14">
        <f t="shared" ref="D523" si="877">C522^2-(D522+0.1)^2+2*E522+0.9</f>
        <v>4.549115110401003E-2</v>
      </c>
      <c r="E523" s="14">
        <f t="shared" ref="E523" si="878">EXP(-C522)+1/D522+1.5*E522+2</f>
        <v>8.1741681359638774E-2</v>
      </c>
      <c r="G523" s="1">
        <f>0.5*(C523*C523+D523*D523+E523*E523)</f>
        <v>1.4654183035000953E-2</v>
      </c>
    </row>
    <row r="524" spans="1:7" x14ac:dyDescent="0.25">
      <c r="C524" s="17">
        <f t="shared" ref="C524" si="879">3-0.5*E522</f>
        <v>3.8134377583413066</v>
      </c>
      <c r="D524" s="18">
        <f t="shared" ref="D524" si="880">-3*D522^2</f>
        <v>-14.266247418876237</v>
      </c>
      <c r="E524" s="19">
        <f t="shared" ref="E524" si="881">-0.5*C522</f>
        <v>-1.3784770861859956</v>
      </c>
    </row>
    <row r="525" spans="1:7" x14ac:dyDescent="0.25">
      <c r="B525" t="s">
        <v>7</v>
      </c>
      <c r="C525" s="20">
        <f t="shared" ref="C525" si="882">2*C522</f>
        <v>5.5139083447439825</v>
      </c>
      <c r="D525" s="14">
        <f t="shared" ref="D525" si="883">-2*(D522+0.1)</f>
        <v>-4.5613831779801597</v>
      </c>
      <c r="E525" s="21">
        <f>2</f>
        <v>2</v>
      </c>
    </row>
    <row r="526" spans="1:7" x14ac:dyDescent="0.25">
      <c r="C526" s="22">
        <f t="shared" ref="C526" si="884">-EXP(-C522)</f>
        <v>-6.3484838055583054E-2</v>
      </c>
      <c r="D526" s="23">
        <f t="shared" ref="D526" si="885">-1/D522^2</f>
        <v>-0.21028655342333272</v>
      </c>
      <c r="E526" s="24">
        <f t="shared" ref="E526" si="886">1.5</f>
        <v>1.5</v>
      </c>
    </row>
    <row r="527" spans="1:7" x14ac:dyDescent="0.25">
      <c r="B527" t="s">
        <v>12</v>
      </c>
      <c r="C527" cm="1">
        <f t="array" ref="C527:E527">-MMULT(C523:E523,C524:E526)</f>
        <v>-0.79240733212315373</v>
      </c>
      <c r="D527">
        <v>2.2701561725598993</v>
      </c>
      <c r="E527">
        <v>-1.5951690962233783E-2</v>
      </c>
      <c r="F527">
        <f>F520</f>
        <v>1</v>
      </c>
      <c r="G527"/>
    </row>
    <row r="528" spans="1:7" x14ac:dyDescent="0.25">
      <c r="B528" t="s">
        <v>13</v>
      </c>
      <c r="C528">
        <f t="shared" ref="C528" si="887">G523/SUMPRODUCT(_xlfn.ANCHORARRAY(C527),_xlfn.ANCHORARRAY(C527))</f>
        <v>2.5345483692203702E-3</v>
      </c>
      <c r="D528"/>
      <c r="E528"/>
      <c r="G528"/>
    </row>
    <row r="529" spans="1:7" x14ac:dyDescent="0.25">
      <c r="A529" t="s">
        <v>4</v>
      </c>
      <c r="B529" s="16" t="s">
        <v>5</v>
      </c>
      <c r="C529" cm="1">
        <f t="array" ref="C529:E529">C522:E522+C528*(C527:E527)</f>
        <v>2.7549457776606001</v>
      </c>
      <c r="D529">
        <v>2.1864454096151169</v>
      </c>
      <c r="E529">
        <v>-1.6269159470149275</v>
      </c>
      <c r="G529"/>
    </row>
    <row r="530" spans="1:7" x14ac:dyDescent="0.25">
      <c r="A530" s="1">
        <f>1+A523</f>
        <v>76</v>
      </c>
      <c r="B530" t="s">
        <v>6</v>
      </c>
      <c r="C530" s="13">
        <f t="shared" ref="C530" si="888">3*C529-D529^3-0.5*C529*E529</f>
        <v>5.3472487456875051E-2</v>
      </c>
      <c r="D530" s="14">
        <f t="shared" ref="D530" si="889">C529^2-(D529+0.1)^2+2*E529+0.9</f>
        <v>8.0617326700737069E-3</v>
      </c>
      <c r="E530" s="14">
        <f t="shared" ref="E530" si="890">EXP(-C529)+1/D529+1.5*E529+2</f>
        <v>8.0601899580686975E-2</v>
      </c>
      <c r="G530" s="1">
        <f>0.5*(C530*C530+D530*D530+E530*E530)</f>
        <v>4.7104823322422704E-3</v>
      </c>
    </row>
    <row r="531" spans="1:7" x14ac:dyDescent="0.25">
      <c r="C531" s="17">
        <f t="shared" ref="C531" si="891">3-0.5*E529</f>
        <v>3.8134579735074636</v>
      </c>
      <c r="D531" s="18">
        <f t="shared" ref="D531" si="892">-3*D529^2</f>
        <v>-14.341630587681049</v>
      </c>
      <c r="E531" s="19">
        <f t="shared" ref="E531" si="893">-0.5*C529</f>
        <v>-1.3774728888303001</v>
      </c>
    </row>
    <row r="532" spans="1:7" x14ac:dyDescent="0.25">
      <c r="B532" t="s">
        <v>7</v>
      </c>
      <c r="C532" s="20">
        <f t="shared" ref="C532" si="894">2*C529</f>
        <v>5.5098915553212002</v>
      </c>
      <c r="D532" s="14">
        <f t="shared" ref="D532" si="895">-2*(D529+0.1)</f>
        <v>-4.572890819230234</v>
      </c>
      <c r="E532" s="21">
        <f>2</f>
        <v>2</v>
      </c>
    </row>
    <row r="533" spans="1:7" x14ac:dyDescent="0.25">
      <c r="C533" s="22">
        <f t="shared" ref="C533" si="896">-EXP(-C529)</f>
        <v>-6.36124687921341E-2</v>
      </c>
      <c r="D533" s="23">
        <f t="shared" ref="D533" si="897">-1/D529^2</f>
        <v>-0.20918123512237816</v>
      </c>
      <c r="E533" s="24">
        <f t="shared" ref="E533" si="898">1.5</f>
        <v>1.5</v>
      </c>
    </row>
    <row r="534" spans="1:7" x14ac:dyDescent="0.25">
      <c r="B534" t="s">
        <v>12</v>
      </c>
      <c r="C534" cm="1">
        <f t="array" ref="C534:E534">-MMULT(C530:E530,C531:E533)</f>
        <v>-0.24320707059413099</v>
      </c>
      <c r="D534">
        <v>0.82060848993247693</v>
      </c>
      <c r="E534">
        <v>-6.3369412941014211E-2</v>
      </c>
      <c r="F534">
        <f>F527</f>
        <v>1</v>
      </c>
      <c r="G534"/>
    </row>
    <row r="535" spans="1:7" x14ac:dyDescent="0.25">
      <c r="B535" t="s">
        <v>13</v>
      </c>
      <c r="C535">
        <f t="shared" ref="C535" si="899">G530/SUMPRODUCT(_xlfn.ANCHORARRAY(C534),_xlfn.ANCHORARRAY(C534))</f>
        <v>6.3952141780263174E-3</v>
      </c>
      <c r="D535"/>
      <c r="E535"/>
      <c r="G535"/>
    </row>
    <row r="536" spans="1:7" x14ac:dyDescent="0.25">
      <c r="A536" t="s">
        <v>4</v>
      </c>
      <c r="B536" s="16" t="s">
        <v>5</v>
      </c>
      <c r="C536" cm="1">
        <f t="array" ref="C536:E536">C529:E529+C535*(C534:E534)</f>
        <v>2.7533904163545402</v>
      </c>
      <c r="D536">
        <v>2.1916933766645417</v>
      </c>
      <c r="E536">
        <v>-1.627321207983021</v>
      </c>
      <c r="G536"/>
    </row>
    <row r="537" spans="1:7" x14ac:dyDescent="0.25">
      <c r="A537" s="1">
        <f>1+A530</f>
        <v>77</v>
      </c>
      <c r="B537" t="s">
        <v>6</v>
      </c>
      <c r="C537" s="13">
        <f t="shared" ref="C537" si="900">3*C536-D536^3-0.5*C536*E536</f>
        <v>-2.7346097695280402E-2</v>
      </c>
      <c r="D537" s="14">
        <f t="shared" ref="D537" si="901">C536^2-(D536+0.1)^2+2*E536+0.9</f>
        <v>-2.5342163741143398E-2</v>
      </c>
      <c r="E537" s="14">
        <f t="shared" ref="E537" si="902">EXP(-C536)+1/D536+1.5*E536+2</f>
        <v>7.899787785950263E-2</v>
      </c>
      <c r="G537" s="1">
        <f>0.5*(C537*C537+D537*D537+E537*E537)</f>
        <v>3.8153495142738197E-3</v>
      </c>
    </row>
    <row r="538" spans="1:7" x14ac:dyDescent="0.25">
      <c r="C538" s="17">
        <f t="shared" ref="C538" si="903">3-0.5*E536</f>
        <v>3.8136606039915106</v>
      </c>
      <c r="D538" s="18">
        <f t="shared" ref="D538" si="904">-3*D536^2</f>
        <v>-14.410559571945662</v>
      </c>
      <c r="E538" s="19">
        <f t="shared" ref="E538" si="905">-0.5*C536</f>
        <v>-1.3766952081772701</v>
      </c>
    </row>
    <row r="539" spans="1:7" x14ac:dyDescent="0.25">
      <c r="B539" t="s">
        <v>7</v>
      </c>
      <c r="C539" s="20">
        <f t="shared" ref="C539" si="906">2*C536</f>
        <v>5.5067808327090804</v>
      </c>
      <c r="D539" s="14">
        <f t="shared" ref="D539" si="907">-2*(D536+0.1)</f>
        <v>-4.5833867533290835</v>
      </c>
      <c r="E539" s="21">
        <f>2</f>
        <v>2</v>
      </c>
    </row>
    <row r="540" spans="1:7" x14ac:dyDescent="0.25">
      <c r="C540" s="22">
        <f t="shared" ref="C540" si="908">-EXP(-C536)</f>
        <v>-6.3711486148597285E-2</v>
      </c>
      <c r="D540" s="23">
        <f t="shared" ref="D540" si="909">-1/D536^2</f>
        <v>-0.20818067369433532</v>
      </c>
      <c r="E540" s="24">
        <f t="shared" ref="E540" si="910">1.5</f>
        <v>1.5</v>
      </c>
    </row>
    <row r="541" spans="1:7" x14ac:dyDescent="0.25">
      <c r="B541" t="s">
        <v>12</v>
      </c>
      <c r="C541" cm="1">
        <f t="array" ref="C541:E541">-MMULT(C537:E537,C538:E540)</f>
        <v>0.24887554920351168</v>
      </c>
      <c r="D541">
        <v>-0.49377967605672335</v>
      </c>
      <c r="E541">
        <v>-0.10545973096640718</v>
      </c>
      <c r="F541">
        <f>F534</f>
        <v>1</v>
      </c>
      <c r="G541"/>
    </row>
    <row r="542" spans="1:7" x14ac:dyDescent="0.25">
      <c r="B542" t="s">
        <v>13</v>
      </c>
      <c r="C542">
        <f t="shared" ref="C542" si="911">G537/SUMPRODUCT(_xlfn.ANCHORARRAY(C541),_xlfn.ANCHORARRAY(C541))</f>
        <v>1.2040392577969128E-2</v>
      </c>
      <c r="D542"/>
      <c r="E542"/>
      <c r="G542"/>
    </row>
    <row r="543" spans="1:7" x14ac:dyDescent="0.25">
      <c r="A543" t="s">
        <v>4</v>
      </c>
      <c r="B543" s="16" t="s">
        <v>5</v>
      </c>
      <c r="C543" cm="1">
        <f t="array" ref="C543:E543">C536:E536+C542*(C541:E541)</f>
        <v>2.7563869756700083</v>
      </c>
      <c r="D543">
        <v>2.1857480755177963</v>
      </c>
      <c r="E543">
        <v>-1.6285909845450235</v>
      </c>
      <c r="G543"/>
    </row>
    <row r="544" spans="1:7" x14ac:dyDescent="0.25">
      <c r="A544" s="1">
        <f>1+A537</f>
        <v>78</v>
      </c>
      <c r="B544" t="s">
        <v>6</v>
      </c>
      <c r="C544" s="13">
        <f t="shared" ref="C544" si="912">3*C543-D543^3-0.5*C543*E543</f>
        <v>7.1274680031979898E-2</v>
      </c>
      <c r="D544" s="14">
        <f t="shared" ref="D544" si="913">C543^2-(D543+0.1)^2+2*E543+0.9</f>
        <v>1.5842925819898324E-2</v>
      </c>
      <c r="E544" s="14">
        <f t="shared" ref="E544" si="914">EXP(-C543)+1/D543+1.5*E543+2</f>
        <v>7.8143646899031527E-2</v>
      </c>
      <c r="G544" s="1">
        <f>0.5*(C544*C544+D544*D544+E544*E544)</f>
        <v>5.7187539314382165E-3</v>
      </c>
    </row>
    <row r="545" spans="1:7" x14ac:dyDescent="0.25">
      <c r="C545" s="17">
        <f t="shared" ref="C545" si="915">3-0.5*E543</f>
        <v>3.8142954922725116</v>
      </c>
      <c r="D545" s="18">
        <f t="shared" ref="D545" si="916">-3*D543^2</f>
        <v>-14.33248394888925</v>
      </c>
      <c r="E545" s="19">
        <f t="shared" ref="E545" si="917">-0.5*C543</f>
        <v>-1.3781934878350042</v>
      </c>
    </row>
    <row r="546" spans="1:7" x14ac:dyDescent="0.25">
      <c r="B546" t="s">
        <v>7</v>
      </c>
      <c r="C546" s="20">
        <f t="shared" ref="C546" si="918">2*C543</f>
        <v>5.5127739513400167</v>
      </c>
      <c r="D546" s="14">
        <f t="shared" ref="D546" si="919">-2*(D543+0.1)</f>
        <v>-4.5714961510355927</v>
      </c>
      <c r="E546" s="21">
        <f>2</f>
        <v>2</v>
      </c>
    </row>
    <row r="547" spans="1:7" x14ac:dyDescent="0.25">
      <c r="C547" s="22">
        <f t="shared" ref="C547" si="920">-EXP(-C543)</f>
        <v>-6.3520856660205349E-2</v>
      </c>
      <c r="D547" s="23">
        <f t="shared" ref="D547" si="921">-1/D543^2</f>
        <v>-0.20931472944244925</v>
      </c>
      <c r="E547" s="24">
        <f t="shared" ref="E547" si="922">1.5</f>
        <v>1.5</v>
      </c>
    </row>
    <row r="548" spans="1:7" x14ac:dyDescent="0.25">
      <c r="B548" t="s">
        <v>12</v>
      </c>
      <c r="C548" cm="1">
        <f t="array" ref="C548:E548">-MMULT(C544:E544,C545:E547)</f>
        <v>-0.35423740813851512</v>
      </c>
      <c r="D548">
        <v>1.1103256982356937</v>
      </c>
      <c r="E548">
        <v>-5.0671022120745632E-2</v>
      </c>
      <c r="F548">
        <f>F541</f>
        <v>1</v>
      </c>
      <c r="G548"/>
    </row>
    <row r="549" spans="1:7" x14ac:dyDescent="0.25">
      <c r="B549" t="s">
        <v>13</v>
      </c>
      <c r="C549">
        <f t="shared" ref="C549" si="923">G544/SUMPRODUCT(_xlfn.ANCHORARRAY(C548),_xlfn.ANCHORARRAY(C548))</f>
        <v>4.2022629278248014E-3</v>
      </c>
      <c r="D549"/>
      <c r="E549"/>
      <c r="G549"/>
    </row>
    <row r="550" spans="1:7" x14ac:dyDescent="0.25">
      <c r="A550" t="s">
        <v>4</v>
      </c>
      <c r="B550" s="16" t="s">
        <v>5</v>
      </c>
      <c r="C550" cm="1">
        <f t="array" ref="C550:E550">C543:E543+C549*(C548:E548)</f>
        <v>2.7548983769421391</v>
      </c>
      <c r="D550">
        <v>2.1904139560373035</v>
      </c>
      <c r="E550">
        <v>-1.6288039175027964</v>
      </c>
      <c r="G550"/>
    </row>
    <row r="551" spans="1:7" x14ac:dyDescent="0.25">
      <c r="A551" s="1">
        <f>1+A544</f>
        <v>79</v>
      </c>
      <c r="B551" t="s">
        <v>6</v>
      </c>
      <c r="C551" s="13">
        <f t="shared" ref="C551" si="924">3*C550-D550^3-0.5*C550*E550</f>
        <v>-1.1264843859013496E-3</v>
      </c>
      <c r="D551" s="14">
        <f t="shared" ref="D551" si="925">C550^2-(D550+0.1)^2+2*E550+0.9</f>
        <v>-1.4138857737611921E-2</v>
      </c>
      <c r="E551" s="14">
        <f t="shared" ref="E551" si="926">EXP(-C550)+1/D550+1.5*E550+2</f>
        <v>7.6944317795075046E-2</v>
      </c>
      <c r="G551" s="1">
        <f>0.5*(C551*C551+D551*D551+E551*E551)</f>
        <v>3.0608021530728054E-3</v>
      </c>
    </row>
    <row r="552" spans="1:7" x14ac:dyDescent="0.25">
      <c r="C552" s="17">
        <f t="shared" ref="C552" si="927">3-0.5*E550</f>
        <v>3.8144019587513984</v>
      </c>
      <c r="D552" s="18">
        <f t="shared" ref="D552" si="928">-3*D550^2</f>
        <v>-14.39373989640897</v>
      </c>
      <c r="E552" s="19">
        <f t="shared" ref="E552" si="929">-0.5*C550</f>
        <v>-1.3774491884710696</v>
      </c>
    </row>
    <row r="553" spans="1:7" x14ac:dyDescent="0.25">
      <c r="B553" t="s">
        <v>7</v>
      </c>
      <c r="C553" s="20">
        <f t="shared" ref="C553" si="930">2*C550</f>
        <v>5.5097967538842783</v>
      </c>
      <c r="D553" s="14">
        <f t="shared" ref="D553" si="931">-2*(D550+0.1)</f>
        <v>-4.5808279120746072</v>
      </c>
      <c r="E553" s="21">
        <f>2</f>
        <v>2</v>
      </c>
    </row>
    <row r="554" spans="1:7" x14ac:dyDescent="0.25">
      <c r="C554" s="22">
        <f t="shared" ref="C554" si="932">-EXP(-C550)</f>
        <v>-6.3615484140322198E-2</v>
      </c>
      <c r="D554" s="23">
        <f t="shared" ref="D554" si="933">-1/D550^2</f>
        <v>-0.20842394135164669</v>
      </c>
      <c r="E554" s="24">
        <f t="shared" ref="E554" si="934">1.5</f>
        <v>1.5</v>
      </c>
    </row>
    <row r="555" spans="1:7" x14ac:dyDescent="0.25">
      <c r="B555" t="s">
        <v>12</v>
      </c>
      <c r="C555" cm="1">
        <f t="array" ref="C555:E555">-MMULT(C551:E551,C552:E554)</f>
        <v>8.7093946742791264E-2</v>
      </c>
      <c r="D555">
        <v>-6.4944959437871555E-2</v>
      </c>
      <c r="E555">
        <v>-8.8690436220573876E-2</v>
      </c>
      <c r="F555">
        <f>F548</f>
        <v>1</v>
      </c>
      <c r="G555"/>
    </row>
    <row r="556" spans="1:7" x14ac:dyDescent="0.25">
      <c r="B556" t="s">
        <v>13</v>
      </c>
      <c r="C556">
        <f t="shared" ref="C556" si="935">G551/SUMPRODUCT(_xlfn.ANCHORARRAY(C555),_xlfn.ANCHORARRAY(C555))</f>
        <v>0.15561398797034004</v>
      </c>
      <c r="D556"/>
      <c r="E556"/>
      <c r="G556"/>
    </row>
    <row r="557" spans="1:7" x14ac:dyDescent="0.25">
      <c r="A557" t="s">
        <v>4</v>
      </c>
      <c r="B557" s="16" t="s">
        <v>5</v>
      </c>
      <c r="C557" cm="1">
        <f t="array" ref="C557:E557">C550:E550+C556*(C555:E555)</f>
        <v>2.7684514133228615</v>
      </c>
      <c r="D557">
        <v>2.1803076119006044</v>
      </c>
      <c r="E557">
        <v>-1.6426053899779089</v>
      </c>
      <c r="G557"/>
    </row>
    <row r="558" spans="1:7" x14ac:dyDescent="0.25">
      <c r="A558" s="1">
        <f>1+A551</f>
        <v>80</v>
      </c>
      <c r="B558" t="s">
        <v>6</v>
      </c>
      <c r="C558" s="13">
        <f t="shared" ref="C558" si="936">3*C557-D557^3-0.5*C557*E557</f>
        <v>0.21447254341019306</v>
      </c>
      <c r="D558" s="14">
        <f t="shared" ref="D558" si="937">C557^2-(D557+0.1)^2+2*E557+0.9</f>
        <v>7.9309643081694081E-2</v>
      </c>
      <c r="E558" s="14">
        <f t="shared" ref="E558" si="938">EXP(-C557)+1/D557+1.5*E557+2</f>
        <v>5.7501910262191203E-2</v>
      </c>
      <c r="G558" s="1">
        <f>0.5*(C558*C558+D558*D558+E558*E558)</f>
        <v>2.7797480523191975E-2</v>
      </c>
    </row>
    <row r="559" spans="1:7" x14ac:dyDescent="0.25">
      <c r="C559" s="17">
        <f t="shared" ref="C559" si="939">3-0.5*E557</f>
        <v>3.8213026949889546</v>
      </c>
      <c r="D559" s="18">
        <f t="shared" ref="D559" si="940">-3*D557^2</f>
        <v>-14.261223847535151</v>
      </c>
      <c r="E559" s="19">
        <f t="shared" ref="E559" si="941">-0.5*C557</f>
        <v>-1.3842257066614307</v>
      </c>
    </row>
    <row r="560" spans="1:7" x14ac:dyDescent="0.25">
      <c r="B560" t="s">
        <v>7</v>
      </c>
      <c r="C560" s="20">
        <f t="shared" ref="C560" si="942">2*C557</f>
        <v>5.536902826645723</v>
      </c>
      <c r="D560" s="14">
        <f t="shared" ref="D560" si="943">-2*(D557+0.1)</f>
        <v>-4.560615223801209</v>
      </c>
      <c r="E560" s="21">
        <f>2</f>
        <v>2</v>
      </c>
    </row>
    <row r="561" spans="1:7" x14ac:dyDescent="0.25">
      <c r="C561" s="22">
        <f t="shared" ref="C561" si="944">-EXP(-C557)</f>
        <v>-6.2759117462184516E-2</v>
      </c>
      <c r="D561" s="23">
        <f t="shared" ref="D561" si="945">-1/D557^2</f>
        <v>-0.21036062767632016</v>
      </c>
      <c r="E561" s="24">
        <f t="shared" ref="E561" si="946">1.5</f>
        <v>1.5</v>
      </c>
    </row>
    <row r="562" spans="1:7" x14ac:dyDescent="0.25">
      <c r="B562" t="s">
        <v>12</v>
      </c>
      <c r="C562" cm="1">
        <f t="array" ref="C562:E562">-MMULT(C558:E558,C559:E561)</f>
        <v>-1.2550855259533567</v>
      </c>
      <c r="D562">
        <v>3.4324378542909191</v>
      </c>
      <c r="E562">
        <v>5.200625640477391E-2</v>
      </c>
      <c r="F562">
        <f>F555</f>
        <v>1</v>
      </c>
      <c r="G562"/>
    </row>
    <row r="563" spans="1:7" x14ac:dyDescent="0.25">
      <c r="B563" t="s">
        <v>13</v>
      </c>
      <c r="C563">
        <f t="shared" ref="C563" si="947">G558/SUMPRODUCT(_xlfn.ANCHORARRAY(C562),_xlfn.ANCHORARRAY(C562))</f>
        <v>2.080716093464041E-3</v>
      </c>
      <c r="D563"/>
      <c r="E563"/>
      <c r="G563"/>
    </row>
    <row r="564" spans="1:7" x14ac:dyDescent="0.25">
      <c r="A564" t="s">
        <v>4</v>
      </c>
      <c r="B564" s="16" t="s">
        <v>5</v>
      </c>
      <c r="C564" cm="1">
        <f t="array" ref="C564:E564">C557:E557+C563*(C562:E562)</f>
        <v>2.7658399366703366</v>
      </c>
      <c r="D564">
        <v>2.1874495405838426</v>
      </c>
      <c r="E564">
        <v>-1.6424971797232468</v>
      </c>
      <c r="G564"/>
    </row>
    <row r="565" spans="1:7" x14ac:dyDescent="0.25">
      <c r="A565" s="1">
        <f>1+A558</f>
        <v>81</v>
      </c>
      <c r="B565" t="s">
        <v>6</v>
      </c>
      <c r="C565" s="13">
        <f t="shared" ref="C565" si="948">3*C564-D564^3-0.5*C564*E564</f>
        <v>0.10215701277227929</v>
      </c>
      <c r="D565" s="14">
        <f t="shared" ref="D565" si="949">C564^2-(D564+0.1)^2+2*E564+0.9</f>
        <v>3.2450795116845232E-2</v>
      </c>
      <c r="E565" s="14">
        <f t="shared" ref="E565" si="950">EXP(-C564)+1/D564+1.5*E564+2</f>
        <v>5.6330858410645668E-2</v>
      </c>
      <c r="G565" s="1">
        <f>0.5*(C565*C565+D565*D565+E565*E565)</f>
        <v>7.3311374857756547E-3</v>
      </c>
    </row>
    <row r="566" spans="1:7" x14ac:dyDescent="0.25">
      <c r="C566" s="17">
        <f t="shared" ref="C566" si="951">3-0.5*E564</f>
        <v>3.8212485898616233</v>
      </c>
      <c r="D566" s="18">
        <f t="shared" ref="D566" si="952">-3*D564^2</f>
        <v>-14.35480647780139</v>
      </c>
      <c r="E566" s="19">
        <f t="shared" ref="E566" si="953">-0.5*C564</f>
        <v>-1.3829199683351683</v>
      </c>
    </row>
    <row r="567" spans="1:7" x14ac:dyDescent="0.25">
      <c r="B567" t="s">
        <v>7</v>
      </c>
      <c r="C567" s="20">
        <f t="shared" ref="C567" si="954">2*C564</f>
        <v>5.5316798733406731</v>
      </c>
      <c r="D567" s="14">
        <f t="shared" ref="D567" si="955">-2*(D564+0.1)</f>
        <v>-4.5748990811676853</v>
      </c>
      <c r="E567" s="21">
        <f>2</f>
        <v>2</v>
      </c>
    </row>
    <row r="568" spans="1:7" x14ac:dyDescent="0.25">
      <c r="C568" s="22">
        <f t="shared" ref="C568" si="956">-EXP(-C564)</f>
        <v>-6.2923225621217452E-2</v>
      </c>
      <c r="D568" s="23">
        <f t="shared" ref="D568" si="957">-1/D564^2</f>
        <v>-0.20898923330239738</v>
      </c>
      <c r="E568" s="24">
        <f t="shared" ref="E568" si="958">1.5</f>
        <v>1.5</v>
      </c>
    </row>
    <row r="569" spans="1:7" x14ac:dyDescent="0.25">
      <c r="B569" t="s">
        <v>12</v>
      </c>
      <c r="C569" cm="1">
        <f t="array" ref="C569:E569">-MMULT(C565:E565,C566:E568)</f>
        <v>-0.56633023190909282</v>
      </c>
      <c r="D569">
        <v>1.6266758043700766</v>
      </c>
      <c r="E569">
        <v>-8.1229049814031118E-3</v>
      </c>
      <c r="F569">
        <f>F562</f>
        <v>1</v>
      </c>
      <c r="G569"/>
    </row>
    <row r="570" spans="1:7" x14ac:dyDescent="0.25">
      <c r="B570" t="s">
        <v>13</v>
      </c>
      <c r="C570">
        <f t="shared" ref="C570" si="959">G565/SUMPRODUCT(_xlfn.ANCHORARRAY(C569),_xlfn.ANCHORARRAY(C569))</f>
        <v>2.471000506949734E-3</v>
      </c>
      <c r="D570"/>
      <c r="E570"/>
      <c r="G570"/>
    </row>
    <row r="571" spans="1:7" x14ac:dyDescent="0.25">
      <c r="A571" t="s">
        <v>4</v>
      </c>
      <c r="B571" s="16" t="s">
        <v>5</v>
      </c>
      <c r="C571" cm="1">
        <f t="array" ref="C571:E571">C564:E564+C570*(C569:E569)</f>
        <v>2.7644405343801881</v>
      </c>
      <c r="D571">
        <v>2.191469057321084</v>
      </c>
      <c r="E571">
        <v>-1.6425172514255737</v>
      </c>
      <c r="G571"/>
    </row>
    <row r="572" spans="1:7" x14ac:dyDescent="0.25">
      <c r="A572" s="1">
        <f>1+A565</f>
        <v>82</v>
      </c>
      <c r="B572" t="s">
        <v>6</v>
      </c>
      <c r="C572" s="13">
        <f t="shared" ref="C572" si="960">3*C571-D571^3-0.5*C571*E571</f>
        <v>3.9031817736750352E-2</v>
      </c>
      <c r="D572" s="14">
        <f t="shared" ref="D572" si="961">C571^2-(D571+0.1)^2+2*E571+0.9</f>
        <v>6.2665246130954033E-3</v>
      </c>
      <c r="E572" s="14">
        <f t="shared" ref="E572" si="962">EXP(-C571)+1/D571+1.5*E571+2</f>
        <v>5.5550372447360719E-2</v>
      </c>
      <c r="G572" s="1">
        <f>0.5*(C572*C572+D572*D572+E572*E572)</f>
        <v>2.3242980028009615E-3</v>
      </c>
    </row>
    <row r="573" spans="1:7" x14ac:dyDescent="0.25">
      <c r="C573" s="17">
        <f t="shared" ref="C573" si="963">3-0.5*E571</f>
        <v>3.8212586257127867</v>
      </c>
      <c r="D573" s="18">
        <f t="shared" ref="D573" si="964">-3*D571^2</f>
        <v>-14.407609887587281</v>
      </c>
      <c r="E573" s="19">
        <f t="shared" ref="E573" si="965">-0.5*C571</f>
        <v>-1.3822202671900941</v>
      </c>
    </row>
    <row r="574" spans="1:7" x14ac:dyDescent="0.25">
      <c r="B574" t="s">
        <v>7</v>
      </c>
      <c r="C574" s="20">
        <f t="shared" ref="C574" si="966">2*C571</f>
        <v>5.5288810687603762</v>
      </c>
      <c r="D574" s="14">
        <f t="shared" ref="D574" si="967">-2*(D571+0.1)</f>
        <v>-4.5829381146421682</v>
      </c>
      <c r="E574" s="21">
        <f>2</f>
        <v>2</v>
      </c>
    </row>
    <row r="575" spans="1:7" x14ac:dyDescent="0.25">
      <c r="C575" s="22">
        <f t="shared" ref="C575" si="968">-EXP(-C571)</f>
        <v>-6.3011342168123999E-2</v>
      </c>
      <c r="D575" s="23">
        <f t="shared" ref="D575" si="969">-1/D571^2</f>
        <v>-0.20822329473153053</v>
      </c>
      <c r="E575" s="24">
        <f t="shared" ref="E575" si="970">1.5</f>
        <v>1.5</v>
      </c>
    </row>
    <row r="576" spans="1:7" x14ac:dyDescent="0.25">
      <c r="B576" t="s">
        <v>12</v>
      </c>
      <c r="C576" cm="1">
        <f t="array" ref="C576:E576">-MMULT(C572:E572,C573:E575)</f>
        <v>-0.18029723597822336</v>
      </c>
      <c r="D576">
        <v>0.60264117922476024</v>
      </c>
      <c r="E576">
        <v>-4.1908038356225759E-2</v>
      </c>
      <c r="F576">
        <f>F569</f>
        <v>1</v>
      </c>
      <c r="G576"/>
    </row>
    <row r="577" spans="1:7" x14ac:dyDescent="0.25">
      <c r="B577" t="s">
        <v>13</v>
      </c>
      <c r="C577">
        <f t="shared" ref="C577" si="971">G572/SUMPRODUCT(_xlfn.ANCHORARRAY(C576),_xlfn.ANCHORARRAY(C576))</f>
        <v>5.8481767318171495E-3</v>
      </c>
      <c r="D577"/>
      <c r="E577"/>
      <c r="G577"/>
    </row>
    <row r="578" spans="1:7" x14ac:dyDescent="0.25">
      <c r="A578" t="s">
        <v>4</v>
      </c>
      <c r="B578" s="16" t="s">
        <v>5</v>
      </c>
      <c r="C578" cm="1">
        <f t="array" ref="C578:E578">C571:E571+C577*(C576:E576)</f>
        <v>2.7633861242799291</v>
      </c>
      <c r="D578">
        <v>2.194993409443061</v>
      </c>
      <c r="E578">
        <v>-1.6427623370403648</v>
      </c>
      <c r="G578"/>
    </row>
    <row r="579" spans="1:7" x14ac:dyDescent="0.25">
      <c r="A579" s="1">
        <f>1+A572</f>
        <v>83</v>
      </c>
      <c r="B579" t="s">
        <v>6</v>
      </c>
      <c r="C579" s="13">
        <f t="shared" ref="C579" si="972">3*C578-D578^3-0.5*C578*E578</f>
        <v>-1.5517918208441284E-2</v>
      </c>
      <c r="D579" s="14">
        <f t="shared" ref="D579" si="973">C578^2-(D578+0.1)^2+2*E578+0.9</f>
        <v>-1.6216551604967377E-2</v>
      </c>
      <c r="E579" s="14">
        <f t="shared" ref="E579" si="974">EXP(-C578)+1/D578+1.5*E578+2</f>
        <v>5.4516544946612955E-2</v>
      </c>
      <c r="G579" s="1">
        <f>0.5*(C579*C579+D579*D579+E579*E579)</f>
        <v>1.7379180021982572E-3</v>
      </c>
    </row>
    <row r="580" spans="1:7" x14ac:dyDescent="0.25">
      <c r="C580" s="17">
        <f t="shared" ref="C580" si="975">3-0.5*E578</f>
        <v>3.8213811685201824</v>
      </c>
      <c r="D580" s="18">
        <f t="shared" ref="D580" si="976">-3*D578^2</f>
        <v>-14.45398820249542</v>
      </c>
      <c r="E580" s="19">
        <f t="shared" ref="E580" si="977">-0.5*C578</f>
        <v>-1.3816930621399646</v>
      </c>
    </row>
    <row r="581" spans="1:7" x14ac:dyDescent="0.25">
      <c r="B581" t="s">
        <v>7</v>
      </c>
      <c r="C581" s="20">
        <f t="shared" ref="C581" si="978">2*C578</f>
        <v>5.5267722485598583</v>
      </c>
      <c r="D581" s="14">
        <f t="shared" ref="D581" si="979">-2*(D578+0.1)</f>
        <v>-4.5899868188861221</v>
      </c>
      <c r="E581" s="21">
        <f>2</f>
        <v>2</v>
      </c>
    </row>
    <row r="582" spans="1:7" x14ac:dyDescent="0.25">
      <c r="C582" s="22">
        <f t="shared" ref="C582" si="980">-EXP(-C578)</f>
        <v>-6.3077817003447043E-2</v>
      </c>
      <c r="D582" s="23">
        <f t="shared" ref="D582" si="981">-1/D578^2</f>
        <v>-0.20755517148423178</v>
      </c>
      <c r="E582" s="24">
        <f t="shared" ref="E582" si="982">1.5</f>
        <v>1.5</v>
      </c>
    </row>
    <row r="583" spans="1:7" x14ac:dyDescent="0.25">
      <c r="B583" t="s">
        <v>12</v>
      </c>
      <c r="C583" cm="1">
        <f t="array" ref="C583:E583">-MMULT(C579:E579,C580:E582)</f>
        <v>0.15236385243984912</v>
      </c>
      <c r="D583">
        <v>-0.28741437399156394</v>
      </c>
      <c r="E583">
        <v>-7.0782714137443428E-2</v>
      </c>
      <c r="F583">
        <f>F576</f>
        <v>1</v>
      </c>
      <c r="G583"/>
    </row>
    <row r="584" spans="1:7" x14ac:dyDescent="0.25">
      <c r="B584" t="s">
        <v>13</v>
      </c>
      <c r="C584">
        <f t="shared" ref="C584" si="983">G579/SUMPRODUCT(_xlfn.ANCHORARRAY(C583),_xlfn.ANCHORARRAY(C583))</f>
        <v>1.5680657684671116E-2</v>
      </c>
      <c r="D584"/>
      <c r="E584"/>
      <c r="G584"/>
    </row>
    <row r="585" spans="1:7" x14ac:dyDescent="0.25">
      <c r="A585" t="s">
        <v>4</v>
      </c>
      <c r="B585" s="16" t="s">
        <v>5</v>
      </c>
      <c r="C585" cm="1">
        <f t="array" ref="C585:E585">C578:E578+C584*(C583:E583)</f>
        <v>2.7657752896935563</v>
      </c>
      <c r="D585">
        <v>2.1904865630308454</v>
      </c>
      <c r="E585">
        <v>-1.643872256550746</v>
      </c>
      <c r="G585"/>
    </row>
    <row r="586" spans="1:7" x14ac:dyDescent="0.25">
      <c r="A586" s="1">
        <f>1+A579</f>
        <v>84</v>
      </c>
      <c r="B586" t="s">
        <v>6</v>
      </c>
      <c r="C586" s="13">
        <f t="shared" ref="C586" si="984">3*C585-D585^3-0.5*C585*E585</f>
        <v>6.0155131993846478E-2</v>
      </c>
      <c r="D586" s="14">
        <f t="shared" ref="D586" si="985">C585^2-(D585+0.1)^2+2*E585+0.9</f>
        <v>1.543974455312791E-2</v>
      </c>
      <c r="E586" s="14">
        <f t="shared" ref="E586" si="986">EXP(-C585)+1/D585+1.5*E585+2</f>
        <v>5.3638486097683291E-2</v>
      </c>
      <c r="G586" s="1">
        <f>0.5*(C586*C586+D586*D586+E586*E586)</f>
        <v>3.3670564039571492E-3</v>
      </c>
    </row>
    <row r="587" spans="1:7" x14ac:dyDescent="0.25">
      <c r="C587" s="17">
        <f t="shared" ref="C587" si="987">3-0.5*E585</f>
        <v>3.821936128275373</v>
      </c>
      <c r="D587" s="18">
        <f t="shared" ref="D587" si="988">-3*D585^2</f>
        <v>-14.394694148456058</v>
      </c>
      <c r="E587" s="19">
        <f t="shared" ref="E587" si="989">-0.5*C585</f>
        <v>-1.3828876448467782</v>
      </c>
    </row>
    <row r="588" spans="1:7" x14ac:dyDescent="0.25">
      <c r="B588" t="s">
        <v>7</v>
      </c>
      <c r="C588" s="20">
        <f t="shared" ref="C588" si="990">2*C585</f>
        <v>5.5315505793871127</v>
      </c>
      <c r="D588" s="14">
        <f t="shared" ref="D588" si="991">-2*(D585+0.1)</f>
        <v>-4.580973126061691</v>
      </c>
      <c r="E588" s="21">
        <f>2</f>
        <v>2</v>
      </c>
    </row>
    <row r="589" spans="1:7" x14ac:dyDescent="0.25">
      <c r="C589" s="22">
        <f t="shared" ref="C589" si="992">-EXP(-C585)</f>
        <v>-6.2927293549011318E-2</v>
      </c>
      <c r="D589" s="23">
        <f t="shared" ref="D589" si="993">-1/D585^2</f>
        <v>-0.2084101245264578</v>
      </c>
      <c r="E589" s="24">
        <f t="shared" ref="E589" si="994">1.5</f>
        <v>1.5</v>
      </c>
    </row>
    <row r="590" spans="1:7" x14ac:dyDescent="0.25">
      <c r="B590" t="s">
        <v>12</v>
      </c>
      <c r="C590" cm="1">
        <f t="array" ref="C590:E590">-MMULT(C586:E586,C587:E589)</f>
        <v>-0.31193947543670586</v>
      </c>
      <c r="D590">
        <v>0.94782258494958882</v>
      </c>
      <c r="E590">
        <v>-2.8149429444363328E-2</v>
      </c>
      <c r="F590">
        <f>F583</f>
        <v>1</v>
      </c>
      <c r="G590"/>
    </row>
    <row r="591" spans="1:7" x14ac:dyDescent="0.25">
      <c r="B591" t="s">
        <v>13</v>
      </c>
      <c r="C591">
        <f t="shared" ref="C591" si="995">G586/SUMPRODUCT(_xlfn.ANCHORARRAY(C590),_xlfn.ANCHORARRAY(C590))</f>
        <v>3.378996835173286E-3</v>
      </c>
      <c r="D591"/>
      <c r="E591"/>
      <c r="G591"/>
    </row>
    <row r="592" spans="1:7" x14ac:dyDescent="0.25">
      <c r="A592" t="s">
        <v>4</v>
      </c>
      <c r="B592" s="16" t="s">
        <v>5</v>
      </c>
      <c r="C592" cm="1">
        <f t="array" ref="C592:E592">C585:E585+C591*(C590:E590)</f>
        <v>2.76472124719329</v>
      </c>
      <c r="D592">
        <v>2.1936892525456959</v>
      </c>
      <c r="E592">
        <v>-1.6439673733837503</v>
      </c>
      <c r="G592"/>
    </row>
    <row r="593" spans="1:7" x14ac:dyDescent="0.25">
      <c r="A593" s="1">
        <f>1+A586</f>
        <v>85</v>
      </c>
      <c r="B593" t="s">
        <v>6</v>
      </c>
      <c r="C593" s="13">
        <f t="shared" ref="C593" si="996">3*C592-D592^3-0.5*C592*E592</f>
        <v>1.0088960867898233E-2</v>
      </c>
      <c r="D593" s="14">
        <f t="shared" ref="D593" si="997">C592^2-(D592+0.1)^2+2*E592+0.9</f>
        <v>-5.2615593291126528E-3</v>
      </c>
      <c r="E593" s="14">
        <f t="shared" ref="E593" si="998">EXP(-C592)+1/D592+1.5*E592+2</f>
        <v>5.2895675418979993E-2</v>
      </c>
      <c r="G593" s="1">
        <f>0.5*(C593*C593+D593*D593+E593*E593)</f>
        <v>1.4637118079989192E-3</v>
      </c>
    </row>
    <row r="594" spans="1:7" x14ac:dyDescent="0.25">
      <c r="C594" s="17">
        <f t="shared" ref="C594" si="999">3-0.5*E592</f>
        <v>3.8219836866918753</v>
      </c>
      <c r="D594" s="18">
        <f t="shared" ref="D594" si="1000">-3*D592^2</f>
        <v>-14.436817610203484</v>
      </c>
      <c r="E594" s="19">
        <f t="shared" ref="E594" si="1001">-0.5*C592</f>
        <v>-1.382360623596645</v>
      </c>
    </row>
    <row r="595" spans="1:7" x14ac:dyDescent="0.25">
      <c r="B595" t="s">
        <v>7</v>
      </c>
      <c r="C595" s="20">
        <f t="shared" ref="C595" si="1002">2*C592</f>
        <v>5.5294424943865801</v>
      </c>
      <c r="D595" s="14">
        <f t="shared" ref="D595" si="1003">-2*(D592+0.1)</f>
        <v>-4.587378505091392</v>
      </c>
      <c r="E595" s="21">
        <f>2</f>
        <v>2</v>
      </c>
    </row>
    <row r="596" spans="1:7" x14ac:dyDescent="0.25">
      <c r="C596" s="22">
        <f t="shared" ref="C596" si="1004">-EXP(-C592)</f>
        <v>-6.2993656559411276E-2</v>
      </c>
      <c r="D596" s="23">
        <f t="shared" ref="D596" si="1005">-1/D592^2</f>
        <v>-0.20780202957469626</v>
      </c>
      <c r="E596" s="24">
        <f t="shared" ref="E596" si="1006">1.5</f>
        <v>1.5</v>
      </c>
    </row>
    <row r="597" spans="1:7" x14ac:dyDescent="0.25">
      <c r="B597" t="s">
        <v>12</v>
      </c>
      <c r="C597" cm="1">
        <f t="array" ref="C597:E597">-MMULT(C593:E593,C594:E596)</f>
        <v>-6.134262100826785E-3</v>
      </c>
      <c r="D597">
        <v>0.13250755246448098</v>
      </c>
      <c r="E597">
        <v>-5.4873812233454736E-2</v>
      </c>
      <c r="F597">
        <f>F590</f>
        <v>1</v>
      </c>
      <c r="G597"/>
    </row>
    <row r="598" spans="1:7" x14ac:dyDescent="0.25">
      <c r="B598" t="s">
        <v>13</v>
      </c>
      <c r="C598">
        <f t="shared" ref="C598" si="1007">G593/SUMPRODUCT(_xlfn.ANCHORARRAY(C597),_xlfn.ANCHORARRAY(C597))</f>
        <v>7.1029780102733309E-2</v>
      </c>
      <c r="D598"/>
      <c r="E598"/>
      <c r="G598"/>
    </row>
    <row r="599" spans="1:7" x14ac:dyDescent="0.25">
      <c r="A599" t="s">
        <v>4</v>
      </c>
      <c r="B599" s="16" t="s">
        <v>5</v>
      </c>
      <c r="C599" cm="1">
        <f t="array" ref="C599:E599">C592:E592+C598*(C597:E597)</f>
        <v>2.764285531905176</v>
      </c>
      <c r="D599">
        <v>2.2031012348591994</v>
      </c>
      <c r="E599">
        <v>-1.6478650482000914</v>
      </c>
      <c r="G599"/>
    </row>
    <row r="600" spans="1:7" x14ac:dyDescent="0.25">
      <c r="A600" s="1">
        <f>1+A593</f>
        <v>86</v>
      </c>
      <c r="B600" t="s">
        <v>6</v>
      </c>
      <c r="C600" s="13">
        <f t="shared" ref="C600" si="1008">3*C599-D599^3-0.5*C599*E599</f>
        <v>-0.12265208517129667</v>
      </c>
      <c r="D600" s="14">
        <f t="shared" ref="D600" si="1009">C599^2-(D599+0.1)^2+2*E599+0.9</f>
        <v>-5.8730892509870514E-2</v>
      </c>
      <c r="E600" s="14">
        <f t="shared" ref="E600" si="1010">EXP(-C599)+1/D599+1.5*E599+2</f>
        <v>4.5129143045063103E-2</v>
      </c>
      <c r="G600" s="1">
        <f>0.5*(C600*C600+D600*D600+E600*E600)</f>
        <v>1.0264745641927371E-2</v>
      </c>
    </row>
    <row r="601" spans="1:7" x14ac:dyDescent="0.25">
      <c r="C601" s="17">
        <f t="shared" ref="C601" si="1011">3-0.5*E599</f>
        <v>3.8239325241000457</v>
      </c>
      <c r="D601" s="18">
        <f t="shared" ref="D601" si="1012">-3*D599^2</f>
        <v>-14.560965153114388</v>
      </c>
      <c r="E601" s="19">
        <f t="shared" ref="E601" si="1013">-0.5*C599</f>
        <v>-1.382142765952588</v>
      </c>
    </row>
    <row r="602" spans="1:7" x14ac:dyDescent="0.25">
      <c r="B602" t="s">
        <v>7</v>
      </c>
      <c r="C602" s="20">
        <f t="shared" ref="C602" si="1014">2*C599</f>
        <v>5.528571063810352</v>
      </c>
      <c r="D602" s="14">
        <f t="shared" ref="D602" si="1015">-2*(D599+0.1)</f>
        <v>-4.606202469718399</v>
      </c>
      <c r="E602" s="21">
        <f>2</f>
        <v>2</v>
      </c>
    </row>
    <row r="603" spans="1:7" x14ac:dyDescent="0.25">
      <c r="C603" s="22">
        <f t="shared" ref="C603" si="1016">-EXP(-C599)</f>
        <v>-6.3021109839100919E-2</v>
      </c>
      <c r="D603" s="23">
        <f t="shared" ref="D603" si="1017">-1/D599^2</f>
        <v>-0.20603029870985864</v>
      </c>
      <c r="E603" s="24">
        <f t="shared" ref="E603" si="1018">1.5</f>
        <v>1.5</v>
      </c>
    </row>
    <row r="604" spans="1:7" x14ac:dyDescent="0.25">
      <c r="B604" t="s">
        <v>12</v>
      </c>
      <c r="C604" cm="1">
        <f t="array" ref="C604:E604">-MMULT(C600:E600,C601:E603)</f>
        <v>0.79655529919782397</v>
      </c>
      <c r="D604">
        <v>-2.0471611494417057</v>
      </c>
      <c r="E604">
        <v>-0.11975462179636201</v>
      </c>
      <c r="F604">
        <f>F597</f>
        <v>1</v>
      </c>
      <c r="G604"/>
    </row>
    <row r="605" spans="1:7" x14ac:dyDescent="0.25">
      <c r="B605" t="s">
        <v>13</v>
      </c>
      <c r="C605">
        <f t="shared" ref="C605" si="1019">G600/SUMPRODUCT(_xlfn.ANCHORARRAY(C604),_xlfn.ANCHORARRAY(C604))</f>
        <v>2.1209421712331841E-3</v>
      </c>
      <c r="D605"/>
      <c r="E605"/>
      <c r="G605"/>
    </row>
    <row r="606" spans="1:7" x14ac:dyDescent="0.25">
      <c r="A606" t="s">
        <v>4</v>
      </c>
      <c r="B606" s="16" t="s">
        <v>5</v>
      </c>
      <c r="C606" cm="1">
        <f t="array" ref="C606:E606">C599:E599+C605*(C604:E604)</f>
        <v>2.7659749796309638</v>
      </c>
      <c r="D606">
        <v>2.1987593244460384</v>
      </c>
      <c r="E606">
        <v>-1.6481190408276594</v>
      </c>
      <c r="G606"/>
    </row>
    <row r="607" spans="1:7" x14ac:dyDescent="0.25">
      <c r="A607" s="1">
        <f>1+A600</f>
        <v>87</v>
      </c>
      <c r="B607" t="s">
        <v>6</v>
      </c>
      <c r="C607" s="13">
        <f t="shared" ref="C607" si="1020">3*C606-D606^3-0.5*C606*E606</f>
        <v>-5.2742594182980884E-2</v>
      </c>
      <c r="D607" s="14">
        <f t="shared" ref="D607" si="1021">C606^2-(D606+0.1)^2+2*E606+0.9</f>
        <v>-2.9914925438415785E-2</v>
      </c>
      <c r="E607" s="14">
        <f t="shared" ref="E607" si="1022">EXP(-C606)+1/D606+1.5*E606+2</f>
        <v>4.5538104726260853E-2</v>
      </c>
      <c r="G607" s="1">
        <f>0.5*(C607*C607+D607*D607+E607*E607)</f>
        <v>2.875201493598243E-3</v>
      </c>
    </row>
    <row r="608" spans="1:7" x14ac:dyDescent="0.25">
      <c r="C608" s="17">
        <f t="shared" ref="C608" si="1023">3-0.5*E606</f>
        <v>3.8240595204138295</v>
      </c>
      <c r="D608" s="18">
        <f t="shared" ref="D608" si="1024">-3*D606^2</f>
        <v>-14.503627700515198</v>
      </c>
      <c r="E608" s="19">
        <f t="shared" ref="E608" si="1025">-0.5*C606</f>
        <v>-1.3829874898154819</v>
      </c>
    </row>
    <row r="609" spans="1:7" x14ac:dyDescent="0.25">
      <c r="B609" t="s">
        <v>7</v>
      </c>
      <c r="C609" s="20">
        <f t="shared" ref="C609" si="1026">2*C606</f>
        <v>5.5319499592619277</v>
      </c>
      <c r="D609" s="14">
        <f t="shared" ref="D609" si="1027">-2*(D606+0.1)</f>
        <v>-4.597518648892077</v>
      </c>
      <c r="E609" s="21">
        <f>2</f>
        <v>2</v>
      </c>
    </row>
    <row r="610" spans="1:7" x14ac:dyDescent="0.25">
      <c r="C610" s="22">
        <f t="shared" ref="C610" si="1028">-EXP(-C606)</f>
        <v>-6.291472885626441E-2</v>
      </c>
      <c r="D610" s="23">
        <f t="shared" ref="D610" si="1029">-1/D606^2</f>
        <v>-0.20684480200035982</v>
      </c>
      <c r="E610" s="24">
        <f t="shared" ref="E610" si="1030">1.5</f>
        <v>1.5</v>
      </c>
    </row>
    <row r="611" spans="1:7" x14ac:dyDescent="0.25">
      <c r="B611" t="s">
        <v>12</v>
      </c>
      <c r="C611" cm="1">
        <f t="array" ref="C611:E611">-MMULT(C607:E607,C608:E610)</f>
        <v>0.37004370748859977</v>
      </c>
      <c r="D611">
        <v>-0.89307405731707068</v>
      </c>
      <c r="E611">
        <v>-8.1419654148037077E-2</v>
      </c>
      <c r="F611">
        <f>F604</f>
        <v>1</v>
      </c>
      <c r="G611"/>
    </row>
    <row r="612" spans="1:7" x14ac:dyDescent="0.25">
      <c r="B612" t="s">
        <v>13</v>
      </c>
      <c r="C612">
        <f t="shared" ref="C612" si="1031">G607/SUMPRODUCT(_xlfn.ANCHORARRAY(C611),_xlfn.ANCHORARRAY(C611))</f>
        <v>3.0550109533680112E-3</v>
      </c>
      <c r="D612"/>
      <c r="E612"/>
      <c r="G612"/>
    </row>
    <row r="613" spans="1:7" x14ac:dyDescent="0.25">
      <c r="A613" t="s">
        <v>4</v>
      </c>
      <c r="B613" s="16" t="s">
        <v>5</v>
      </c>
      <c r="C613" cm="1">
        <f t="array" ref="C613:E613">C606:E606+C612*(C611:E611)</f>
        <v>2.7671054672105666</v>
      </c>
      <c r="D613">
        <v>2.196030973418766</v>
      </c>
      <c r="E613">
        <v>-1.648367778762901</v>
      </c>
      <c r="G613"/>
    </row>
    <row r="614" spans="1:7" x14ac:dyDescent="0.25">
      <c r="A614" s="1">
        <f>1+A607</f>
        <v>88</v>
      </c>
      <c r="B614" t="s">
        <v>6</v>
      </c>
      <c r="C614" s="13">
        <f t="shared" ref="C614" si="1032">3*C613-D613^3-0.5*C613*E613</f>
        <v>-8.5534945249592376E-3</v>
      </c>
      <c r="D614" s="14">
        <f t="shared" ref="D614" si="1033">C613^2-(D613+0.1)^2+2*E613+0.9</f>
        <v>-1.1621121757520281E-2</v>
      </c>
      <c r="E614" s="14">
        <f t="shared" ref="E614" si="1034">EXP(-C613)+1/D613+1.5*E613+2</f>
        <v>4.5658960062373577E-2</v>
      </c>
      <c r="G614" s="1">
        <f>0.5*(C614*C614+D614*D614+E614*E614)</f>
        <v>1.1464766867345221E-3</v>
      </c>
    </row>
    <row r="615" spans="1:7" x14ac:dyDescent="0.25">
      <c r="C615" s="17">
        <f t="shared" ref="C615" si="1035">3-0.5*E613</f>
        <v>3.8241838893814504</v>
      </c>
      <c r="D615" s="18">
        <f t="shared" ref="D615" si="1036">-3*D613^2</f>
        <v>-14.467656108643718</v>
      </c>
      <c r="E615" s="19">
        <f t="shared" ref="E615" si="1037">-0.5*C613</f>
        <v>-1.3835527336052833</v>
      </c>
    </row>
    <row r="616" spans="1:7" x14ac:dyDescent="0.25">
      <c r="B616" t="s">
        <v>7</v>
      </c>
      <c r="C616" s="20">
        <f t="shared" ref="C616" si="1038">2*C613</f>
        <v>5.5342109344211332</v>
      </c>
      <c r="D616" s="14">
        <f t="shared" ref="D616" si="1039">-2*(D613+0.1)</f>
        <v>-4.5920619468375321</v>
      </c>
      <c r="E616" s="21">
        <f>2</f>
        <v>2</v>
      </c>
    </row>
    <row r="617" spans="1:7" x14ac:dyDescent="0.25">
      <c r="C617" s="22">
        <f t="shared" ref="C617" si="1040">-EXP(-C613)</f>
        <v>-6.2843644724153019E-2</v>
      </c>
      <c r="D617" s="23">
        <f t="shared" ref="D617" si="1041">-1/D613^2</f>
        <v>-0.20735908964601713</v>
      </c>
      <c r="E617" s="24">
        <f t="shared" ref="E617" si="1042">1.5</f>
        <v>1.5</v>
      </c>
    </row>
    <row r="618" spans="1:7" x14ac:dyDescent="0.25">
      <c r="B618" t="s">
        <v>12</v>
      </c>
      <c r="C618" cm="1">
        <f t="array" ref="C618:E618">-MMULT(C614:E614,C615:E617)</f>
        <v>9.989325052560373E-2</v>
      </c>
      <c r="D618">
        <v>-0.16764612792383407</v>
      </c>
      <c r="E618">
        <v>-5.7080407310404979E-2</v>
      </c>
      <c r="F618">
        <f>F611</f>
        <v>1</v>
      </c>
      <c r="G618"/>
    </row>
    <row r="619" spans="1:7" x14ac:dyDescent="0.25">
      <c r="B619" t="s">
        <v>13</v>
      </c>
      <c r="C619">
        <f t="shared" ref="C619" si="1043">G614/SUMPRODUCT(_xlfn.ANCHORARRAY(C618),_xlfn.ANCHORARRAY(C618))</f>
        <v>2.7731485208051951E-2</v>
      </c>
      <c r="D619"/>
      <c r="E619"/>
      <c r="G619"/>
    </row>
    <row r="620" spans="1:7" x14ac:dyDescent="0.25">
      <c r="A620" t="s">
        <v>4</v>
      </c>
      <c r="B620" s="16" t="s">
        <v>5</v>
      </c>
      <c r="C620" cm="1">
        <f t="array" ref="C620:E620">C613:E613+C619*(C618:E618)</f>
        <v>2.7698756554099018</v>
      </c>
      <c r="D620">
        <v>2.1913818973020591</v>
      </c>
      <c r="E620">
        <v>-1.6499507032338991</v>
      </c>
      <c r="G620"/>
    </row>
    <row r="621" spans="1:7" x14ac:dyDescent="0.25">
      <c r="A621" s="1">
        <f>1+A614</f>
        <v>89</v>
      </c>
      <c r="B621" t="s">
        <v>6</v>
      </c>
      <c r="C621" s="13">
        <f t="shared" ref="C621" si="1044">3*C620-D620^3-0.5*C620*E620</f>
        <v>7.1351407060766814E-2</v>
      </c>
      <c r="D621" s="14">
        <f t="shared" ref="D621" si="1045">C620^2-(D620+0.1)^2+2*E620+0.9</f>
        <v>2.1878740681050446E-2</v>
      </c>
      <c r="E621" s="14">
        <f t="shared" ref="E621" si="1046">EXP(-C620)+1/D620+1.5*E620+2</f>
        <v>4.407679894282146E-2</v>
      </c>
      <c r="G621" s="1">
        <f>0.5*(C621*C621+D621*D621+E621*E621)</f>
        <v>3.7562333941929013E-3</v>
      </c>
    </row>
    <row r="622" spans="1:7" x14ac:dyDescent="0.25">
      <c r="C622" s="17">
        <f t="shared" ref="C622" si="1047">3-0.5*E620</f>
        <v>3.8249753516169496</v>
      </c>
      <c r="D622" s="18">
        <f t="shared" ref="D622" si="1048">-3*D620^2</f>
        <v>-14.406463859469516</v>
      </c>
      <c r="E622" s="19">
        <f t="shared" ref="E622" si="1049">-0.5*C620</f>
        <v>-1.3849378277049509</v>
      </c>
    </row>
    <row r="623" spans="1:7" x14ac:dyDescent="0.25">
      <c r="B623" t="s">
        <v>7</v>
      </c>
      <c r="C623" s="20">
        <f t="shared" ref="C623" si="1050">2*C620</f>
        <v>5.5397513108198035</v>
      </c>
      <c r="D623" s="14">
        <f t="shared" ref="D623" si="1051">-2*(D620+0.1)</f>
        <v>-4.5827637946041184</v>
      </c>
      <c r="E623" s="21">
        <f>2</f>
        <v>2</v>
      </c>
    </row>
    <row r="624" spans="1:7" x14ac:dyDescent="0.25">
      <c r="C624" s="22">
        <f t="shared" ref="C624" si="1052">-EXP(-C620)</f>
        <v>-6.2669796907894329E-2</v>
      </c>
      <c r="D624" s="23">
        <f t="shared" ref="D624" si="1053">-1/D620^2</f>
        <v>-0.20823985880671678</v>
      </c>
      <c r="E624" s="24">
        <f t="shared" ref="E624" si="1054">1.5</f>
        <v>1.5</v>
      </c>
    </row>
    <row r="625" spans="1:7" x14ac:dyDescent="0.25">
      <c r="B625" t="s">
        <v>12</v>
      </c>
      <c r="C625" cm="1">
        <f t="array" ref="C625:E625">-MMULT(C621:E621,C622:E624)</f>
        <v>-0.39135787163945973</v>
      </c>
      <c r="D625">
        <v>1.1373651141963907</v>
      </c>
      <c r="E625">
        <v>-1.1055417077903001E-2</v>
      </c>
      <c r="F625">
        <f>F618</f>
        <v>1</v>
      </c>
      <c r="G625"/>
    </row>
    <row r="626" spans="1:7" x14ac:dyDescent="0.25">
      <c r="B626" t="s">
        <v>13</v>
      </c>
      <c r="C626">
        <f t="shared" ref="C626" si="1055">G621/SUMPRODUCT(_xlfn.ANCHORARRAY(C625),_xlfn.ANCHORARRAY(C625))</f>
        <v>2.5960871815065728E-3</v>
      </c>
      <c r="D626"/>
      <c r="E626"/>
      <c r="G626"/>
    </row>
    <row r="627" spans="1:7" x14ac:dyDescent="0.25">
      <c r="A627" t="s">
        <v>4</v>
      </c>
      <c r="B627" s="16" t="s">
        <v>5</v>
      </c>
      <c r="C627" cm="1">
        <f t="array" ref="C627:E627">C620:E620+C626*(C625:E625)</f>
        <v>2.7688596562559571</v>
      </c>
      <c r="D627">
        <v>2.1943345962957173</v>
      </c>
      <c r="E627">
        <v>-1.6499794040604614</v>
      </c>
      <c r="G627"/>
    </row>
    <row r="628" spans="1:7" x14ac:dyDescent="0.25">
      <c r="A628" s="1">
        <f>1+A621</f>
        <v>90</v>
      </c>
      <c r="B628" t="s">
        <v>6</v>
      </c>
      <c r="C628" s="13">
        <f t="shared" ref="C628" si="1056">3*C627-D627^3-0.5*C627*E627</f>
        <v>2.490967629923535E-2</v>
      </c>
      <c r="D628" s="14">
        <f t="shared" ref="D628" si="1057">C627^2-(D627+0.1)^2+2*E627+0.9</f>
        <v>2.6537481615013236E-3</v>
      </c>
      <c r="E628" s="14">
        <f t="shared" ref="E628" si="1058">EXP(-C627)+1/D627+1.5*E627+2</f>
        <v>4.348341026784075E-2</v>
      </c>
      <c r="G628" s="1">
        <f>0.5*(C628*C628+D628*D628+E628*E628)</f>
        <v>1.2591706605793586E-3</v>
      </c>
    </row>
    <row r="629" spans="1:7" x14ac:dyDescent="0.25">
      <c r="C629" s="17">
        <f t="shared" ref="C629" si="1059">3-0.5*E627</f>
        <v>3.8249897020302308</v>
      </c>
      <c r="D629" s="18">
        <f t="shared" ref="D629" si="1060">-3*D627^2</f>
        <v>-14.445312961500864</v>
      </c>
      <c r="E629" s="19">
        <f t="shared" ref="E629" si="1061">-0.5*C627</f>
        <v>-1.3844298281279785</v>
      </c>
    </row>
    <row r="630" spans="1:7" x14ac:dyDescent="0.25">
      <c r="B630" t="s">
        <v>7</v>
      </c>
      <c r="C630" s="20">
        <f t="shared" ref="C630" si="1062">2*C627</f>
        <v>5.5377193125119142</v>
      </c>
      <c r="D630" s="14">
        <f t="shared" ref="D630" si="1063">-2*(D627+0.1)</f>
        <v>-4.5886691925914347</v>
      </c>
      <c r="E630" s="21">
        <f>2</f>
        <v>2</v>
      </c>
    </row>
    <row r="631" spans="1:7" x14ac:dyDescent="0.25">
      <c r="C631" s="22">
        <f t="shared" ref="C631" si="1064">-EXP(-C627)</f>
        <v>-6.2733501725070848E-2</v>
      </c>
      <c r="D631" s="23">
        <f t="shared" ref="D631" si="1065">-1/D627^2</f>
        <v>-0.20767982029849361</v>
      </c>
      <c r="E631" s="24">
        <f t="shared" ref="E631" si="1066">1.5</f>
        <v>1.5</v>
      </c>
    </row>
    <row r="632" spans="1:7" x14ac:dyDescent="0.25">
      <c r="B632" t="s">
        <v>12</v>
      </c>
      <c r="C632" cm="1">
        <f t="array" ref="C632:E632">-MMULT(C628:E628,C629:E631)</f>
        <v>-0.10724710117692104</v>
      </c>
      <c r="D632">
        <v>0.38103586917610344</v>
      </c>
      <c r="E632">
        <v>-3.6046912847089795E-2</v>
      </c>
      <c r="F632">
        <f>F625</f>
        <v>1</v>
      </c>
      <c r="G632"/>
    </row>
    <row r="633" spans="1:7" x14ac:dyDescent="0.25">
      <c r="B633" t="s">
        <v>13</v>
      </c>
      <c r="C633">
        <f t="shared" ref="C633" si="1067">G628/SUMPRODUCT(_xlfn.ANCHORARRAY(C632),_xlfn.ANCHORARRAY(C632))</f>
        <v>7.9699564295701037E-3</v>
      </c>
      <c r="D633"/>
      <c r="E633"/>
      <c r="G633"/>
    </row>
    <row r="634" spans="1:7" x14ac:dyDescent="0.25">
      <c r="A634" t="s">
        <v>4</v>
      </c>
      <c r="B634" s="16" t="s">
        <v>5</v>
      </c>
      <c r="C634" cm="1">
        <f t="array" ref="C634:E634">C627:E627+C633*(C632:E632)</f>
        <v>2.7680049015323793</v>
      </c>
      <c r="D634">
        <v>2.1973714355711542</v>
      </c>
      <c r="E634">
        <v>-1.6502666963852732</v>
      </c>
      <c r="G634"/>
    </row>
    <row r="635" spans="1:7" x14ac:dyDescent="0.25">
      <c r="A635" s="1">
        <f>1+A628</f>
        <v>91</v>
      </c>
      <c r="B635" t="s">
        <v>6</v>
      </c>
      <c r="C635" s="13">
        <f t="shared" ref="C635" si="1068">3*C634-D634^3-0.5*C634*E634</f>
        <v>-2.1890971235617673E-2</v>
      </c>
      <c r="D635" s="14">
        <f t="shared" ref="D635" si="1069">C634^2-(D634+0.1)^2+2*E634+0.9</f>
        <v>-1.6597770841535797E-2</v>
      </c>
      <c r="E635" s="14">
        <f t="shared" ref="E635" si="1070">EXP(-C634)+1/D634+1.5*E634+2</f>
        <v>4.2476297860362999E-2</v>
      </c>
      <c r="G635" s="1">
        <f>0.5*(C635*C635+D635*D635+E635*E635)</f>
        <v>1.2794682492345273E-3</v>
      </c>
    </row>
    <row r="636" spans="1:7" x14ac:dyDescent="0.25">
      <c r="C636" s="17">
        <f t="shared" ref="C636" si="1071">3-0.5*E634</f>
        <v>3.8251333481926366</v>
      </c>
      <c r="D636" s="18">
        <f t="shared" ref="D636" si="1072">-3*D634^2</f>
        <v>-14.485323677592104</v>
      </c>
      <c r="E636" s="19">
        <f t="shared" ref="E636" si="1073">-0.5*C634</f>
        <v>-1.3840024507661897</v>
      </c>
    </row>
    <row r="637" spans="1:7" x14ac:dyDescent="0.25">
      <c r="B637" t="s">
        <v>7</v>
      </c>
      <c r="C637" s="20">
        <f t="shared" ref="C637" si="1074">2*C634</f>
        <v>5.5360098030647586</v>
      </c>
      <c r="D637" s="14">
        <f t="shared" ref="D637" si="1075">-2*(D634+0.1)</f>
        <v>-4.5947428711423086</v>
      </c>
      <c r="E637" s="21">
        <f>2</f>
        <v>2</v>
      </c>
    </row>
    <row r="638" spans="1:7" x14ac:dyDescent="0.25">
      <c r="C638" s="22">
        <f t="shared" ref="C638" si="1076">-EXP(-C634)</f>
        <v>-6.2787146405252736E-2</v>
      </c>
      <c r="D638" s="23">
        <f t="shared" ref="D638" si="1077">-1/D634^2</f>
        <v>-0.20710617634598069</v>
      </c>
      <c r="E638" s="24">
        <f t="shared" ref="E638" si="1078">1.5</f>
        <v>1.5</v>
      </c>
    </row>
    <row r="639" spans="1:7" x14ac:dyDescent="0.25">
      <c r="B639" t="s">
        <v>12</v>
      </c>
      <c r="C639" cm="1">
        <f t="array" ref="C639:E639">-MMULT(C635:E635,C636:E638)</f>
        <v>0.17828827171796324</v>
      </c>
      <c r="D639">
        <v>-0.38456318958058788</v>
      </c>
      <c r="E639">
        <v>-6.0816062947219932E-2</v>
      </c>
      <c r="F639">
        <f>F632</f>
        <v>1</v>
      </c>
      <c r="G639"/>
    </row>
    <row r="640" spans="1:7" x14ac:dyDescent="0.25">
      <c r="B640" t="s">
        <v>13</v>
      </c>
      <c r="C640">
        <f t="shared" ref="C640" si="1079">G635/SUMPRODUCT(_xlfn.ANCHORARRAY(C639),_xlfn.ANCHORARRAY(C639))</f>
        <v>6.9773643794246304E-3</v>
      </c>
      <c r="D640"/>
      <c r="E640"/>
      <c r="G640"/>
    </row>
    <row r="641" spans="1:7" x14ac:dyDescent="0.25">
      <c r="A641" t="s">
        <v>4</v>
      </c>
      <c r="B641" s="16" t="s">
        <v>5</v>
      </c>
      <c r="C641" cm="1">
        <f t="array" ref="C641:E641">C634:E634+C640*(C639:E639)</f>
        <v>2.7692488837687335</v>
      </c>
      <c r="D641">
        <v>2.1946881980705366</v>
      </c>
      <c r="E641">
        <v>-1.650691032216578</v>
      </c>
      <c r="G641"/>
    </row>
    <row r="642" spans="1:7" x14ac:dyDescent="0.25">
      <c r="A642" s="1">
        <f>1+A635</f>
        <v>92</v>
      </c>
      <c r="B642" t="s">
        <v>6</v>
      </c>
      <c r="C642" s="13">
        <f t="shared" ref="C642" si="1080">3*C641-D641^3-0.5*C641*E641</f>
        <v>2.2275093819910552E-2</v>
      </c>
      <c r="D642" s="14">
        <f t="shared" ref="D642" si="1081">C641^2-(D641+0.1)^2+2*E641+0.9</f>
        <v>1.7633894570133757E-3</v>
      </c>
      <c r="E642" s="14">
        <f t="shared" ref="E642" si="1082">EXP(-C641)+1/D641+1.5*E641+2</f>
        <v>4.2318131058942221E-2</v>
      </c>
      <c r="G642" s="1">
        <f>0.5*(C642*C642+D642*D642+E642*E642)</f>
        <v>1.1450567816923666E-3</v>
      </c>
    </row>
    <row r="643" spans="1:7" x14ac:dyDescent="0.25">
      <c r="C643" s="17">
        <f t="shared" ref="C643" si="1083">3-0.5*E641</f>
        <v>3.825345516108289</v>
      </c>
      <c r="D643" s="18">
        <f t="shared" ref="D643" si="1084">-3*D641^2</f>
        <v>-14.449968860250298</v>
      </c>
      <c r="E643" s="19">
        <f t="shared" ref="E643" si="1085">-0.5*C641</f>
        <v>-1.3846244418843667</v>
      </c>
    </row>
    <row r="644" spans="1:7" x14ac:dyDescent="0.25">
      <c r="B644" t="s">
        <v>7</v>
      </c>
      <c r="C644" s="20">
        <f t="shared" ref="C644" si="1086">2*C641</f>
        <v>5.5384977675374669</v>
      </c>
      <c r="D644" s="14">
        <f t="shared" ref="D644" si="1087">-2*(D641+0.1)</f>
        <v>-4.5893763961410734</v>
      </c>
      <c r="E644" s="21">
        <f>2</f>
        <v>2</v>
      </c>
    </row>
    <row r="645" spans="1:7" x14ac:dyDescent="0.25">
      <c r="C645" s="22">
        <f t="shared" ref="C645" si="1088">-EXP(-C641)</f>
        <v>-6.2709088871611973E-2</v>
      </c>
      <c r="D645" s="23">
        <f t="shared" ref="D645" si="1089">-1/D641^2</f>
        <v>-0.20761290415320902</v>
      </c>
      <c r="E645" s="24">
        <f t="shared" ref="E645" si="1090">1.5</f>
        <v>1.5</v>
      </c>
    </row>
    <row r="646" spans="1:7" x14ac:dyDescent="0.25">
      <c r="B646" t="s">
        <v>12</v>
      </c>
      <c r="C646" cm="1">
        <f t="array" ref="C646:E646">-MMULT(C642:E642,C643:E645)</f>
        <v>-9.2322727394398243E-2</v>
      </c>
      <c r="D646">
        <v>0.33875306009556566</v>
      </c>
      <c r="E646">
        <v>-3.6161336154124528E-2</v>
      </c>
      <c r="F646">
        <f>F639</f>
        <v>1</v>
      </c>
      <c r="G646"/>
    </row>
    <row r="647" spans="1:7" x14ac:dyDescent="0.25">
      <c r="B647" t="s">
        <v>13</v>
      </c>
      <c r="C647">
        <f t="shared" ref="C647" si="1091">G642/SUMPRODUCT(_xlfn.ANCHORARRAY(C646),_xlfn.ANCHORARRAY(C646))</f>
        <v>9.1909856822538875E-3</v>
      </c>
      <c r="D647"/>
      <c r="E647"/>
      <c r="G647"/>
    </row>
    <row r="648" spans="1:7" x14ac:dyDescent="0.25">
      <c r="A648" t="s">
        <v>4</v>
      </c>
      <c r="B648" s="16" t="s">
        <v>5</v>
      </c>
      <c r="C648" cm="1">
        <f t="array" ref="C648:E648">C641:E641+C647*(C646:E646)</f>
        <v>2.7684003469031051</v>
      </c>
      <c r="D648">
        <v>2.1978016725956948</v>
      </c>
      <c r="E648">
        <v>-1.6510233905394216</v>
      </c>
      <c r="G648"/>
    </row>
    <row r="649" spans="1:7" x14ac:dyDescent="0.25">
      <c r="A649" s="1">
        <f>1+A642</f>
        <v>93</v>
      </c>
      <c r="B649" t="s">
        <v>6</v>
      </c>
      <c r="C649" s="13">
        <f t="shared" ref="C649" si="1092">3*C648-D648^3-0.5*C648*E648</f>
        <v>-2.5564266645488054E-2</v>
      </c>
      <c r="D649" s="14">
        <f t="shared" ref="D649" si="1093">C648^2-(D648+0.1)^2+2*E648+0.9</f>
        <v>-1.7898826929183875E-2</v>
      </c>
      <c r="E649" s="14">
        <f t="shared" ref="E649" si="1094">EXP(-C648)+1/D648+1.5*E648+2</f>
        <v>4.1227345349222677E-2</v>
      </c>
      <c r="G649" s="1">
        <f>0.5*(C649*C649+D649*D649+E649*E649)</f>
        <v>1.3367968695532817E-3</v>
      </c>
    </row>
    <row r="650" spans="1:7" x14ac:dyDescent="0.25">
      <c r="C650" s="17">
        <f t="shared" ref="C650" si="1095">3-0.5*E648</f>
        <v>3.8255116952697108</v>
      </c>
      <c r="D650" s="18">
        <f t="shared" ref="D650" si="1096">-3*D648^2</f>
        <v>-14.490996576193302</v>
      </c>
      <c r="E650" s="19">
        <f t="shared" ref="E650" si="1097">-0.5*C648</f>
        <v>-1.3842001734515526</v>
      </c>
    </row>
    <row r="651" spans="1:7" x14ac:dyDescent="0.25">
      <c r="B651" t="s">
        <v>7</v>
      </c>
      <c r="C651" s="20">
        <f t="shared" ref="C651" si="1098">2*C648</f>
        <v>5.5368006938062102</v>
      </c>
      <c r="D651" s="14">
        <f t="shared" ref="D651" si="1099">-2*(D648+0.1)</f>
        <v>-4.5956033451913898</v>
      </c>
      <c r="E651" s="21">
        <f>2</f>
        <v>2</v>
      </c>
    </row>
    <row r="652" spans="1:7" x14ac:dyDescent="0.25">
      <c r="C652" s="22">
        <f t="shared" ref="C652" si="1100">-EXP(-C648)</f>
        <v>-6.2762322427452735E-2</v>
      </c>
      <c r="D652" s="23">
        <f t="shared" ref="D652" si="1101">-1/D648^2</f>
        <v>-0.20702509894513288</v>
      </c>
      <c r="E652" s="24">
        <f t="shared" ref="E652" si="1102">1.5</f>
        <v>1.5</v>
      </c>
    </row>
    <row r="653" spans="1:7" x14ac:dyDescent="0.25">
      <c r="B653" t="s">
        <v>12</v>
      </c>
      <c r="C653" cm="1">
        <f t="array" ref="C653:E653">-MMULT(C649:E649,C650:E652)</f>
        <v>0.19948616233476635</v>
      </c>
      <c r="D653">
        <v>-0.44417251409325115</v>
      </c>
      <c r="E653">
        <v>-6.1429426490312571E-2</v>
      </c>
      <c r="F653">
        <f>F646</f>
        <v>1</v>
      </c>
      <c r="G653"/>
    </row>
    <row r="654" spans="1:7" x14ac:dyDescent="0.25">
      <c r="B654" t="s">
        <v>13</v>
      </c>
      <c r="C654">
        <f t="shared" ref="C654" si="1103">G649/SUMPRODUCT(_xlfn.ANCHORARRAY(C653),_xlfn.ANCHORARRAY(C653))</f>
        <v>5.5501561173595306E-3</v>
      </c>
      <c r="D654"/>
      <c r="E654"/>
      <c r="G654"/>
    </row>
    <row r="655" spans="1:7" x14ac:dyDescent="0.25">
      <c r="A655" t="s">
        <v>4</v>
      </c>
      <c r="B655" s="16" t="s">
        <v>5</v>
      </c>
      <c r="C655" cm="1">
        <f t="array" ref="C655:E655">C648:E648+C654*(C653:E653)</f>
        <v>2.7695075262473159</v>
      </c>
      <c r="D655">
        <v>2.1953364457994371</v>
      </c>
      <c r="E655">
        <v>-1.6513643334466428</v>
      </c>
      <c r="G655"/>
    </row>
    <row r="656" spans="1:7" x14ac:dyDescent="0.25">
      <c r="A656" s="1">
        <f>1+A649</f>
        <v>94</v>
      </c>
      <c r="B656" t="s">
        <v>6</v>
      </c>
      <c r="C656" s="13">
        <f t="shared" ref="C656" si="1104">3*C655-D655^3-0.5*C655*E655</f>
        <v>1.4826920519609654E-2</v>
      </c>
      <c r="D656" s="14">
        <f t="shared" ref="D656" si="1105">C655^2-(D655+0.1)^2+2*E655+0.9</f>
        <v>-1.1261283679514511E-3</v>
      </c>
      <c r="E656" s="14">
        <f t="shared" ref="E656" si="1106">EXP(-C655)+1/D655+1.5*E655+2</f>
        <v>4.1157417224049864E-2</v>
      </c>
      <c r="G656" s="1">
        <f>0.5*(C656*C656+D656*D656+E656*E656)</f>
        <v>9.5751936487522161E-4</v>
      </c>
    </row>
    <row r="657" spans="1:7" x14ac:dyDescent="0.25">
      <c r="C657" s="17">
        <f t="shared" ref="C657" si="1107">3-0.5*E655</f>
        <v>3.8256821667233214</v>
      </c>
      <c r="D657" s="18">
        <f t="shared" ref="D657" si="1108">-3*D655^2</f>
        <v>-14.458506330765914</v>
      </c>
      <c r="E657" s="19">
        <f t="shared" ref="E657" si="1109">-0.5*C655</f>
        <v>-1.3847537631236579</v>
      </c>
    </row>
    <row r="658" spans="1:7" x14ac:dyDescent="0.25">
      <c r="B658" t="s">
        <v>7</v>
      </c>
      <c r="C658" s="20">
        <f t="shared" ref="C658" si="1110">2*C655</f>
        <v>5.5390150524946318</v>
      </c>
      <c r="D658" s="14">
        <f t="shared" ref="D658" si="1111">-2*(D655+0.1)</f>
        <v>-4.5906728915988744</v>
      </c>
      <c r="E658" s="21">
        <f>2</f>
        <v>2</v>
      </c>
    </row>
    <row r="659" spans="1:7" x14ac:dyDescent="0.25">
      <c r="C659" s="22">
        <f t="shared" ref="C659" si="1112">-EXP(-C655)</f>
        <v>-6.2692871734747219E-2</v>
      </c>
      <c r="D659" s="23">
        <f t="shared" ref="D659" si="1113">-1/D655^2</f>
        <v>-0.20749031271759871</v>
      </c>
      <c r="E659" s="24">
        <f t="shared" ref="E659" si="1114">1.5</f>
        <v>1.5</v>
      </c>
    </row>
    <row r="660" spans="1:7" x14ac:dyDescent="0.25">
      <c r="B660" t="s">
        <v>12</v>
      </c>
      <c r="C660" cm="1">
        <f t="array" ref="C660:E660">-MMULT(C656:E656,C657:E659)</f>
        <v>-4.7905166759209604E-2</v>
      </c>
      <c r="D660">
        <v>0.21774520259779082</v>
      </c>
      <c r="E660">
        <v>-3.8952235115107044E-2</v>
      </c>
      <c r="F660">
        <f>F653</f>
        <v>1</v>
      </c>
      <c r="G660"/>
    </row>
    <row r="661" spans="1:7" x14ac:dyDescent="0.25">
      <c r="B661" t="s">
        <v>13</v>
      </c>
      <c r="C661">
        <f t="shared" ref="C661" si="1115">G656/SUMPRODUCT(_xlfn.ANCHORARRAY(C660),_xlfn.ANCHORARRAY(C660))</f>
        <v>1.8692366419849286E-2</v>
      </c>
      <c r="D661"/>
      <c r="E661"/>
      <c r="G661"/>
    </row>
    <row r="662" spans="1:7" x14ac:dyDescent="0.25">
      <c r="A662" t="s">
        <v>4</v>
      </c>
      <c r="B662" s="16" t="s">
        <v>5</v>
      </c>
      <c r="C662" cm="1">
        <f t="array" ref="C662:E662">C655:E655+C661*(C660:E660)</f>
        <v>2.7686120653168489</v>
      </c>
      <c r="D662">
        <v>2.1994066189125592</v>
      </c>
      <c r="E662">
        <v>-1.6520924428982866</v>
      </c>
      <c r="G662"/>
    </row>
    <row r="663" spans="1:7" x14ac:dyDescent="0.25">
      <c r="A663" s="1">
        <f>1+A656</f>
        <v>95</v>
      </c>
      <c r="B663" t="s">
        <v>6</v>
      </c>
      <c r="C663" s="13">
        <f t="shared" ref="C663" si="1116">3*C662-D662^3-0.5*C662*E662</f>
        <v>-4.6548699104748348E-2</v>
      </c>
      <c r="D663" s="14">
        <f t="shared" ref="D663" si="1117">C662^2-(D662+0.1)^2+2*E662+0.9</f>
        <v>-2.6242916677433725E-2</v>
      </c>
      <c r="E663" s="14">
        <f t="shared" ref="E663" si="1118">EXP(-C662)+1/D662+1.5*E662+2</f>
        <v>3.9278458567181929E-2</v>
      </c>
      <c r="G663" s="1">
        <f>0.5*(C663*C663+D663*D663+E663*E663)</f>
        <v>2.1991346857484781E-3</v>
      </c>
    </row>
    <row r="664" spans="1:7" x14ac:dyDescent="0.25">
      <c r="C664" s="17">
        <f t="shared" ref="C664" si="1119">3-0.5*E662</f>
        <v>3.8260462214491433</v>
      </c>
      <c r="D664" s="18">
        <f t="shared" ref="D664" si="1120">-3*D662^2</f>
        <v>-14.512168425949127</v>
      </c>
      <c r="E664" s="19">
        <f t="shared" ref="E664" si="1121">-0.5*C662</f>
        <v>-1.3843060326584244</v>
      </c>
    </row>
    <row r="665" spans="1:7" x14ac:dyDescent="0.25">
      <c r="B665" t="s">
        <v>7</v>
      </c>
      <c r="C665" s="20">
        <f t="shared" ref="C665" si="1122">2*C662</f>
        <v>5.5372241306336978</v>
      </c>
      <c r="D665" s="14">
        <f t="shared" ref="D665" si="1123">-2*(D662+0.1)</f>
        <v>-4.5988132378251185</v>
      </c>
      <c r="E665" s="21">
        <f>2</f>
        <v>2</v>
      </c>
    </row>
    <row r="666" spans="1:7" x14ac:dyDescent="0.25">
      <c r="C666" s="22">
        <f t="shared" ref="C666" si="1124">-EXP(-C662)</f>
        <v>-6.2749035894656968E-2</v>
      </c>
      <c r="D666" s="23">
        <f t="shared" ref="D666" si="1125">-1/D662^2</f>
        <v>-0.20672306935438517</v>
      </c>
      <c r="E666" s="24">
        <f t="shared" ref="E666" si="1126">1.5</f>
        <v>1.5</v>
      </c>
    </row>
    <row r="667" spans="1:7" x14ac:dyDescent="0.25">
      <c r="B667" t="s">
        <v>12</v>
      </c>
      <c r="C667" cm="1">
        <f t="array" ref="C667:E667">-MMULT(C663:E663,C664:E666)</f>
        <v>0.32587507121410997</v>
      </c>
      <c r="D667">
        <v>-0.78808907051774224</v>
      </c>
      <c r="E667">
        <v>-7.0869499479010375E-2</v>
      </c>
      <c r="F667">
        <f>F660</f>
        <v>1</v>
      </c>
      <c r="G667"/>
    </row>
    <row r="668" spans="1:7" x14ac:dyDescent="0.25">
      <c r="B668" t="s">
        <v>13</v>
      </c>
      <c r="C668">
        <f t="shared" ref="C668" si="1127">G663/SUMPRODUCT(_xlfn.ANCHORARRAY(C667),_xlfn.ANCHORARRAY(C667))</f>
        <v>3.0030457301593125E-3</v>
      </c>
      <c r="D668"/>
      <c r="E668"/>
      <c r="G668"/>
    </row>
    <row r="669" spans="1:7" x14ac:dyDescent="0.25">
      <c r="A669" t="s">
        <v>4</v>
      </c>
      <c r="B669" s="16" t="s">
        <v>5</v>
      </c>
      <c r="C669" cm="1">
        <f t="array" ref="C669:E669">C662:E662+C668*(C667:E667)</f>
        <v>2.7695906830580239</v>
      </c>
      <c r="D669">
        <v>2.1970399513943555</v>
      </c>
      <c r="E669">
        <v>-1.6523052672460956</v>
      </c>
      <c r="G669"/>
    </row>
    <row r="670" spans="1:7" x14ac:dyDescent="0.25">
      <c r="A670" s="1">
        <f>1+A663</f>
        <v>96</v>
      </c>
      <c r="B670" t="s">
        <v>6</v>
      </c>
      <c r="C670" s="13">
        <f t="shared" ref="C670" si="1128">3*C669-D669^3-0.5*C669*E669</f>
        <v>-8.2012107292483982E-3</v>
      </c>
      <c r="D670" s="14">
        <f t="shared" ref="D670" si="1129">C669^2-(D669+0.1)^2+2*E669+0.9</f>
        <v>-1.0370521112162634E-2</v>
      </c>
      <c r="E670" s="14">
        <f t="shared" ref="E670" si="1130">EXP(-C669)+1/D669+1.5*E669+2</f>
        <v>3.9387616554602989E-2</v>
      </c>
      <c r="G670" s="1">
        <f>0.5*(C670*C670+D670*D670+E670*E670)</f>
        <v>8.6309595170789264E-4</v>
      </c>
    </row>
    <row r="671" spans="1:7" x14ac:dyDescent="0.25">
      <c r="C671" s="17">
        <f t="shared" ref="C671" si="1131">3-0.5*E669</f>
        <v>3.8261526336230478</v>
      </c>
      <c r="D671" s="18">
        <f t="shared" ref="D671" si="1132">-3*D669^2</f>
        <v>-14.480953644068736</v>
      </c>
      <c r="E671" s="19">
        <f t="shared" ref="E671" si="1133">-0.5*C669</f>
        <v>-1.384795341529012</v>
      </c>
    </row>
    <row r="672" spans="1:7" x14ac:dyDescent="0.25">
      <c r="B672" t="s">
        <v>7</v>
      </c>
      <c r="C672" s="20">
        <f t="shared" ref="C672" si="1134">2*C669</f>
        <v>5.5391813661160478</v>
      </c>
      <c r="D672" s="14">
        <f t="shared" ref="D672" si="1135">-2*(D669+0.1)</f>
        <v>-4.5940799027887111</v>
      </c>
      <c r="E672" s="21">
        <f>2</f>
        <v>2</v>
      </c>
    </row>
    <row r="673" spans="1:7" x14ac:dyDescent="0.25">
      <c r="C673" s="22">
        <f t="shared" ref="C673" si="1136">-EXP(-C669)</f>
        <v>-6.268765861223595E-2</v>
      </c>
      <c r="D673" s="23">
        <f t="shared" ref="D673" si="1137">-1/D669^2</f>
        <v>-0.20716867643787895</v>
      </c>
      <c r="E673" s="24">
        <f t="shared" ref="E673" si="1138">1.5</f>
        <v>1.5</v>
      </c>
    </row>
    <row r="674" spans="1:7" x14ac:dyDescent="0.25">
      <c r="B674" t="s">
        <v>12</v>
      </c>
      <c r="C674" cm="1">
        <f t="array" ref="C674:E674">-MMULT(C670:E670,C671:E673)</f>
        <v>9.1292398792140309E-2</v>
      </c>
      <c r="D674">
        <v>-0.15824447462865779</v>
      </c>
      <c r="E674">
        <v>-4.9697381020340145E-2</v>
      </c>
      <c r="F674">
        <f>F667</f>
        <v>1</v>
      </c>
      <c r="G674"/>
    </row>
    <row r="675" spans="1:7" x14ac:dyDescent="0.25">
      <c r="B675" t="s">
        <v>13</v>
      </c>
      <c r="C675">
        <f t="shared" ref="C675" si="1139">G670/SUMPRODUCT(_xlfn.ANCHORARRAY(C674),_xlfn.ANCHORARRAY(C674))</f>
        <v>2.4078259859126906E-2</v>
      </c>
      <c r="D675"/>
      <c r="E675"/>
      <c r="G675"/>
    </row>
    <row r="676" spans="1:7" x14ac:dyDescent="0.25">
      <c r="A676" t="s">
        <v>4</v>
      </c>
      <c r="B676" s="16" t="s">
        <v>5</v>
      </c>
      <c r="C676" cm="1">
        <f t="array" ref="C676:E676">C669:E669+C675*(C674:E674)</f>
        <v>2.7717888451593042</v>
      </c>
      <c r="D676">
        <v>2.1932296998129757</v>
      </c>
      <c r="E676">
        <v>-1.6535018937006214</v>
      </c>
      <c r="G676"/>
    </row>
    <row r="677" spans="1:7" x14ac:dyDescent="0.25">
      <c r="A677" s="1">
        <f>1+A670</f>
        <v>97</v>
      </c>
      <c r="B677" t="s">
        <v>6</v>
      </c>
      <c r="C677" s="13">
        <f t="shared" ref="C677" si="1140">3*C676-D676^3-0.5*C676*E676</f>
        <v>5.6948132761593495E-2</v>
      </c>
      <c r="D677" s="14">
        <f t="shared" ref="D677" si="1141">C676^2-(D676+0.1)^2+2*E676+0.9</f>
        <v>1.6907158643996056E-2</v>
      </c>
      <c r="E677" s="14">
        <f t="shared" ref="E677" si="1142">EXP(-C676)+1/D676+1.5*E676+2</f>
        <v>3.8245766701040296E-2</v>
      </c>
      <c r="G677" s="1">
        <f>0.5*(C677*C677+D677*D677+E677*E677)</f>
        <v>2.495840254497866E-3</v>
      </c>
    </row>
    <row r="678" spans="1:7" x14ac:dyDescent="0.25">
      <c r="C678" s="17">
        <f t="shared" ref="C678" si="1143">3-0.5*E676</f>
        <v>3.8267509468503107</v>
      </c>
      <c r="D678" s="18">
        <f t="shared" ref="D678" si="1144">-3*D676^2</f>
        <v>-14.430769548425145</v>
      </c>
      <c r="E678" s="19">
        <f t="shared" ref="E678" si="1145">-0.5*C676</f>
        <v>-1.3858944225796521</v>
      </c>
    </row>
    <row r="679" spans="1:7" x14ac:dyDescent="0.25">
      <c r="B679" t="s">
        <v>7</v>
      </c>
      <c r="C679" s="20">
        <f t="shared" ref="C679" si="1146">2*C676</f>
        <v>5.5435776903186085</v>
      </c>
      <c r="D679" s="14">
        <f t="shared" ref="D679" si="1147">-2*(D676+0.1)</f>
        <v>-4.5864593996259515</v>
      </c>
      <c r="E679" s="21">
        <f>2</f>
        <v>2</v>
      </c>
    </row>
    <row r="680" spans="1:7" x14ac:dyDescent="0.25">
      <c r="C680" s="22">
        <f t="shared" ref="C680" si="1148">-EXP(-C676)</f>
        <v>-6.2550012316716253E-2</v>
      </c>
      <c r="D680" s="23">
        <f t="shared" ref="D680" si="1149">-1/D676^2</f>
        <v>-0.20788912122343436</v>
      </c>
      <c r="E680" s="24">
        <f t="shared" ref="E680" si="1150">1.5</f>
        <v>1.5</v>
      </c>
    </row>
    <row r="681" spans="1:7" x14ac:dyDescent="0.25">
      <c r="B681" t="s">
        <v>12</v>
      </c>
      <c r="C681" cm="1">
        <f t="array" ref="C681:E681">-MMULT(C677:E677,C678:E680)</f>
        <v>-0.30926019525410675</v>
      </c>
      <c r="D681">
        <v>0.90730025560939442</v>
      </c>
      <c r="E681">
        <v>-1.2258867768934575E-2</v>
      </c>
      <c r="F681">
        <f>F674</f>
        <v>1</v>
      </c>
      <c r="G681"/>
    </row>
    <row r="682" spans="1:7" x14ac:dyDescent="0.25">
      <c r="B682" t="s">
        <v>13</v>
      </c>
      <c r="C682">
        <f t="shared" ref="C682" si="1151">G677/SUMPRODUCT(_xlfn.ANCHORARRAY(C681),_xlfn.ANCHORARRAY(C681))</f>
        <v>2.7158634849208537E-3</v>
      </c>
      <c r="D682"/>
      <c r="E682"/>
      <c r="G682"/>
    </row>
    <row r="683" spans="1:7" x14ac:dyDescent="0.25">
      <c r="A683" t="s">
        <v>4</v>
      </c>
      <c r="B683" s="16" t="s">
        <v>5</v>
      </c>
      <c r="C683" cm="1">
        <f t="array" ref="C683:E683">C676:E676+C682*(C681:E681)</f>
        <v>2.7709489366876743</v>
      </c>
      <c r="D683">
        <v>2.1956938034470448</v>
      </c>
      <c r="E683">
        <v>-1.6535351871119615</v>
      </c>
      <c r="G683"/>
    </row>
    <row r="684" spans="1:7" x14ac:dyDescent="0.25">
      <c r="A684" s="1">
        <f>1+A677</f>
        <v>98</v>
      </c>
      <c r="B684" t="s">
        <v>6</v>
      </c>
      <c r="C684" s="13">
        <f t="shared" ref="C684" si="1152">3*C683-D683^3-0.5*C683*E683</f>
        <v>1.8181262145155141E-2</v>
      </c>
      <c r="D684" s="14">
        <f t="shared" ref="D684" si="1153">C683^2-(D683+0.1)^2+2*E683+0.9</f>
        <v>8.7759632147144107E-4</v>
      </c>
      <c r="E684" s="14">
        <f t="shared" ref="E684" si="1154">EXP(-C683)+1/D683+1.5*E683+2</f>
        <v>3.7736699480159785E-2</v>
      </c>
      <c r="G684" s="1">
        <f>0.5*(C684*C684+D684*D684+E684*E684)</f>
        <v>8.7769347807510167E-4</v>
      </c>
    </row>
    <row r="685" spans="1:7" x14ac:dyDescent="0.25">
      <c r="C685" s="17">
        <f t="shared" ref="C685" si="1155">3-0.5*E683</f>
        <v>3.8267675935559806</v>
      </c>
      <c r="D685" s="18">
        <f t="shared" ref="D685" si="1156">-3*D683^2</f>
        <v>-14.463213835487249</v>
      </c>
      <c r="E685" s="19">
        <f t="shared" ref="E685" si="1157">-0.5*C683</f>
        <v>-1.3854744683438371</v>
      </c>
    </row>
    <row r="686" spans="1:7" x14ac:dyDescent="0.25">
      <c r="B686" t="s">
        <v>7</v>
      </c>
      <c r="C686" s="20">
        <f t="shared" ref="C686" si="1158">2*C683</f>
        <v>5.5418978733753486</v>
      </c>
      <c r="D686" s="14">
        <f t="shared" ref="D686" si="1159">-2*(D683+0.1)</f>
        <v>-4.5913876068940898</v>
      </c>
      <c r="E686" s="21">
        <f>2</f>
        <v>2</v>
      </c>
    </row>
    <row r="687" spans="1:7" x14ac:dyDescent="0.25">
      <c r="C687" s="22">
        <f t="shared" ref="C687" si="1160">-EXP(-C683)</f>
        <v>-6.2602570670975355E-2</v>
      </c>
      <c r="D687" s="23">
        <f t="shared" ref="D687" si="1161">-1/D683^2</f>
        <v>-0.20742277851407659</v>
      </c>
      <c r="E687" s="24">
        <f t="shared" ref="E687" si="1162">1.5</f>
        <v>1.5</v>
      </c>
    </row>
    <row r="688" spans="1:7" x14ac:dyDescent="0.25">
      <c r="B688" t="s">
        <v>12</v>
      </c>
      <c r="C688" cm="1">
        <f t="array" ref="C688:E688">-MMULT(C684:E684,C685:E687)</f>
        <v>-7.2076599578574319E-2</v>
      </c>
      <c r="D688">
        <v>0.27481631813681368</v>
      </c>
      <c r="E688">
        <v>-3.3170567358803804E-2</v>
      </c>
      <c r="F688">
        <f>F681</f>
        <v>1</v>
      </c>
      <c r="G688"/>
    </row>
    <row r="689" spans="1:7" x14ac:dyDescent="0.25">
      <c r="B689" t="s">
        <v>13</v>
      </c>
      <c r="C689">
        <f t="shared" ref="C689" si="1163">G684/SUMPRODUCT(_xlfn.ANCHORARRAY(C688),_xlfn.ANCHORARRAY(C688))</f>
        <v>1.07272140020394E-2</v>
      </c>
      <c r="D689"/>
      <c r="E689"/>
      <c r="G689"/>
    </row>
    <row r="690" spans="1:7" x14ac:dyDescent="0.25">
      <c r="A690" t="s">
        <v>4</v>
      </c>
      <c r="B690" s="16" t="s">
        <v>5</v>
      </c>
      <c r="C690" cm="1">
        <f t="array" ref="C690:E690">C683:E683+C689*(C688:E688)</f>
        <v>2.7701757555794555</v>
      </c>
      <c r="D690">
        <v>2.1986418169029509</v>
      </c>
      <c r="E690">
        <v>-1.6538910148865884</v>
      </c>
      <c r="G690"/>
    </row>
    <row r="691" spans="1:7" x14ac:dyDescent="0.25">
      <c r="A691" s="1">
        <f>1+A684</f>
        <v>99</v>
      </c>
      <c r="B691" t="s">
        <v>6</v>
      </c>
      <c r="C691" s="13">
        <f t="shared" ref="C691" si="1164">3*C690-D690^3-0.5*C690*E690</f>
        <v>-2.6979691047074539E-2</v>
      </c>
      <c r="D691" s="14">
        <f t="shared" ref="D691" si="1165">C690^2-(D690+0.1)^2+2*E690+0.9</f>
        <v>-1.7662515387869671E-2</v>
      </c>
      <c r="E691" s="14">
        <f t="shared" ref="E691" si="1166">EXP(-C690)+1/D690+1.5*E690+2</f>
        <v>3.6640714418082698E-2</v>
      </c>
      <c r="G691" s="1">
        <f>0.5*(C691*C691+D691*D691+E691*E691)</f>
        <v>1.19120506594491E-3</v>
      </c>
    </row>
    <row r="692" spans="1:7" x14ac:dyDescent="0.25">
      <c r="C692" s="17">
        <f t="shared" ref="C692" si="1167">3-0.5*E690</f>
        <v>3.8269455074432943</v>
      </c>
      <c r="D692" s="18">
        <f t="shared" ref="D692" si="1168">-3*D690^2</f>
        <v>-14.502077517102927</v>
      </c>
      <c r="E692" s="19">
        <f t="shared" ref="E692" si="1169">-0.5*C690</f>
        <v>-1.3850878777897278</v>
      </c>
    </row>
    <row r="693" spans="1:7" x14ac:dyDescent="0.25">
      <c r="B693" t="s">
        <v>7</v>
      </c>
      <c r="C693" s="20">
        <f t="shared" ref="C693" si="1170">2*C690</f>
        <v>5.540351511158911</v>
      </c>
      <c r="D693" s="14">
        <f t="shared" ref="D693" si="1171">-2*(D690+0.1)</f>
        <v>-4.597283633805902</v>
      </c>
      <c r="E693" s="21">
        <f>2</f>
        <v>2</v>
      </c>
    </row>
    <row r="694" spans="1:7" x14ac:dyDescent="0.25">
      <c r="C694" s="22">
        <f t="shared" ref="C694" si="1172">-EXP(-C690)</f>
        <v>-6.2650992512958567E-2</v>
      </c>
      <c r="D694" s="23">
        <f t="shared" ref="D694" si="1173">-1/D690^2</f>
        <v>-0.20686691244492178</v>
      </c>
      <c r="E694" s="24">
        <f t="shared" ref="E694" si="1174">1.5</f>
        <v>1.5</v>
      </c>
    </row>
    <row r="695" spans="1:7" x14ac:dyDescent="0.25">
      <c r="B695" t="s">
        <v>12</v>
      </c>
      <c r="C695" cm="1">
        <f t="array" ref="C695:E695">-MMULT(C691:E691,C692:E694)</f>
        <v>0.20340192838953799</v>
      </c>
      <c r="D695">
        <v>-0.46488141241521602</v>
      </c>
      <c r="E695">
        <v>-5.7005283867199698E-2</v>
      </c>
      <c r="F695">
        <f>F688</f>
        <v>1</v>
      </c>
      <c r="G695"/>
    </row>
    <row r="696" spans="1:7" x14ac:dyDescent="0.25">
      <c r="B696" t="s">
        <v>13</v>
      </c>
      <c r="C696">
        <f t="shared" ref="C696" si="1175">G691/SUMPRODUCT(_xlfn.ANCHORARRAY(C695),_xlfn.ANCHORARRAY(C695))</f>
        <v>4.5686134041705434E-3</v>
      </c>
      <c r="D696"/>
      <c r="E696"/>
      <c r="G696"/>
    </row>
    <row r="697" spans="1:7" x14ac:dyDescent="0.25">
      <c r="A697" t="s">
        <v>4</v>
      </c>
      <c r="B697" s="16" t="s">
        <v>5</v>
      </c>
      <c r="C697" cm="1">
        <f t="array" ref="C697:E697">C690:E690+C696*(C695:E695)</f>
        <v>2.7711050203559302</v>
      </c>
      <c r="D697">
        <v>2.196517953450841</v>
      </c>
      <c r="E697">
        <v>-1.6541514499905727</v>
      </c>
      <c r="G697"/>
    </row>
    <row r="698" spans="1:7" x14ac:dyDescent="0.25">
      <c r="A698" s="1">
        <f>1+A691</f>
        <v>100</v>
      </c>
      <c r="B698" t="s">
        <v>6</v>
      </c>
      <c r="C698" s="13">
        <f t="shared" ref="C698" si="1176">3*C697-D697^3-0.5*C697*E697</f>
        <v>7.7080902512003391E-3</v>
      </c>
      <c r="D698" s="14">
        <f t="shared" ref="D698" si="1177">C697^2-(D697+0.1)^2+2*E697+0.9</f>
        <v>-3.2745766613445637E-3</v>
      </c>
      <c r="E698" s="14">
        <f t="shared" ref="E698" si="1178">EXP(-C697)+1/D697+1.5*E697+2</f>
        <v>3.6631651342973859E-2</v>
      </c>
      <c r="G698" s="1">
        <f>0.5*(C698*C698+D698*D698+E698*E698)</f>
        <v>7.0600769387243534E-4</v>
      </c>
    </row>
    <row r="699" spans="1:7" x14ac:dyDescent="0.25">
      <c r="C699" s="17">
        <f t="shared" ref="C699" si="1179">3-0.5*E697</f>
        <v>3.8270757249952863</v>
      </c>
      <c r="D699" s="18">
        <f t="shared" ref="D699" si="1180">-3*D697^2</f>
        <v>-14.474073359495613</v>
      </c>
      <c r="E699" s="19">
        <f t="shared" ref="E699" si="1181">-0.5*C697</f>
        <v>-1.3855525101779651</v>
      </c>
    </row>
    <row r="700" spans="1:7" x14ac:dyDescent="0.25">
      <c r="B700" t="s">
        <v>7</v>
      </c>
      <c r="C700" s="20">
        <f t="shared" ref="C700" si="1182">2*C697</f>
        <v>5.5422100407118604</v>
      </c>
      <c r="D700" s="14">
        <f t="shared" ref="D700" si="1183">-2*(D697+0.1)</f>
        <v>-4.5930359069016822</v>
      </c>
      <c r="E700" s="21">
        <f>2</f>
        <v>2</v>
      </c>
    </row>
    <row r="701" spans="1:7" x14ac:dyDescent="0.25">
      <c r="C701" s="22">
        <f t="shared" ref="C701" si="1184">-EXP(-C697)</f>
        <v>-6.2592800194628512E-2</v>
      </c>
      <c r="D701" s="23">
        <f t="shared" ref="D701" si="1185">-1/D697^2</f>
        <v>-0.20726715455203018</v>
      </c>
      <c r="E701" s="24">
        <f t="shared" ref="E701" si="1186">1.5</f>
        <v>1.5</v>
      </c>
    </row>
    <row r="702" spans="1:7" x14ac:dyDescent="0.25">
      <c r="B702" t="s">
        <v>12</v>
      </c>
      <c r="C702" cm="1">
        <f t="array" ref="C702:E702">-MMULT(C698:E698,C699:E701)</f>
        <v>-9.0581758015470127E-3</v>
      </c>
      <c r="D702">
        <v>0.10411975371242911</v>
      </c>
      <c r="E702">
        <v>-3.771835989554273E-2</v>
      </c>
      <c r="F702">
        <f>F695</f>
        <v>1</v>
      </c>
      <c r="G702"/>
    </row>
    <row r="703" spans="1:7" x14ac:dyDescent="0.25">
      <c r="B703" t="s">
        <v>13</v>
      </c>
      <c r="C703">
        <f t="shared" ref="C703" si="1187">G698/SUMPRODUCT(_xlfn.ANCHORARRAY(C702),_xlfn.ANCHORARRAY(C702))</f>
        <v>5.7186765304140214E-2</v>
      </c>
      <c r="D703"/>
      <c r="E703"/>
      <c r="G703"/>
    </row>
    <row r="704" spans="1:7" x14ac:dyDescent="0.25">
      <c r="A704" t="s">
        <v>4</v>
      </c>
      <c r="B704" s="16" t="s">
        <v>5</v>
      </c>
      <c r="C704" cm="1">
        <f t="array" ref="C704:E704">C697:E697+C703*(C702:E702)</f>
        <v>2.7705870125822836</v>
      </c>
      <c r="D704">
        <v>2.2024722253699185</v>
      </c>
      <c r="E704">
        <v>-1.6563084409855762</v>
      </c>
      <c r="G704"/>
    </row>
    <row r="705" spans="1:7" x14ac:dyDescent="0.25">
      <c r="A705" s="1">
        <f>1+A698</f>
        <v>101</v>
      </c>
      <c r="B705" t="s">
        <v>6</v>
      </c>
      <c r="C705" s="13">
        <f t="shared" ref="C705" si="1188">3*C704-D704^3-0.5*C704*E704</f>
        <v>-7.7702700550477122E-2</v>
      </c>
      <c r="D705" s="14">
        <f t="shared" ref="D705" si="1189">C704^2-(D704+0.1)^2+2*E704+0.9</f>
        <v>-3.7842836281435033E-2</v>
      </c>
      <c r="E705" s="14">
        <f t="shared" ref="E705" si="1190">EXP(-C704)+1/D704+1.5*E704+2</f>
        <v>3.2197808203044298E-2</v>
      </c>
      <c r="G705" s="1">
        <f>0.5*(C705*C705+D705*D705+E705*E705)</f>
        <v>4.2532443918703198E-3</v>
      </c>
    </row>
    <row r="706" spans="1:7" x14ac:dyDescent="0.25">
      <c r="C706" s="17">
        <f t="shared" ref="C706" si="1191">3-0.5*E704</f>
        <v>3.8281542204927881</v>
      </c>
      <c r="D706" s="18">
        <f t="shared" ref="D706" si="1192">-3*D704^2</f>
        <v>-14.552651710577763</v>
      </c>
      <c r="E706" s="19">
        <f t="shared" ref="E706" si="1193">-0.5*C704</f>
        <v>-1.3852935062911418</v>
      </c>
    </row>
    <row r="707" spans="1:7" x14ac:dyDescent="0.25">
      <c r="B707" t="s">
        <v>7</v>
      </c>
      <c r="C707" s="20">
        <f t="shared" ref="C707" si="1194">2*C704</f>
        <v>5.5411740251645671</v>
      </c>
      <c r="D707" s="14">
        <f t="shared" ref="D707" si="1195">-2*(D704+0.1)</f>
        <v>-4.6049444507398372</v>
      </c>
      <c r="E707" s="21">
        <f>2</f>
        <v>2</v>
      </c>
    </row>
    <row r="708" spans="1:7" x14ac:dyDescent="0.25">
      <c r="C708" s="22">
        <f t="shared" ref="C708" si="1196">-EXP(-C704)</f>
        <v>-6.2625232150981189E-2</v>
      </c>
      <c r="D708" s="23">
        <f t="shared" ref="D708" si="1197">-1/D704^2</f>
        <v>-0.20614799691931163</v>
      </c>
      <c r="E708" s="24">
        <f t="shared" ref="E708" si="1198">1.5</f>
        <v>1.5</v>
      </c>
    </row>
    <row r="709" spans="1:7" x14ac:dyDescent="0.25">
      <c r="B709" t="s">
        <v>12</v>
      </c>
      <c r="C709" cm="1">
        <f t="array" ref="C709:E709">-MMULT(C705:E705,C706:E708)</f>
        <v>0.50916805771070783</v>
      </c>
      <c r="D709">
        <v>-1.2984069833506133</v>
      </c>
      <c r="E709">
        <v>-8.0252086235557463E-2</v>
      </c>
      <c r="F709">
        <f>F702</f>
        <v>1</v>
      </c>
      <c r="G709"/>
    </row>
    <row r="710" spans="1:7" x14ac:dyDescent="0.25">
      <c r="B710" t="s">
        <v>13</v>
      </c>
      <c r="C710">
        <f t="shared" ref="C710" si="1199">G705/SUMPRODUCT(_xlfn.ANCHORARRAY(C709),_xlfn.ANCHORARRAY(C709))</f>
        <v>2.1794150350978067E-3</v>
      </c>
      <c r="D710"/>
      <c r="E710"/>
      <c r="G710"/>
    </row>
    <row r="711" spans="1:7" x14ac:dyDescent="0.25">
      <c r="A711" t="s">
        <v>4</v>
      </c>
      <c r="B711" s="16" t="s">
        <v>5</v>
      </c>
      <c r="C711" cm="1">
        <f t="array" ref="C711:E711">C704:E704+C710*(C709:E709)</f>
        <v>2.7716967011026497</v>
      </c>
      <c r="D711">
        <v>2.1996424576687281</v>
      </c>
      <c r="E711">
        <v>-1.6564833435889159</v>
      </c>
      <c r="G711"/>
    </row>
    <row r="712" spans="1:7" x14ac:dyDescent="0.25">
      <c r="A712" s="1">
        <f>1+A705</f>
        <v>102</v>
      </c>
      <c r="B712" t="s">
        <v>6</v>
      </c>
      <c r="C712" s="13">
        <f t="shared" ref="C712" si="1200">3*C711-D711^3-0.5*C711*E711</f>
        <v>-3.2084516288858556E-2</v>
      </c>
      <c r="D712" s="14">
        <f t="shared" ref="D712" si="1201">C711^2-(D711+0.1)^2+2*E711+0.9</f>
        <v>-1.90195173871891E-2</v>
      </c>
      <c r="E712" s="14">
        <f t="shared" ref="E712" si="1202">EXP(-C711)+1/D711+1.5*E711+2</f>
        <v>3.2450099746354377E-2</v>
      </c>
      <c r="G712" s="1">
        <f>0.5*(C712*C712+D712*D712+E712*E712)</f>
        <v>1.2220836003399836E-3</v>
      </c>
    </row>
    <row r="713" spans="1:7" x14ac:dyDescent="0.25">
      <c r="C713" s="17">
        <f t="shared" ref="C713" si="1203">3-0.5*E711</f>
        <v>3.8282416717944581</v>
      </c>
      <c r="D713" s="18">
        <f t="shared" ref="D713" si="1204">-3*D711^2</f>
        <v>-14.515280824736767</v>
      </c>
      <c r="E713" s="19">
        <f t="shared" ref="E713" si="1205">-0.5*C711</f>
        <v>-1.3858483505513248</v>
      </c>
    </row>
    <row r="714" spans="1:7" x14ac:dyDescent="0.25">
      <c r="B714" t="s">
        <v>7</v>
      </c>
      <c r="C714" s="20">
        <f t="shared" ref="C714" si="1206">2*C711</f>
        <v>5.5433934022052993</v>
      </c>
      <c r="D714" s="14">
        <f t="shared" ref="D714" si="1207">-2*(D711+0.1)</f>
        <v>-4.5992849153374564</v>
      </c>
      <c r="E714" s="21">
        <f>2</f>
        <v>2</v>
      </c>
    </row>
    <row r="715" spans="1:7" x14ac:dyDescent="0.25">
      <c r="C715" s="22">
        <f t="shared" ref="C715" si="1208">-EXP(-C711)</f>
        <v>-6.2555776194144347E-2</v>
      </c>
      <c r="D715" s="23">
        <f t="shared" ref="D715" si="1209">-1/D711^2</f>
        <v>-0.2066787433342272</v>
      </c>
      <c r="E715" s="24">
        <f t="shared" ref="E715" si="1210">1.5</f>
        <v>1.5</v>
      </c>
    </row>
    <row r="716" spans="1:7" x14ac:dyDescent="0.25">
      <c r="B716" t="s">
        <v>12</v>
      </c>
      <c r="C716" cm="1">
        <f t="array" ref="C716:E716">-MMULT(C712:E712,C713:E715)</f>
        <v>0.23028989065086003</v>
      </c>
      <c r="D716">
        <v>-0.5464851976378734</v>
      </c>
      <c r="E716">
        <v>-5.5100388822305106E-2</v>
      </c>
      <c r="F716">
        <f>F709</f>
        <v>1</v>
      </c>
      <c r="G716"/>
    </row>
    <row r="717" spans="1:7" x14ac:dyDescent="0.25">
      <c r="B717" t="s">
        <v>13</v>
      </c>
      <c r="C717">
        <f t="shared" ref="C717" si="1211">G712/SUMPRODUCT(_xlfn.ANCHORARRAY(C716),_xlfn.ANCHORARRAY(C716))</f>
        <v>3.4452495059560085E-3</v>
      </c>
      <c r="D717"/>
      <c r="E717"/>
      <c r="G717"/>
    </row>
    <row r="718" spans="1:7" x14ac:dyDescent="0.25">
      <c r="A718" t="s">
        <v>4</v>
      </c>
      <c r="B718" s="16" t="s">
        <v>5</v>
      </c>
      <c r="C718" cm="1">
        <f t="array" ref="C718:E718">C711:E711+C717*(C716:E716)</f>
        <v>2.7724901072346411</v>
      </c>
      <c r="D718">
        <v>2.1977596798115542</v>
      </c>
      <c r="E718">
        <v>-1.656673178176284</v>
      </c>
      <c r="G718"/>
    </row>
    <row r="719" spans="1:7" x14ac:dyDescent="0.25">
      <c r="A719" s="1">
        <f>1+A712</f>
        <v>103</v>
      </c>
      <c r="B719" t="s">
        <v>6</v>
      </c>
      <c r="C719" s="13">
        <f t="shared" ref="C719" si="1212">3*C718-D718^3-0.5*C718*E718</f>
        <v>-1.4783448362485352E-3</v>
      </c>
      <c r="D719" s="14">
        <f t="shared" ref="D719" si="1213">C718^2-(D718+0.1)^2+2*E718+0.9</f>
        <v>-6.3445078063132376E-3</v>
      </c>
      <c r="E719" s="14">
        <f t="shared" ref="E719" si="1214">EXP(-C718)+1/D718+1.5*E718+2</f>
        <v>3.2505198934611457E-2</v>
      </c>
      <c r="G719" s="1">
        <f>0.5*(C719*C719+D719*D719+E719*E719)</f>
        <v>5.4951312026894905E-4</v>
      </c>
    </row>
    <row r="720" spans="1:7" x14ac:dyDescent="0.25">
      <c r="C720" s="17">
        <f t="shared" ref="C720" si="1215">3-0.5*E718</f>
        <v>3.828336589088142</v>
      </c>
      <c r="D720" s="18">
        <f t="shared" ref="D720" si="1216">-3*D718^2</f>
        <v>-14.490442830616155</v>
      </c>
      <c r="E720" s="19">
        <f t="shared" ref="E720" si="1217">-0.5*C718</f>
        <v>-1.3862450536173205</v>
      </c>
    </row>
    <row r="721" spans="1:7" x14ac:dyDescent="0.25">
      <c r="B721" t="s">
        <v>7</v>
      </c>
      <c r="C721" s="20">
        <f t="shared" ref="C721" si="1218">2*C718</f>
        <v>5.5449802144692821</v>
      </c>
      <c r="D721" s="14">
        <f t="shared" ref="D721" si="1219">-2*(D718+0.1)</f>
        <v>-4.5955193596231085</v>
      </c>
      <c r="E721" s="21">
        <f>2</f>
        <v>2</v>
      </c>
    </row>
    <row r="722" spans="1:7" x14ac:dyDescent="0.25">
      <c r="C722" s="22">
        <f t="shared" ref="C722" si="1220">-EXP(-C718)</f>
        <v>-6.2506163741734982E-2</v>
      </c>
      <c r="D722" s="23">
        <f t="shared" ref="D722" si="1221">-1/D718^2</f>
        <v>-0.20703301031362858</v>
      </c>
      <c r="E722" s="24">
        <f t="shared" ref="E722" si="1222">1.5</f>
        <v>1.5</v>
      </c>
    </row>
    <row r="723" spans="1:7" x14ac:dyDescent="0.25">
      <c r="B723" t="s">
        <v>12</v>
      </c>
      <c r="C723" cm="1">
        <f t="array" ref="C723:E723">-MMULT(C719:E719,C720:E722)</f>
        <v>4.2871547171517088E-2</v>
      </c>
      <c r="D723">
        <v>-4.3848530598512458E-2</v>
      </c>
      <c r="E723">
        <v>-3.8118131006080948E-2</v>
      </c>
      <c r="F723">
        <f>F716</f>
        <v>1</v>
      </c>
      <c r="G723"/>
    </row>
    <row r="724" spans="1:7" x14ac:dyDescent="0.25">
      <c r="B724" t="s">
        <v>13</v>
      </c>
      <c r="C724">
        <f t="shared" ref="C724" si="1223">G719/SUMPRODUCT(_xlfn.ANCHORARRAY(C723),_xlfn.ANCHORARRAY(C723))</f>
        <v>0.10539882468544066</v>
      </c>
      <c r="D724"/>
      <c r="E724"/>
      <c r="G724"/>
    </row>
    <row r="725" spans="1:7" x14ac:dyDescent="0.25">
      <c r="A725" t="s">
        <v>4</v>
      </c>
      <c r="B725" s="16" t="s">
        <v>5</v>
      </c>
      <c r="C725" cm="1">
        <f t="array" ref="C725:E725">C718:E718+C724*(C723:E723)</f>
        <v>2.7770087179189655</v>
      </c>
      <c r="D725">
        <v>2.1931380962222873</v>
      </c>
      <c r="E725">
        <v>-1.6606907843835306</v>
      </c>
      <c r="G725"/>
    </row>
    <row r="726" spans="1:7" x14ac:dyDescent="0.25">
      <c r="A726" s="1">
        <f>1+A719</f>
        <v>104</v>
      </c>
      <c r="B726" t="s">
        <v>6</v>
      </c>
      <c r="C726" s="13">
        <f t="shared" ref="C726" si="1224">3*C725-D725^3-0.5*C725*E725</f>
        <v>8.8226946932563166E-2</v>
      </c>
      <c r="D726" s="14">
        <f t="shared" ref="D726" si="1225">C725^2-(D725+0.1)^2+2*E725+0.9</f>
        <v>3.1913522284899298E-2</v>
      </c>
      <c r="E726" s="14">
        <f t="shared" ref="E726" si="1226">EXP(-C725)+1/D725+1.5*E725+2</f>
        <v>2.7155822428203358E-2</v>
      </c>
      <c r="G726" s="1">
        <f>0.5*(C726*C726+D726*D726+E726*E726)</f>
        <v>4.769952880711097E-3</v>
      </c>
    </row>
    <row r="727" spans="1:7" x14ac:dyDescent="0.25">
      <c r="C727" s="17">
        <f t="shared" ref="C727" si="1227">3-0.5*E725</f>
        <v>3.8303453921917652</v>
      </c>
      <c r="D727" s="18">
        <f t="shared" ref="D727" si="1228">-3*D725^2</f>
        <v>-14.429564127304555</v>
      </c>
      <c r="E727" s="19">
        <f t="shared" ref="E727" si="1229">-0.5*C725</f>
        <v>-1.3885043589594828</v>
      </c>
    </row>
    <row r="728" spans="1:7" x14ac:dyDescent="0.25">
      <c r="B728" t="s">
        <v>7</v>
      </c>
      <c r="C728" s="20">
        <f t="shared" ref="C728" si="1230">2*C725</f>
        <v>5.5540174358379311</v>
      </c>
      <c r="D728" s="14">
        <f t="shared" ref="D728" si="1231">-2*(D725+0.1)</f>
        <v>-4.5862761924445747</v>
      </c>
      <c r="E728" s="21">
        <f>2</f>
        <v>2</v>
      </c>
    </row>
    <row r="729" spans="1:7" x14ac:dyDescent="0.25">
      <c r="C729" s="22">
        <f t="shared" ref="C729" si="1232">-EXP(-C725)</f>
        <v>-6.2224359882864629E-2</v>
      </c>
      <c r="D729" s="23">
        <f t="shared" ref="D729" si="1233">-1/D725^2</f>
        <v>-0.20790648792524549</v>
      </c>
      <c r="E729" s="24">
        <f t="shared" ref="E729" si="1234">1.5</f>
        <v>1.5</v>
      </c>
    </row>
    <row r="730" spans="1:7" x14ac:dyDescent="0.25">
      <c r="B730" t="s">
        <v>12</v>
      </c>
      <c r="C730" cm="1">
        <f t="array" ref="C730:E730">-MMULT(C726:E726,C727:E729)</f>
        <v>-0.51349818519193613</v>
      </c>
      <c r="D730">
        <v>1.4250864876597684</v>
      </c>
      <c r="E730">
        <v>1.7942722181447296E-2</v>
      </c>
      <c r="F730">
        <f>F723</f>
        <v>1</v>
      </c>
      <c r="G730"/>
    </row>
    <row r="731" spans="1:7" x14ac:dyDescent="0.25">
      <c r="B731" t="s">
        <v>13</v>
      </c>
      <c r="C731">
        <f t="shared" ref="C731" si="1235">G726/SUMPRODUCT(_xlfn.ANCHORARRAY(C730),_xlfn.ANCHORARRAY(C730))</f>
        <v>2.0785251150605946E-3</v>
      </c>
      <c r="D731"/>
      <c r="E731"/>
      <c r="G731"/>
    </row>
    <row r="732" spans="1:7" x14ac:dyDescent="0.25">
      <c r="A732" t="s">
        <v>4</v>
      </c>
      <c r="B732" s="16" t="s">
        <v>5</v>
      </c>
      <c r="C732" cm="1">
        <f t="array" ref="C732:E732">C725:E725+C731*(C730:E730)</f>
        <v>2.7759413990445059</v>
      </c>
      <c r="D732">
        <v>2.1961001742780217</v>
      </c>
      <c r="E732">
        <v>-1.660653489984844</v>
      </c>
      <c r="G732"/>
    </row>
    <row r="733" spans="1:7" x14ac:dyDescent="0.25">
      <c r="A733" s="1">
        <f>1+A726</f>
        <v>105</v>
      </c>
      <c r="B733" t="s">
        <v>6</v>
      </c>
      <c r="C733" s="13">
        <f t="shared" ref="C733" si="1236">3*C732-D732^3-0.5*C732*E732</f>
        <v>4.1287735057657038E-2</v>
      </c>
      <c r="D733" s="14">
        <f t="shared" ref="D733" si="1237">C732^2-(D732+0.1)^2+2*E732+0.9</f>
        <v>1.2467660639917999E-2</v>
      </c>
      <c r="E733" s="14">
        <f t="shared" ref="E733" si="1238">EXP(-C732)+1/D732+1.5*E732+2</f>
        <v>2.6663208101570302E-2</v>
      </c>
      <c r="G733" s="1">
        <f>0.5*(C733*C733+D733*D733+E733*E733)</f>
        <v>1.2855231471455434E-3</v>
      </c>
    </row>
    <row r="734" spans="1:7" x14ac:dyDescent="0.25">
      <c r="C734" s="17">
        <f t="shared" ref="C734" si="1239">3-0.5*E732</f>
        <v>3.8303267449924219</v>
      </c>
      <c r="D734" s="18">
        <f t="shared" ref="D734" si="1240">-3*D732^2</f>
        <v>-14.468567926391872</v>
      </c>
      <c r="E734" s="19">
        <f t="shared" ref="E734" si="1241">-0.5*C732</f>
        <v>-1.3879706995222529</v>
      </c>
    </row>
    <row r="735" spans="1:7" x14ac:dyDescent="0.25">
      <c r="B735" t="s">
        <v>7</v>
      </c>
      <c r="C735" s="20">
        <f t="shared" ref="C735" si="1242">2*C732</f>
        <v>5.5518827980890118</v>
      </c>
      <c r="D735" s="14">
        <f t="shared" ref="D735" si="1243">-2*(D732+0.1)</f>
        <v>-4.5922003485560436</v>
      </c>
      <c r="E735" s="21">
        <f>2</f>
        <v>2</v>
      </c>
    </row>
    <row r="736" spans="1:7" x14ac:dyDescent="0.25">
      <c r="C736" s="22">
        <f t="shared" ref="C736" si="1244">-EXP(-C732)</f>
        <v>-6.2290808571280422E-2</v>
      </c>
      <c r="D736" s="23">
        <f t="shared" ref="D736" si="1245">-1/D732^2</f>
        <v>-0.20734602175297187</v>
      </c>
      <c r="E736" s="24">
        <f t="shared" ref="E736" si="1246">1.5</f>
        <v>1.5</v>
      </c>
    </row>
    <row r="737" spans="1:7" x14ac:dyDescent="0.25">
      <c r="B737" t="s">
        <v>12</v>
      </c>
      <c r="C737" cm="1">
        <f t="array" ref="C737:E737">-MMULT(C733:E733,C734:E736)</f>
        <v>-0.22570363367892607</v>
      </c>
      <c r="D737">
        <v>0.66015690487192413</v>
      </c>
      <c r="E737">
        <v>-7.623966922525767E-3</v>
      </c>
      <c r="F737">
        <f>F730</f>
        <v>1</v>
      </c>
      <c r="G737"/>
    </row>
    <row r="738" spans="1:7" x14ac:dyDescent="0.25">
      <c r="B738" t="s">
        <v>13</v>
      </c>
      <c r="C738">
        <f t="shared" ref="C738" si="1247">G733/SUMPRODUCT(_xlfn.ANCHORARRAY(C737),_xlfn.ANCHORARRAY(C737))</f>
        <v>2.6407223113718565E-3</v>
      </c>
      <c r="D738"/>
      <c r="E738"/>
      <c r="G738"/>
    </row>
    <row r="739" spans="1:7" x14ac:dyDescent="0.25">
      <c r="A739" t="s">
        <v>4</v>
      </c>
      <c r="B739" s="16" t="s">
        <v>5</v>
      </c>
      <c r="C739" cm="1">
        <f t="array" ref="C739:E739">C732:E732+C738*(C737:E737)</f>
        <v>2.7753453784232924</v>
      </c>
      <c r="D739">
        <v>2.1978434653457231</v>
      </c>
      <c r="E739">
        <v>-1.6606736227643975</v>
      </c>
      <c r="G739"/>
    </row>
    <row r="740" spans="1:7" x14ac:dyDescent="0.25">
      <c r="A740" s="1">
        <f>1+A733</f>
        <v>106</v>
      </c>
      <c r="B740" t="s">
        <v>6</v>
      </c>
      <c r="C740" s="13">
        <f t="shared" ref="C740" si="1248">3*C739-D739^3-0.5*C739*E739</f>
        <v>1.3789766248248458E-2</v>
      </c>
      <c r="D740" s="14">
        <f t="shared" ref="D740" si="1249">C739^2-(D739+0.1)^2+2*E739+0.9</f>
        <v>1.1101327746919631E-3</v>
      </c>
      <c r="E740" s="14">
        <f t="shared" ref="E740" si="1250">EXP(-C739)+1/D739+1.5*E739+2</f>
        <v>2.6308968844630742E-2</v>
      </c>
      <c r="G740" s="1">
        <f>0.5*(C740*C740+D740*D740+E740*E740)</f>
        <v>4.4177594481326435E-4</v>
      </c>
    </row>
    <row r="741" spans="1:7" x14ac:dyDescent="0.25">
      <c r="C741" s="17">
        <f t="shared" ref="C741" si="1251">3-0.5*E739</f>
        <v>3.8303368113821987</v>
      </c>
      <c r="D741" s="18">
        <f t="shared" ref="D741" si="1252">-3*D739^2</f>
        <v>-14.491547694488688</v>
      </c>
      <c r="E741" s="19">
        <f t="shared" ref="E741" si="1253">-0.5*C739</f>
        <v>-1.3876726892116462</v>
      </c>
    </row>
    <row r="742" spans="1:7" x14ac:dyDescent="0.25">
      <c r="B742" t="s">
        <v>7</v>
      </c>
      <c r="C742" s="20">
        <f t="shared" ref="C742" si="1254">2*C739</f>
        <v>5.5506907568465849</v>
      </c>
      <c r="D742" s="14">
        <f t="shared" ref="D742" si="1255">-2*(D739+0.1)</f>
        <v>-4.5956869306914463</v>
      </c>
      <c r="E742" s="21">
        <f>2</f>
        <v>2</v>
      </c>
    </row>
    <row r="743" spans="1:7" x14ac:dyDescent="0.25">
      <c r="C743" s="22">
        <f t="shared" ref="C743" si="1256">-EXP(-C739)</f>
        <v>-6.2327946244010946E-2</v>
      </c>
      <c r="D743" s="23">
        <f t="shared" ref="D743" si="1257">-1/D739^2</f>
        <v>-0.20701722571295381</v>
      </c>
      <c r="E743" s="24">
        <f t="shared" ref="E743" si="1258">1.5</f>
        <v>1.5</v>
      </c>
    </row>
    <row r="744" spans="1:7" x14ac:dyDescent="0.25">
      <c r="B744" t="s">
        <v>12</v>
      </c>
      <c r="C744" cm="1">
        <f t="array" ref="C744:E744">-MMULT(C740:E740,C741:E743)</f>
        <v>-5.7341669016493485E-2</v>
      </c>
      <c r="D744">
        <v>0.21038328770791095</v>
      </c>
      <c r="E744">
        <v>-2.2548036803023107E-2</v>
      </c>
      <c r="F744">
        <f>F737</f>
        <v>1</v>
      </c>
      <c r="G744"/>
    </row>
    <row r="745" spans="1:7" x14ac:dyDescent="0.25">
      <c r="B745" t="s">
        <v>13</v>
      </c>
      <c r="C745">
        <f t="shared" ref="C745" si="1259">G740/SUMPRODUCT(_xlfn.ANCHORARRAY(C744),_xlfn.ANCHORARRAY(C744))</f>
        <v>9.1926326884769934E-3</v>
      </c>
      <c r="D745"/>
      <c r="E745"/>
      <c r="G745"/>
    </row>
    <row r="746" spans="1:7" x14ac:dyDescent="0.25">
      <c r="A746" t="s">
        <v>4</v>
      </c>
      <c r="B746" s="16" t="s">
        <v>5</v>
      </c>
      <c r="C746" cm="1">
        <f t="array" ref="C746:E746">C739:E739+C745*(C744:E744)</f>
        <v>2.7748182575222797</v>
      </c>
      <c r="D746">
        <v>2.1997774416334162</v>
      </c>
      <c r="E746">
        <v>-1.660880898584574</v>
      </c>
      <c r="G746"/>
    </row>
    <row r="747" spans="1:7" x14ac:dyDescent="0.25">
      <c r="A747" s="1">
        <f>1+A740</f>
        <v>107</v>
      </c>
      <c r="B747" t="s">
        <v>6</v>
      </c>
      <c r="C747" s="13">
        <f t="shared" ref="C747" si="1260">3*C746-D746^3-0.5*C746*E746</f>
        <v>-1.5992686370794207E-2</v>
      </c>
      <c r="D747" s="14">
        <f t="shared" ref="D747" si="1261">C746^2-(D746+0.1)^2+2*E746+0.9</f>
        <v>-1.1121715936108223E-2</v>
      </c>
      <c r="E747" s="14">
        <f t="shared" ref="E747" si="1262">EXP(-C746)+1/D746+1.5*E746+2</f>
        <v>2.5630903722268839E-2</v>
      </c>
      <c r="G747" s="1">
        <f>0.5*(C747*C747+D747*D747+E747*E747)</f>
        <v>5.1820090416914246E-4</v>
      </c>
    </row>
    <row r="748" spans="1:7" x14ac:dyDescent="0.25">
      <c r="C748" s="17">
        <f t="shared" ref="C748" si="1263">3-0.5*E746</f>
        <v>3.8304404492922872</v>
      </c>
      <c r="D748" s="18">
        <f t="shared" ref="D748" si="1264">-3*D746^2</f>
        <v>-14.517062378157775</v>
      </c>
      <c r="E748" s="19">
        <f t="shared" ref="E748" si="1265">-0.5*C746</f>
        <v>-1.3874091287611399</v>
      </c>
    </row>
    <row r="749" spans="1:7" x14ac:dyDescent="0.25">
      <c r="B749" t="s">
        <v>7</v>
      </c>
      <c r="C749" s="20">
        <f t="shared" ref="C749" si="1266">2*C746</f>
        <v>5.5496365150445595</v>
      </c>
      <c r="D749" s="14">
        <f t="shared" ref="D749" si="1267">-2*(D746+0.1)</f>
        <v>-4.5995548832668325</v>
      </c>
      <c r="E749" s="21">
        <f>2</f>
        <v>2</v>
      </c>
    </row>
    <row r="750" spans="1:7" x14ac:dyDescent="0.25">
      <c r="C750" s="22">
        <f t="shared" ref="C750" si="1268">-EXP(-C746)</f>
        <v>-6.2360809267825792E-2</v>
      </c>
      <c r="D750" s="23">
        <f t="shared" ref="D750" si="1269">-1/D746^2</f>
        <v>-0.20665337944085505</v>
      </c>
      <c r="E750" s="24">
        <f t="shared" ref="E750" si="1270">1.5</f>
        <v>1.5</v>
      </c>
    </row>
    <row r="751" spans="1:7" x14ac:dyDescent="0.25">
      <c r="B751" t="s">
        <v>12</v>
      </c>
      <c r="C751" cm="1">
        <f t="array" ref="C751:E751">-MMULT(C747:E747,C748:E750)</f>
        <v>0.12457887753490118</v>
      </c>
      <c r="D751">
        <v>-0.2780250556110363</v>
      </c>
      <c r="E751">
        <v>-3.8391322775440558E-2</v>
      </c>
      <c r="F751">
        <f>F744</f>
        <v>1</v>
      </c>
      <c r="G751"/>
    </row>
    <row r="752" spans="1:7" x14ac:dyDescent="0.25">
      <c r="B752" t="s">
        <v>13</v>
      </c>
      <c r="C752">
        <f t="shared" ref="C752" si="1271">G747/SUMPRODUCT(_xlfn.ANCHORARRAY(C751),_xlfn.ANCHORARRAY(C751))</f>
        <v>5.4957200219532959E-3</v>
      </c>
      <c r="D752"/>
      <c r="E752"/>
      <c r="G752"/>
    </row>
    <row r="753" spans="1:7" x14ac:dyDescent="0.25">
      <c r="A753" t="s">
        <v>4</v>
      </c>
      <c r="B753" s="16" t="s">
        <v>5</v>
      </c>
      <c r="C753" cm="1">
        <f t="array" ref="C753:E753">C746:E746+C752*(C751:E751)</f>
        <v>2.7755029081538609</v>
      </c>
      <c r="D753">
        <v>2.1982494937686901</v>
      </c>
      <c r="E753">
        <v>-1.6610918865458202</v>
      </c>
      <c r="G753"/>
    </row>
    <row r="754" spans="1:7" x14ac:dyDescent="0.25">
      <c r="A754" s="1">
        <f>1+A747</f>
        <v>108</v>
      </c>
      <c r="B754" t="s">
        <v>6</v>
      </c>
      <c r="C754" s="13">
        <f t="shared" ref="C754" si="1272">3*C753-D753^3-0.5*C753*E753</f>
        <v>9.0885370179480951E-3</v>
      </c>
      <c r="D754" s="14">
        <f t="shared" ref="D754" si="1273">C753^2-(D753+0.1)^2+2*E753+0.9</f>
        <v>-7.1811552914124999E-4</v>
      </c>
      <c r="E754" s="14">
        <f t="shared" ref="E754" si="1274">EXP(-C753)+1/D753+1.5*E753+2</f>
        <v>2.55877160889324E-2</v>
      </c>
      <c r="G754" s="1">
        <f>0.5*(C754*C754+D754*D754+E754*E754)</f>
        <v>3.6892420484380833E-4</v>
      </c>
    </row>
    <row r="755" spans="1:7" x14ac:dyDescent="0.25">
      <c r="C755" s="17">
        <f t="shared" ref="C755" si="1275">3-0.5*E753</f>
        <v>3.8305459432729103</v>
      </c>
      <c r="D755" s="18">
        <f t="shared" ref="D755" si="1276">-3*D753^2</f>
        <v>-14.496902510562908</v>
      </c>
      <c r="E755" s="19">
        <f t="shared" ref="E755" si="1277">-0.5*C753</f>
        <v>-1.3877514540769305</v>
      </c>
    </row>
    <row r="756" spans="1:7" x14ac:dyDescent="0.25">
      <c r="B756" t="s">
        <v>7</v>
      </c>
      <c r="C756" s="20">
        <f t="shared" ref="C756" si="1278">2*C753</f>
        <v>5.5510058163077218</v>
      </c>
      <c r="D756" s="14">
        <f t="shared" ref="D756" si="1279">-2*(D753+0.1)</f>
        <v>-4.5964989875373803</v>
      </c>
      <c r="E756" s="21">
        <f>2</f>
        <v>2</v>
      </c>
    </row>
    <row r="757" spans="1:7" x14ac:dyDescent="0.25">
      <c r="C757" s="22">
        <f t="shared" ref="C757" si="1280">-EXP(-C753)</f>
        <v>-6.2318128512744826E-2</v>
      </c>
      <c r="D757" s="23">
        <f t="shared" ref="D757" si="1281">-1/D753^2</f>
        <v>-0.20694075840091386</v>
      </c>
      <c r="E757" s="24">
        <f t="shared" ref="E757" si="1282">1.5</f>
        <v>1.5</v>
      </c>
    </row>
    <row r="758" spans="1:7" x14ac:dyDescent="0.25">
      <c r="B758" t="s">
        <v>12</v>
      </c>
      <c r="C758" cm="1">
        <f t="array" ref="C758:E758">-MMULT(C754:E754,C755:E757)</f>
        <v>-2.9233216545765058E-2</v>
      </c>
      <c r="D758">
        <v>0.13374995918339397</v>
      </c>
      <c r="E758">
        <v>-2.4332712613026622E-2</v>
      </c>
      <c r="F758">
        <f>F751</f>
        <v>1</v>
      </c>
      <c r="G758"/>
    </row>
    <row r="759" spans="1:7" x14ac:dyDescent="0.25">
      <c r="B759" t="s">
        <v>13</v>
      </c>
      <c r="C759">
        <f t="shared" ref="C759" si="1283">G754/SUMPRODUCT(_xlfn.ANCHORARRAY(C758),_xlfn.ANCHORARRAY(C758))</f>
        <v>1.9079937551709968E-2</v>
      </c>
      <c r="D759"/>
      <c r="E759"/>
      <c r="G759"/>
    </row>
    <row r="760" spans="1:7" x14ac:dyDescent="0.25">
      <c r="A760" t="s">
        <v>4</v>
      </c>
      <c r="B760" s="16" t="s">
        <v>5</v>
      </c>
      <c r="C760" cm="1">
        <f t="array" ref="C760:E760">C753:E753+C759*(C758:E758)</f>
        <v>2.7749451402077323</v>
      </c>
      <c r="D760">
        <v>2.2008014346374529</v>
      </c>
      <c r="E760">
        <v>-1.6615561531829404</v>
      </c>
      <c r="G760"/>
    </row>
    <row r="761" spans="1:7" x14ac:dyDescent="0.25">
      <c r="A761" s="1">
        <f>1+A754</f>
        <v>109</v>
      </c>
      <c r="B761" t="s">
        <v>6</v>
      </c>
      <c r="C761" s="13">
        <f t="shared" ref="C761" si="1284">3*C760-D760^3-0.5*C760*E760</f>
        <v>-2.9442063762107118E-2</v>
      </c>
      <c r="D761" s="14">
        <f t="shared" ref="D761" si="1285">C760^2-(D760+0.1)^2+2*E760+0.9</f>
        <v>-1.6479016833131577E-2</v>
      </c>
      <c r="E761" s="14">
        <f t="shared" ref="E761" si="1286">EXP(-C760)+1/D760+1.5*E760+2</f>
        <v>2.4398596663970373E-2</v>
      </c>
      <c r="G761" s="1">
        <f>0.5*(C761*C761+D761*D761+E761*E761)</f>
        <v>8.668423167648607E-4</v>
      </c>
    </row>
    <row r="762" spans="1:7" x14ac:dyDescent="0.25">
      <c r="C762" s="17">
        <f t="shared" ref="C762" si="1287">3-0.5*E760</f>
        <v>3.8307780765914701</v>
      </c>
      <c r="D762" s="18">
        <f t="shared" ref="D762" si="1288">-3*D760^2</f>
        <v>-14.530580864106813</v>
      </c>
      <c r="E762" s="19">
        <f t="shared" ref="E762" si="1289">-0.5*C760</f>
        <v>-1.3874725701038662</v>
      </c>
    </row>
    <row r="763" spans="1:7" x14ac:dyDescent="0.25">
      <c r="B763" t="s">
        <v>7</v>
      </c>
      <c r="C763" s="20">
        <f t="shared" ref="C763" si="1290">2*C760</f>
        <v>5.5498902804154646</v>
      </c>
      <c r="D763" s="14">
        <f t="shared" ref="D763" si="1291">-2*(D760+0.1)</f>
        <v>-4.601602869274906</v>
      </c>
      <c r="E763" s="21">
        <f>2</f>
        <v>2</v>
      </c>
    </row>
    <row r="764" spans="1:7" x14ac:dyDescent="0.25">
      <c r="C764" s="22">
        <f t="shared" ref="C764" si="1292">-EXP(-C760)</f>
        <v>-6.2352897262837728E-2</v>
      </c>
      <c r="D764" s="23">
        <f t="shared" ref="D764" si="1293">-1/D760^2</f>
        <v>-0.20646112003757178</v>
      </c>
      <c r="E764" s="24">
        <f t="shared" ref="E764" si="1294">1.5</f>
        <v>1.5</v>
      </c>
    </row>
    <row r="765" spans="1:7" x14ac:dyDescent="0.25">
      <c r="B765" t="s">
        <v>12</v>
      </c>
      <c r="C765" cm="1">
        <f t="array" ref="C765:E765">-MMULT(C761:E761,C762:E764)</f>
        <v>0.20576407093363386</v>
      </c>
      <c r="D765">
        <v>-0.49860281784906574</v>
      </c>
      <c r="E765">
        <v>-4.4489917206865071E-2</v>
      </c>
      <c r="F765">
        <f>F758</f>
        <v>1</v>
      </c>
      <c r="G765"/>
    </row>
    <row r="766" spans="1:7" x14ac:dyDescent="0.25">
      <c r="B766" t="s">
        <v>13</v>
      </c>
      <c r="C766">
        <f t="shared" ref="C766" si="1295">G761/SUMPRODUCT(_xlfn.ANCHORARRAY(C765),_xlfn.ANCHORARRAY(C765))</f>
        <v>2.9592841429625684E-3</v>
      </c>
      <c r="D766"/>
      <c r="E766"/>
      <c r="G766"/>
    </row>
    <row r="767" spans="1:7" x14ac:dyDescent="0.25">
      <c r="A767" t="s">
        <v>4</v>
      </c>
      <c r="B767" s="16" t="s">
        <v>5</v>
      </c>
      <c r="C767" cm="1">
        <f t="array" ref="C767:E767">C760:E760+C766*(C765:E765)</f>
        <v>2.7755540545600375</v>
      </c>
      <c r="D767">
        <v>2.1993259272249559</v>
      </c>
      <c r="E767">
        <v>-1.6616878114894524</v>
      </c>
      <c r="G767"/>
    </row>
    <row r="768" spans="1:7" x14ac:dyDescent="0.25">
      <c r="A768" s="1">
        <f>1+A761</f>
        <v>110</v>
      </c>
      <c r="B768" t="s">
        <v>6</v>
      </c>
      <c r="C768" s="13">
        <f t="shared" ref="C768" si="1296">3*C767-D767^3-0.5*C767*E767</f>
        <v>-5.5011268927938062E-3</v>
      </c>
      <c r="D768" s="14">
        <f t="shared" ref="D768" si="1297">C767^2-(D767+0.1)^2+2*E767+0.9</f>
        <v>-6.5750328031456418E-3</v>
      </c>
      <c r="E768" s="14">
        <f t="shared" ref="E768" si="1298">EXP(-C767)+1/D767+1.5*E767+2</f>
        <v>2.4467992477057665E-2</v>
      </c>
      <c r="G768" s="1">
        <f>0.5*(C768*C768+D768*D768+E768*E768)</f>
        <v>3.360880546552055E-4</v>
      </c>
    </row>
    <row r="769" spans="1:7" x14ac:dyDescent="0.25">
      <c r="C769" s="17">
        <f t="shared" ref="C769" si="1299">3-0.5*E767</f>
        <v>3.8308439057447261</v>
      </c>
      <c r="D769" s="18">
        <f t="shared" ref="D769" si="1300">-3*D767^2</f>
        <v>-14.511103602491737</v>
      </c>
      <c r="E769" s="19">
        <f t="shared" ref="E769" si="1301">-0.5*C767</f>
        <v>-1.3877770272800187</v>
      </c>
    </row>
    <row r="770" spans="1:7" x14ac:dyDescent="0.25">
      <c r="B770" t="s">
        <v>7</v>
      </c>
      <c r="C770" s="20">
        <f t="shared" ref="C770" si="1302">2*C767</f>
        <v>5.5511081091200749</v>
      </c>
      <c r="D770" s="14">
        <f t="shared" ref="D770" si="1303">-2*(D767+0.1)</f>
        <v>-4.598651854449912</v>
      </c>
      <c r="E770" s="21">
        <f>2</f>
        <v>2</v>
      </c>
    </row>
    <row r="771" spans="1:7" x14ac:dyDescent="0.25">
      <c r="C771" s="22">
        <f t="shared" ref="C771" si="1304">-EXP(-C767)</f>
        <v>-6.2314941245941065E-2</v>
      </c>
      <c r="D771" s="23">
        <f t="shared" ref="D771" si="1305">-1/D767^2</f>
        <v>-0.20673823867433919</v>
      </c>
      <c r="E771" s="24">
        <f t="shared" ref="E771" si="1306">1.5</f>
        <v>1.5</v>
      </c>
    </row>
    <row r="772" spans="1:7" x14ac:dyDescent="0.25">
      <c r="B772" t="s">
        <v>12</v>
      </c>
      <c r="C772" cm="1">
        <f t="array" ref="C772:E772">-MMULT(C768:E768,C769:E771)</f>
        <v>5.9097397856873818E-2</v>
      </c>
      <c r="D772">
        <v>-0.10500523939643522</v>
      </c>
      <c r="E772">
        <v>-3.118626063526677E-2</v>
      </c>
      <c r="F772">
        <f>F765</f>
        <v>1</v>
      </c>
      <c r="G772"/>
    </row>
    <row r="773" spans="1:7" x14ac:dyDescent="0.25">
      <c r="B773" t="s">
        <v>13</v>
      </c>
      <c r="C773">
        <f t="shared" ref="C773" si="1307">G768/SUMPRODUCT(_xlfn.ANCHORARRAY(C772),_xlfn.ANCHORARRAY(C772))</f>
        <v>2.1695437884795485E-2</v>
      </c>
      <c r="D773"/>
      <c r="E773"/>
      <c r="G773"/>
    </row>
    <row r="774" spans="1:7" x14ac:dyDescent="0.25">
      <c r="A774" t="s">
        <v>4</v>
      </c>
      <c r="B774" s="16" t="s">
        <v>5</v>
      </c>
      <c r="C774" cm="1">
        <f t="array" ref="C774:E774">C767:E767+C773*(C772:E772)</f>
        <v>2.7768361984843941</v>
      </c>
      <c r="D774">
        <v>2.1970477925760523</v>
      </c>
      <c r="E774">
        <v>-1.6623644110699238</v>
      </c>
      <c r="G774"/>
    </row>
    <row r="775" spans="1:7" x14ac:dyDescent="0.25">
      <c r="A775" s="1">
        <f>1+A768</f>
        <v>111</v>
      </c>
      <c r="B775" t="s">
        <v>6</v>
      </c>
      <c r="C775" s="13">
        <f t="shared" ref="C775" si="1308">3*C774-D774^3-0.5*C774*E774</f>
        <v>3.337398635528066E-2</v>
      </c>
      <c r="D775" s="14">
        <f t="shared" ref="D775" si="1309">C774^2-(D774+0.1)^2+2*E774+0.9</f>
        <v>9.6618896948986732E-3</v>
      </c>
      <c r="E775" s="14">
        <f t="shared" ref="E775" si="1310">EXP(-C774)+1/D774+1.5*E774+2</f>
        <v>2.3844713485480451E-2</v>
      </c>
      <c r="G775" s="1">
        <f>0.5*(C775*C775+D775*D775+E775*E775)</f>
        <v>8.8787271946175108E-4</v>
      </c>
    </row>
    <row r="776" spans="1:7" x14ac:dyDescent="0.25">
      <c r="C776" s="17">
        <f t="shared" ref="C776" si="1311">3-0.5*E774</f>
        <v>3.831182205534962</v>
      </c>
      <c r="D776" s="18">
        <f t="shared" ref="D776" si="1312">-3*D774^2</f>
        <v>-14.481057008589913</v>
      </c>
      <c r="E776" s="19">
        <f t="shared" ref="E776" si="1313">-0.5*C774</f>
        <v>-1.3884180992421971</v>
      </c>
    </row>
    <row r="777" spans="1:7" x14ac:dyDescent="0.25">
      <c r="B777" t="s">
        <v>7</v>
      </c>
      <c r="C777" s="20">
        <f t="shared" ref="C777" si="1314">2*C774</f>
        <v>5.5536723969687882</v>
      </c>
      <c r="D777" s="14">
        <f t="shared" ref="D777" si="1315">-2*(D774+0.1)</f>
        <v>-4.5940955851521048</v>
      </c>
      <c r="E777" s="21">
        <f>2</f>
        <v>2</v>
      </c>
    </row>
    <row r="778" spans="1:7" x14ac:dyDescent="0.25">
      <c r="C778" s="22">
        <f t="shared" ref="C778" si="1316">-EXP(-C774)</f>
        <v>-6.2235095720291865E-2</v>
      </c>
      <c r="D778" s="23">
        <f t="shared" ref="D778" si="1317">-1/D774^2</f>
        <v>-0.20716719768594599</v>
      </c>
      <c r="E778" s="24">
        <f t="shared" ref="E778" si="1318">1.5</f>
        <v>1.5</v>
      </c>
    </row>
    <row r="779" spans="1:7" x14ac:dyDescent="0.25">
      <c r="B779" t="s">
        <v>12</v>
      </c>
      <c r="C779" cm="1">
        <f t="array" ref="C779:E779">-MMULT(C775:E775,C776:E778)</f>
        <v>-0.18003681472704203</v>
      </c>
      <c r="D779">
        <v>0.532618086278693</v>
      </c>
      <c r="E779">
        <v>-8.7538029184842311E-3</v>
      </c>
      <c r="F779">
        <f>F772</f>
        <v>1</v>
      </c>
      <c r="G779"/>
    </row>
    <row r="780" spans="1:7" x14ac:dyDescent="0.25">
      <c r="B780" t="s">
        <v>13</v>
      </c>
      <c r="C780">
        <f t="shared" ref="C780" si="1319">G775/SUMPRODUCT(_xlfn.ANCHORARRAY(C779),_xlfn.ANCHORARRAY(C779))</f>
        <v>2.8081960877386178E-3</v>
      </c>
      <c r="D780"/>
      <c r="E780"/>
      <c r="G780"/>
    </row>
    <row r="781" spans="1:7" x14ac:dyDescent="0.25">
      <c r="A781" t="s">
        <v>4</v>
      </c>
      <c r="B781" s="16" t="s">
        <v>5</v>
      </c>
      <c r="C781" cm="1">
        <f t="array" ref="C781:E781">C774:E774+C780*(C779:E779)</f>
        <v>2.7763306198056288</v>
      </c>
      <c r="D781">
        <v>2.1985434886021991</v>
      </c>
      <c r="E781">
        <v>-1.6623889934650324</v>
      </c>
      <c r="G781"/>
    </row>
    <row r="782" spans="1:7" x14ac:dyDescent="0.25">
      <c r="A782" s="1">
        <f>1+A775</f>
        <v>112</v>
      </c>
      <c r="B782" t="s">
        <v>6</v>
      </c>
      <c r="C782" s="13">
        <f t="shared" ref="C782" si="1320">3*C781-D781^3-0.5*C781*E781</f>
        <v>9.7971388872681864E-3</v>
      </c>
      <c r="D782" s="14">
        <f t="shared" ref="D782" si="1321">C781^2-(D781+0.1)^2+2*E781+0.9</f>
        <v>-6.8445455326027194E-5</v>
      </c>
      <c r="E782" s="14">
        <f t="shared" ref="E782" si="1322">EXP(-C781)+1/D781+1.5*E781+2</f>
        <v>2.3529664232221359E-2</v>
      </c>
      <c r="G782" s="1">
        <f>0.5*(C782*C782+D782*D782+E782*E782)</f>
        <v>3.2481685701892719E-4</v>
      </c>
    </row>
    <row r="783" spans="1:7" x14ac:dyDescent="0.25">
      <c r="C783" s="17">
        <f t="shared" ref="C783" si="1323">3-0.5*E781</f>
        <v>3.8311944967325164</v>
      </c>
      <c r="D783" s="18">
        <f t="shared" ref="D783" si="1324">-3*D781^2</f>
        <v>-14.500780413825384</v>
      </c>
      <c r="E783" s="19">
        <f t="shared" ref="E783" si="1325">-0.5*C781</f>
        <v>-1.3881653099028144</v>
      </c>
    </row>
    <row r="784" spans="1:7" x14ac:dyDescent="0.25">
      <c r="B784" t="s">
        <v>7</v>
      </c>
      <c r="C784" s="20">
        <f t="shared" ref="C784" si="1326">2*C781</f>
        <v>5.5526612396112576</v>
      </c>
      <c r="D784" s="14">
        <f t="shared" ref="D784" si="1327">-2*(D781+0.1)</f>
        <v>-4.5970869772043983</v>
      </c>
      <c r="E784" s="21">
        <f>2</f>
        <v>2</v>
      </c>
    </row>
    <row r="785" spans="1:7" x14ac:dyDescent="0.25">
      <c r="C785" s="22">
        <f t="shared" ref="C785" si="1328">-EXP(-C781)</f>
        <v>-6.2266568413049783E-2</v>
      </c>
      <c r="D785" s="23">
        <f t="shared" ref="D785" si="1329">-1/D781^2</f>
        <v>-0.20688541681106554</v>
      </c>
      <c r="E785" s="24">
        <f t="shared" ref="E785" si="1330">1.5</f>
        <v>1.5</v>
      </c>
    </row>
    <row r="786" spans="1:7" x14ac:dyDescent="0.25">
      <c r="B786" t="s">
        <v>12</v>
      </c>
      <c r="C786" cm="1">
        <f t="array" ref="C786:E786">-MMULT(C782:E782,C783:E785)</f>
        <v>-3.5689578714157927E-2</v>
      </c>
      <c r="D786">
        <v>0.14661945436880494</v>
      </c>
      <c r="E786">
        <v>-2.1557557098074429E-2</v>
      </c>
      <c r="F786">
        <f>F779</f>
        <v>1</v>
      </c>
      <c r="G786"/>
    </row>
    <row r="787" spans="1:7" x14ac:dyDescent="0.25">
      <c r="B787" t="s">
        <v>13</v>
      </c>
      <c r="C787">
        <f t="shared" ref="C787" si="1331">G782/SUMPRODUCT(_xlfn.ANCHORARRAY(C786),_xlfn.ANCHORARRAY(C786))</f>
        <v>1.3979192194631302E-2</v>
      </c>
      <c r="D787"/>
      <c r="E787"/>
      <c r="G787"/>
    </row>
    <row r="788" spans="1:7" x14ac:dyDescent="0.25">
      <c r="A788" t="s">
        <v>4</v>
      </c>
      <c r="B788" s="16" t="s">
        <v>5</v>
      </c>
      <c r="C788" cm="1">
        <f t="array" ref="C788:E788">C781:E781+C787*(C786:E786)</f>
        <v>2.775831708325438</v>
      </c>
      <c r="D788">
        <v>2.2005931101342924</v>
      </c>
      <c r="E788">
        <v>-1.6626903506989532</v>
      </c>
      <c r="G788"/>
    </row>
    <row r="789" spans="1:7" x14ac:dyDescent="0.25">
      <c r="A789" s="1">
        <f>1+A782</f>
        <v>113</v>
      </c>
      <c r="B789" t="s">
        <v>6</v>
      </c>
      <c r="C789" s="13">
        <f t="shared" ref="C789" si="1332">3*C788-D788^3-0.5*C788*E788</f>
        <v>-2.1444857829373554E-2</v>
      </c>
      <c r="D789" s="14">
        <f t="shared" ref="D789" si="1333">C788^2-(D788+0.1)^2+2*E788+0.9</f>
        <v>-1.2867686850363991E-2</v>
      </c>
      <c r="E789" s="14">
        <f t="shared" ref="E789" si="1334">EXP(-C788)+1/D788+1.5*E788+2</f>
        <v>2.2685059778720484E-2</v>
      </c>
      <c r="G789" s="1">
        <f>0.5*(C789*C789+D789*D789+E789*E789)</f>
        <v>5.7003561468259821E-4</v>
      </c>
    </row>
    <row r="790" spans="1:7" x14ac:dyDescent="0.25">
      <c r="C790" s="17">
        <f t="shared" ref="C790" si="1335">3-0.5*E788</f>
        <v>3.8313451753494765</v>
      </c>
      <c r="D790" s="18">
        <f t="shared" ref="D790" si="1336">-3*D788^2</f>
        <v>-14.527830109111553</v>
      </c>
      <c r="E790" s="19">
        <f t="shared" ref="E790" si="1337">-0.5*C788</f>
        <v>-1.387915854162719</v>
      </c>
    </row>
    <row r="791" spans="1:7" x14ac:dyDescent="0.25">
      <c r="B791" t="s">
        <v>7</v>
      </c>
      <c r="C791" s="20">
        <f t="shared" ref="C791" si="1338">2*C788</f>
        <v>5.551663416650876</v>
      </c>
      <c r="D791" s="14">
        <f t="shared" ref="D791" si="1339">-2*(D788+0.1)</f>
        <v>-4.6011862202685849</v>
      </c>
      <c r="E791" s="21">
        <f>2</f>
        <v>2</v>
      </c>
    </row>
    <row r="792" spans="1:7" x14ac:dyDescent="0.25">
      <c r="C792" s="22">
        <f t="shared" ref="C792" si="1340">-EXP(-C788)</f>
        <v>-6.2297641669620804E-2</v>
      </c>
      <c r="D792" s="23">
        <f t="shared" ref="D792" si="1341">-1/D788^2</f>
        <v>-0.20650021217679729</v>
      </c>
      <c r="E792" s="24">
        <f t="shared" ref="E792" si="1342">1.5</f>
        <v>1.5</v>
      </c>
    </row>
    <row r="793" spans="1:7" x14ac:dyDescent="0.25">
      <c r="B793" t="s">
        <v>12</v>
      </c>
      <c r="C793" cm="1">
        <f t="array" ref="C793:E793">-MMULT(C789:E789,C790:E792)</f>
        <v>0.1550129446500598</v>
      </c>
      <c r="D793">
        <v>-0.36606940502426671</v>
      </c>
      <c r="E793">
        <v>-3.805587413900581E-2</v>
      </c>
      <c r="F793">
        <f>F786</f>
        <v>1</v>
      </c>
      <c r="G793"/>
    </row>
    <row r="794" spans="1:7" x14ac:dyDescent="0.25">
      <c r="B794" t="s">
        <v>13</v>
      </c>
      <c r="C794">
        <f t="shared" ref="C794" si="1343">G789/SUMPRODUCT(_xlfn.ANCHORARRAY(C793),_xlfn.ANCHORARRAY(C793))</f>
        <v>3.5742479360673074E-3</v>
      </c>
      <c r="D794"/>
      <c r="E794"/>
      <c r="G794"/>
    </row>
    <row r="795" spans="1:7" x14ac:dyDescent="0.25">
      <c r="A795" t="s">
        <v>4</v>
      </c>
      <c r="B795" s="16" t="s">
        <v>5</v>
      </c>
      <c r="C795" cm="1">
        <f t="array" ref="C795:E795">C788:E788+C794*(C793:E793)</f>
        <v>2.7763857630229172</v>
      </c>
      <c r="D795">
        <v>2.1992846873189271</v>
      </c>
      <c r="E795">
        <v>-1.6628263718285499</v>
      </c>
      <c r="G795"/>
    </row>
    <row r="796" spans="1:7" x14ac:dyDescent="0.25">
      <c r="A796" s="1">
        <f>1+A789</f>
        <v>114</v>
      </c>
      <c r="B796" t="s">
        <v>6</v>
      </c>
      <c r="C796" s="13">
        <f t="shared" ref="C796" si="1344">3*C795-D795^3-0.5*C795*E795</f>
        <v>-1.3601491087511519E-4</v>
      </c>
      <c r="D796" s="14">
        <f t="shared" ref="D796" si="1345">C795^2-(D795+0.1)^2+2*E795+0.9</f>
        <v>-4.0449118800499617E-3</v>
      </c>
      <c r="E796" s="14">
        <f t="shared" ref="E796" si="1346">EXP(-C795)+1/D795+1.5*E795+2</f>
        <v>2.2716871676684569E-2</v>
      </c>
      <c r="G796" s="1">
        <f>0.5*(C796*C796+D796*D796+E796*E796)</f>
        <v>2.6621803547415164E-4</v>
      </c>
    </row>
    <row r="797" spans="1:7" x14ac:dyDescent="0.25">
      <c r="C797" s="17">
        <f t="shared" ref="C797" si="1347">3-0.5*E795</f>
        <v>3.831413185914275</v>
      </c>
      <c r="D797" s="18">
        <f t="shared" ref="D797" si="1348">-3*D795^2</f>
        <v>-14.510559407626534</v>
      </c>
      <c r="E797" s="19">
        <f t="shared" ref="E797" si="1349">-0.5*C795</f>
        <v>-1.3881928815114586</v>
      </c>
    </row>
    <row r="798" spans="1:7" x14ac:dyDescent="0.25">
      <c r="B798" t="s">
        <v>7</v>
      </c>
      <c r="C798" s="20">
        <f t="shared" ref="C798" si="1350">2*C795</f>
        <v>5.5527715260458343</v>
      </c>
      <c r="D798" s="14">
        <f t="shared" ref="D798" si="1351">-2*(D795+0.1)</f>
        <v>-4.5985693746378544</v>
      </c>
      <c r="E798" s="21">
        <f>2</f>
        <v>2</v>
      </c>
    </row>
    <row r="799" spans="1:7" x14ac:dyDescent="0.25">
      <c r="C799" s="22">
        <f t="shared" ref="C799" si="1352">-EXP(-C795)</f>
        <v>-6.226313492880553E-2</v>
      </c>
      <c r="D799" s="23">
        <f t="shared" ref="D799" si="1353">-1/D795^2</f>
        <v>-0.20674599205480973</v>
      </c>
      <c r="E799" s="24">
        <f t="shared" ref="E799" si="1354">1.5</f>
        <v>1.5</v>
      </c>
    </row>
    <row r="800" spans="1:7" x14ac:dyDescent="0.25">
      <c r="B800" t="s">
        <v>12</v>
      </c>
      <c r="C800" cm="1">
        <f t="array" ref="C800:E800">-MMULT(C796:E796,C797:E799)</f>
        <v>2.4396024482279594E-2</v>
      </c>
      <c r="D800">
        <v>-1.5877838168105007E-2</v>
      </c>
      <c r="E800">
        <v>-2.6174298685983179E-2</v>
      </c>
      <c r="F800">
        <f>F793</f>
        <v>1</v>
      </c>
      <c r="G800"/>
    </row>
    <row r="801" spans="1:7" x14ac:dyDescent="0.25">
      <c r="B801" t="s">
        <v>13</v>
      </c>
      <c r="C801">
        <f t="shared" ref="C801" si="1355">G796/SUMPRODUCT(_xlfn.ANCHORARRAY(C800),_xlfn.ANCHORARRAY(C800))</f>
        <v>0.17373009666275541</v>
      </c>
      <c r="D801"/>
      <c r="E801"/>
      <c r="G801"/>
    </row>
    <row r="802" spans="1:7" x14ac:dyDescent="0.25">
      <c r="A802" t="s">
        <v>4</v>
      </c>
      <c r="B802" s="16" t="s">
        <v>5</v>
      </c>
      <c r="C802" cm="1">
        <f t="array" ref="C802:E802">C795:E795+C801*(C800:E800)</f>
        <v>2.7806240867144107</v>
      </c>
      <c r="D802">
        <v>2.1965262289591867</v>
      </c>
      <c r="E802">
        <v>-1.6673736352693456</v>
      </c>
      <c r="G802"/>
    </row>
    <row r="803" spans="1:7" x14ac:dyDescent="0.25">
      <c r="A803" s="1">
        <f>1+A796</f>
        <v>115</v>
      </c>
      <c r="B803" t="s">
        <v>6</v>
      </c>
      <c r="C803" s="13">
        <f t="shared" ref="C803" si="1356">3*C802-D802^3-0.5*C802*E802</f>
        <v>6.2401460702777634E-2</v>
      </c>
      <c r="D803" s="14">
        <f t="shared" ref="D803" si="1357">C802^2-(D802+0.1)^2+2*E802+0.9</f>
        <v>2.3090320780156603E-2</v>
      </c>
      <c r="E803" s="14">
        <f t="shared" ref="E803" si="1358">EXP(-C802)+1/D802+1.5*E802+2</f>
        <v>1.6203660043700552E-2</v>
      </c>
      <c r="G803" s="1">
        <f>0.5*(C803*C803+D803*D803+E803*E803)</f>
        <v>2.344831905191325E-3</v>
      </c>
    </row>
    <row r="804" spans="1:7" x14ac:dyDescent="0.25">
      <c r="C804" s="17">
        <f t="shared" ref="C804" si="1359">3-0.5*E802</f>
        <v>3.833686817634673</v>
      </c>
      <c r="D804" s="18">
        <f t="shared" ref="D804" si="1360">-3*D802^2</f>
        <v>-14.474182423516996</v>
      </c>
      <c r="E804" s="19">
        <f t="shared" ref="E804" si="1361">-0.5*C802</f>
        <v>-1.3903120433572054</v>
      </c>
    </row>
    <row r="805" spans="1:7" x14ac:dyDescent="0.25">
      <c r="B805" t="s">
        <v>7</v>
      </c>
      <c r="C805" s="20">
        <f t="shared" ref="C805" si="1362">2*C802</f>
        <v>5.5612481734288215</v>
      </c>
      <c r="D805" s="14">
        <f t="shared" ref="D805" si="1363">-2*(D802+0.1)</f>
        <v>-4.5930524579183736</v>
      </c>
      <c r="E805" s="21">
        <f>2</f>
        <v>2</v>
      </c>
    </row>
    <row r="806" spans="1:7" x14ac:dyDescent="0.25">
      <c r="C806" s="22">
        <f t="shared" ref="C806" si="1364">-EXP(-C802)</f>
        <v>-6.1999802048119362E-2</v>
      </c>
      <c r="D806" s="23">
        <f t="shared" ref="D806" si="1365">-1/D802^2</f>
        <v>-0.20726559277888718</v>
      </c>
      <c r="E806" s="24">
        <f t="shared" ref="E806" si="1366">1.5</f>
        <v>1.5</v>
      </c>
    </row>
    <row r="807" spans="1:7" x14ac:dyDescent="0.25">
      <c r="B807" t="s">
        <v>12</v>
      </c>
      <c r="C807" cm="1">
        <f t="array" ref="C807:E807">-MMULT(C803:E803,C804:E806)</f>
        <v>-0.36663403784475368</v>
      </c>
      <c r="D807">
        <v>1.0126236415234977</v>
      </c>
      <c r="E807">
        <v>1.6271370712289096E-2</v>
      </c>
      <c r="F807">
        <f>F800</f>
        <v>1</v>
      </c>
      <c r="G807"/>
    </row>
    <row r="808" spans="1:7" x14ac:dyDescent="0.25">
      <c r="B808" t="s">
        <v>13</v>
      </c>
      <c r="C808">
        <f t="shared" ref="C808" si="1367">G803/SUMPRODUCT(_xlfn.ANCHORARRAY(C807),_xlfn.ANCHORARRAY(C807))</f>
        <v>2.0212466578849882E-3</v>
      </c>
      <c r="D808"/>
      <c r="E808"/>
      <c r="G808"/>
    </row>
    <row r="809" spans="1:7" x14ac:dyDescent="0.25">
      <c r="A809" t="s">
        <v>4</v>
      </c>
      <c r="B809" s="16" t="s">
        <v>5</v>
      </c>
      <c r="C809" cm="1">
        <f t="array" ref="C809:E809">C802:E802+C808*(C807:E807)</f>
        <v>2.7798830288907501</v>
      </c>
      <c r="D809">
        <v>2.1985729911103116</v>
      </c>
      <c r="E809">
        <v>-1.6673407468156742</v>
      </c>
      <c r="G809"/>
    </row>
    <row r="810" spans="1:7" x14ac:dyDescent="0.25">
      <c r="A810" s="1">
        <f>1+A803</f>
        <v>116</v>
      </c>
      <c r="B810" t="s">
        <v>6</v>
      </c>
      <c r="C810" s="13">
        <f t="shared" ref="C810" si="1368">3*C809-D809^3-0.5*C809*E809</f>
        <v>2.9861941443033224E-2</v>
      </c>
      <c r="D810" s="14">
        <f t="shared" ref="D810" si="1369">C809^2-(D809+0.1)^2+2*E809+0.9</f>
        <v>9.6303652216579438E-3</v>
      </c>
      <c r="E810" s="14">
        <f t="shared" ref="E810" si="1370">EXP(-C809)+1/D809+1.5*E809+2</f>
        <v>1.5875126751237367E-2</v>
      </c>
      <c r="G810" s="1">
        <f>0.5*(C810*C810+D810*D810+E810*E810)</f>
        <v>6.1824956520875813E-4</v>
      </c>
    </row>
    <row r="811" spans="1:7" x14ac:dyDescent="0.25">
      <c r="C811" s="17">
        <f t="shared" ref="C811" si="1371">3-0.5*E809</f>
        <v>3.8336703734078372</v>
      </c>
      <c r="D811" s="18">
        <f t="shared" ref="D811" si="1372">-3*D809^2</f>
        <v>-14.501169591719226</v>
      </c>
      <c r="E811" s="19">
        <f t="shared" ref="E811" si="1373">-0.5*C809</f>
        <v>-1.3899415144453751</v>
      </c>
    </row>
    <row r="812" spans="1:7" x14ac:dyDescent="0.25">
      <c r="B812" t="s">
        <v>7</v>
      </c>
      <c r="C812" s="20">
        <f t="shared" ref="C812" si="1374">2*C809</f>
        <v>5.5597660577815002</v>
      </c>
      <c r="D812" s="14">
        <f t="shared" ref="D812" si="1375">-2*(D809+0.1)</f>
        <v>-4.5971459822206233</v>
      </c>
      <c r="E812" s="21">
        <f>2</f>
        <v>2</v>
      </c>
    </row>
    <row r="813" spans="1:7" x14ac:dyDescent="0.25">
      <c r="C813" s="22">
        <f t="shared" ref="C813" si="1376">-EXP(-C809)</f>
        <v>-6.2045764514811877E-2</v>
      </c>
      <c r="D813" s="23">
        <f t="shared" ref="D813" si="1377">-1/D809^2</f>
        <v>-0.20687986448438789</v>
      </c>
      <c r="E813" s="24">
        <f t="shared" ref="E813" si="1378">1.5</f>
        <v>1.5</v>
      </c>
    </row>
    <row r="814" spans="1:7" x14ac:dyDescent="0.25">
      <c r="B814" t="s">
        <v>12</v>
      </c>
      <c r="C814" cm="1">
        <f t="array" ref="C814:E814">-MMULT(C810:E810,C811:E813)</f>
        <v>-0.16703843350995931</v>
      </c>
      <c r="D814">
        <v>0.48058951606044398</v>
      </c>
      <c r="E814">
        <v>-1.5670684565632295E-3</v>
      </c>
      <c r="F814">
        <f>F807</f>
        <v>1</v>
      </c>
      <c r="G814"/>
    </row>
    <row r="815" spans="1:7" x14ac:dyDescent="0.25">
      <c r="B815" t="s">
        <v>13</v>
      </c>
      <c r="C815">
        <f t="shared" ref="C815" si="1379">G810/SUMPRODUCT(_xlfn.ANCHORARRAY(C814),_xlfn.ANCHORARRAY(C814))</f>
        <v>2.3882573777370317E-3</v>
      </c>
      <c r="D815"/>
      <c r="E815"/>
      <c r="G815"/>
    </row>
    <row r="816" spans="1:7" x14ac:dyDescent="0.25">
      <c r="A816" t="s">
        <v>4</v>
      </c>
      <c r="B816" s="16" t="s">
        <v>5</v>
      </c>
      <c r="C816" cm="1">
        <f t="array" ref="C816:E816">C809:E809+C815*(C814:E814)</f>
        <v>2.7794840981195543</v>
      </c>
      <c r="D816">
        <v>2.199720762567706</v>
      </c>
      <c r="E816">
        <v>-1.667344489378477</v>
      </c>
      <c r="G816"/>
    </row>
    <row r="817" spans="1:7" x14ac:dyDescent="0.25">
      <c r="A817" s="1">
        <f>1+A810</f>
        <v>117</v>
      </c>
      <c r="B817" t="s">
        <v>6</v>
      </c>
      <c r="C817" s="13">
        <f t="shared" ref="C817" si="1380">3*C816-D816^3-0.5*C816*E816</f>
        <v>1.1685054429330322E-2</v>
      </c>
      <c r="D817" s="14">
        <f t="shared" ref="D817" si="1381">C816^2-(D816+0.1)^2+2*E816+0.9</f>
        <v>2.127287157526081E-3</v>
      </c>
      <c r="E817" s="14">
        <f t="shared" ref="E817" si="1382">EXP(-C816)+1/D816+1.5*E816+2</f>
        <v>1.5656942903177651E-2</v>
      </c>
      <c r="G817" s="1">
        <f>0.5*(C817*C817+D817*D817+E817*E817)</f>
        <v>1.9310285437017629E-4</v>
      </c>
    </row>
    <row r="818" spans="1:7" x14ac:dyDescent="0.25">
      <c r="C818" s="17">
        <f t="shared" ref="C818" si="1383">3-0.5*E816</f>
        <v>3.8336722446892386</v>
      </c>
      <c r="D818" s="18">
        <f t="shared" ref="D818" si="1384">-3*D816^2</f>
        <v>-14.516314299814351</v>
      </c>
      <c r="E818" s="19">
        <f t="shared" ref="E818" si="1385">-0.5*C816</f>
        <v>-1.3897420490597772</v>
      </c>
    </row>
    <row r="819" spans="1:7" x14ac:dyDescent="0.25">
      <c r="B819" t="s">
        <v>7</v>
      </c>
      <c r="C819" s="20">
        <f t="shared" ref="C819" si="1386">2*C816</f>
        <v>5.5589681962391087</v>
      </c>
      <c r="D819" s="14">
        <f t="shared" ref="D819" si="1387">-2*(D816+0.1)</f>
        <v>-4.5994415251354122</v>
      </c>
      <c r="E819" s="21">
        <f>2</f>
        <v>2</v>
      </c>
    </row>
    <row r="820" spans="1:7" x14ac:dyDescent="0.25">
      <c r="C820" s="22">
        <f t="shared" ref="C820" si="1388">-EXP(-C816)</f>
        <v>-6.2070521417315977E-2</v>
      </c>
      <c r="D820" s="23">
        <f t="shared" ref="D820" si="1389">-1/D816^2</f>
        <v>-0.20666402903926978</v>
      </c>
      <c r="E820" s="24">
        <f t="shared" ref="E820" si="1390">1.5</f>
        <v>1.5</v>
      </c>
    </row>
    <row r="821" spans="1:7" x14ac:dyDescent="0.25">
      <c r="B821" t="s">
        <v>12</v>
      </c>
      <c r="C821" cm="1">
        <f t="array" ref="C821:E821">-MMULT(C817:E817,C818:E820)</f>
        <v>-5.5650355886560698E-2</v>
      </c>
      <c r="D821">
        <v>0.18264398249761798</v>
      </c>
      <c r="E821">
        <v>-1.1500777183826093E-2</v>
      </c>
      <c r="F821">
        <f>F814</f>
        <v>1</v>
      </c>
      <c r="G821"/>
    </row>
    <row r="822" spans="1:7" x14ac:dyDescent="0.25">
      <c r="B822" t="s">
        <v>13</v>
      </c>
      <c r="C822">
        <f t="shared" ref="C822" si="1391">G817/SUMPRODUCT(_xlfn.ANCHORARRAY(C821),_xlfn.ANCHORARRAY(C821))</f>
        <v>5.2777568502346663E-3</v>
      </c>
      <c r="D822"/>
      <c r="E822"/>
      <c r="G822"/>
    </row>
    <row r="823" spans="1:7" x14ac:dyDescent="0.25">
      <c r="A823" t="s">
        <v>4</v>
      </c>
      <c r="B823" s="16" t="s">
        <v>5</v>
      </c>
      <c r="C823" cm="1">
        <f t="array" ref="C823:E823">C816:E816+C822*(C821:E821)</f>
        <v>2.7791903890725562</v>
      </c>
      <c r="D823">
        <v>2.2006847130974871</v>
      </c>
      <c r="E823">
        <v>-1.6674051876840419</v>
      </c>
      <c r="G823"/>
    </row>
    <row r="824" spans="1:7" x14ac:dyDescent="0.25">
      <c r="A824" s="1">
        <f>1+A817</f>
        <v>118</v>
      </c>
      <c r="B824" t="s">
        <v>6</v>
      </c>
      <c r="C824" s="13">
        <f t="shared" ref="C824" si="1392">3*C823-D823^3-0.5*C823*E823</f>
        <v>-3.3557254196261432E-3</v>
      </c>
      <c r="D824" s="14">
        <f t="shared" ref="D824" si="1393">C823^2-(D823+0.1)^2+2*E823+0.9</f>
        <v>-4.0613057352841819E-3</v>
      </c>
      <c r="E824" s="14">
        <f t="shared" ref="E824" si="1394">EXP(-C823)+1/D823+1.5*E823+2</f>
        <v>1.5385002156033556E-2</v>
      </c>
      <c r="G824" s="1">
        <f>0.5*(C824*C824+D824*D824+E824*E824)</f>
        <v>1.3222669435426722E-4</v>
      </c>
    </row>
    <row r="825" spans="1:7" x14ac:dyDescent="0.25">
      <c r="C825" s="17">
        <f t="shared" ref="C825" si="1395">3-0.5*E823</f>
        <v>3.8337025938420211</v>
      </c>
      <c r="D825" s="18">
        <f t="shared" ref="D825" si="1396">-3*D823^2</f>
        <v>-14.529039619382907</v>
      </c>
      <c r="E825" s="19">
        <f t="shared" ref="E825" si="1397">-0.5*C823</f>
        <v>-1.3895951945362781</v>
      </c>
    </row>
    <row r="826" spans="1:7" x14ac:dyDescent="0.25">
      <c r="B826" t="s">
        <v>7</v>
      </c>
      <c r="C826" s="20">
        <f t="shared" ref="C826" si="1398">2*C823</f>
        <v>5.5583807781451124</v>
      </c>
      <c r="D826" s="14">
        <f t="shared" ref="D826" si="1399">-2*(D823+0.1)</f>
        <v>-4.6013694261949745</v>
      </c>
      <c r="E826" s="21">
        <f>2</f>
        <v>2</v>
      </c>
    </row>
    <row r="827" spans="1:7" x14ac:dyDescent="0.25">
      <c r="C827" s="22">
        <f t="shared" ref="C827" si="1400">-EXP(-C823)</f>
        <v>-6.2088754768527162E-2</v>
      </c>
      <c r="D827" s="23">
        <f t="shared" ref="D827" si="1401">-1/D823^2</f>
        <v>-0.20648302149288372</v>
      </c>
      <c r="E827" s="24">
        <f t="shared" ref="E827" si="1402">1.5</f>
        <v>1.5</v>
      </c>
    </row>
    <row r="828" spans="1:7" x14ac:dyDescent="0.25">
      <c r="B828" t="s">
        <v>12</v>
      </c>
      <c r="C828" cm="1">
        <f t="array" ref="C828:E828">-MMULT(C824:E824,C825:E827)</f>
        <v>3.639437260459568E-2</v>
      </c>
      <c r="D828">
        <v>-6.4266293883433162E-2</v>
      </c>
      <c r="E828">
        <v>-1.9617991680777692E-2</v>
      </c>
      <c r="F828">
        <f>F821</f>
        <v>1</v>
      </c>
      <c r="G828"/>
    </row>
    <row r="829" spans="1:7" x14ac:dyDescent="0.25">
      <c r="B829" t="s">
        <v>13</v>
      </c>
      <c r="C829">
        <f t="shared" ref="C829" si="1403">G824/SUMPRODUCT(_xlfn.ANCHORARRAY(C828),_xlfn.ANCHORARRAY(C828))</f>
        <v>2.264321484285561E-2</v>
      </c>
      <c r="D829"/>
      <c r="E829"/>
      <c r="G829"/>
    </row>
    <row r="830" spans="1:7" x14ac:dyDescent="0.25">
      <c r="A830" t="s">
        <v>4</v>
      </c>
      <c r="B830" s="16" t="s">
        <v>5</v>
      </c>
      <c r="C830" cm="1">
        <f t="array" ref="C830:E830">C823:E823+C829*(C828:E828)</f>
        <v>2.7800144746705131</v>
      </c>
      <c r="D830">
        <v>2.1992295175979306</v>
      </c>
      <c r="E830">
        <v>-1.6678494020844552</v>
      </c>
      <c r="G830"/>
    </row>
    <row r="831" spans="1:7" x14ac:dyDescent="0.25">
      <c r="A831" s="1">
        <f>1+A824</f>
        <v>119</v>
      </c>
      <c r="B831" t="s">
        <v>6</v>
      </c>
      <c r="C831" s="13">
        <f t="shared" ref="C831" si="1404">3*C830-D830^3-0.5*C830*E830</f>
        <v>2.154965058498215E-2</v>
      </c>
      <c r="D831" s="14">
        <f t="shared" ref="D831" si="1405">C830^2-(D830+0.1)^2+2*E830+0.9</f>
        <v>6.3253006150453261E-3</v>
      </c>
      <c r="E831" s="14">
        <f t="shared" ref="E831" si="1406">EXP(-C830)+1/D830+1.5*E830+2</f>
        <v>1.4968207165756642E-2</v>
      </c>
      <c r="G831" s="1">
        <f>0.5*(C831*C831+D831*D831+E831*E831)</f>
        <v>3.6422204698126137E-4</v>
      </c>
    </row>
    <row r="832" spans="1:7" x14ac:dyDescent="0.25">
      <c r="C832" s="17">
        <f t="shared" ref="C832" si="1407">3-0.5*E830</f>
        <v>3.8339247010422275</v>
      </c>
      <c r="D832" s="18">
        <f t="shared" ref="D832" si="1408">-3*D830^2</f>
        <v>-14.509831413222079</v>
      </c>
      <c r="E832" s="19">
        <f t="shared" ref="E832" si="1409">-0.5*C830</f>
        <v>-1.3900072373352566</v>
      </c>
    </row>
    <row r="833" spans="1:7" x14ac:dyDescent="0.25">
      <c r="B833" t="s">
        <v>7</v>
      </c>
      <c r="C833" s="20">
        <f t="shared" ref="C833" si="1410">2*C830</f>
        <v>5.5600289493410262</v>
      </c>
      <c r="D833" s="14">
        <f t="shared" ref="D833" si="1411">-2*(D830+0.1)</f>
        <v>-4.5984590351958614</v>
      </c>
      <c r="E833" s="21">
        <f>2</f>
        <v>2</v>
      </c>
    </row>
    <row r="834" spans="1:7" x14ac:dyDescent="0.25">
      <c r="C834" s="22">
        <f t="shared" ref="C834" si="1412">-EXP(-C830)</f>
        <v>-6.2037609396903899E-2</v>
      </c>
      <c r="D834" s="23">
        <f t="shared" ref="D834" si="1413">-1/D830^2</f>
        <v>-0.20675636501649847</v>
      </c>
      <c r="E834" s="24">
        <f t="shared" ref="E834" si="1414">1.5</f>
        <v>1.5</v>
      </c>
    </row>
    <row r="835" spans="1:7" x14ac:dyDescent="0.25">
      <c r="B835" t="s">
        <v>12</v>
      </c>
      <c r="C835" cm="1">
        <f t="array" ref="C835:E835">-MMULT(C831:E831,C832:E834)</f>
        <v>-0.11686000042000762</v>
      </c>
      <c r="D835">
        <v>0.34486320486992439</v>
      </c>
      <c r="E835">
        <v>-5.1487417035544804E-3</v>
      </c>
      <c r="F835">
        <f>F828</f>
        <v>1</v>
      </c>
      <c r="G835"/>
    </row>
    <row r="836" spans="1:7" x14ac:dyDescent="0.25">
      <c r="B836" t="s">
        <v>13</v>
      </c>
      <c r="C836">
        <f t="shared" ref="C836" si="1415">G831/SUMPRODUCT(_xlfn.ANCHORARRAY(C835),_xlfn.ANCHORARRAY(C835))</f>
        <v>2.7464950666344075E-3</v>
      </c>
      <c r="D836"/>
      <c r="E836"/>
      <c r="G836"/>
    </row>
    <row r="837" spans="1:7" x14ac:dyDescent="0.25">
      <c r="A837" t="s">
        <v>4</v>
      </c>
      <c r="B837" s="16" t="s">
        <v>5</v>
      </c>
      <c r="C837" cm="1">
        <f t="array" ref="C837:E837">C830:E830+C836*(C835:E835)</f>
        <v>2.7796935192558725</v>
      </c>
      <c r="D837">
        <v>2.2001766826887694</v>
      </c>
      <c r="E837">
        <v>-1.6678635430781434</v>
      </c>
      <c r="G837"/>
    </row>
    <row r="838" spans="1:7" x14ac:dyDescent="0.25">
      <c r="A838" s="1">
        <f>1+A831</f>
        <v>120</v>
      </c>
      <c r="B838" t="s">
        <v>6</v>
      </c>
      <c r="C838" s="13">
        <f t="shared" ref="C838" si="1416">3*C837-D837^3-0.5*C837*E837</f>
        <v>6.5896599391974675E-3</v>
      </c>
      <c r="D838" s="14">
        <f t="shared" ref="D838" si="1417">C837^2-(D837+0.1)^2+2*E837+0.9</f>
        <v>1.5620325169829474E-4</v>
      </c>
      <c r="E838" s="14">
        <f t="shared" ref="E838" si="1418">EXP(-C837)+1/D837+1.5*E837+2</f>
        <v>1.4771162071158361E-2</v>
      </c>
      <c r="G838" s="1">
        <f>0.5*(C838*C838+D838*D838+E838*E838)</f>
        <v>1.3081762325126622E-4</v>
      </c>
    </row>
    <row r="839" spans="1:7" x14ac:dyDescent="0.25">
      <c r="C839" s="17">
        <f t="shared" ref="C839" si="1419">3-0.5*E837</f>
        <v>3.8339317715390715</v>
      </c>
      <c r="D839" s="18">
        <f t="shared" ref="D839" si="1420">-3*D837^2</f>
        <v>-14.522332305142076</v>
      </c>
      <c r="E839" s="19">
        <f t="shared" ref="E839" si="1421">-0.5*C837</f>
        <v>-1.3898467596279362</v>
      </c>
    </row>
    <row r="840" spans="1:7" x14ac:dyDescent="0.25">
      <c r="B840" t="s">
        <v>7</v>
      </c>
      <c r="C840" s="20">
        <f t="shared" ref="C840" si="1422">2*C837</f>
        <v>5.559387038511745</v>
      </c>
      <c r="D840" s="14">
        <f t="shared" ref="D840" si="1423">-2*(D837+0.1)</f>
        <v>-4.600353365377539</v>
      </c>
      <c r="E840" s="21">
        <f>2</f>
        <v>2</v>
      </c>
    </row>
    <row r="841" spans="1:7" x14ac:dyDescent="0.25">
      <c r="C841" s="22">
        <f t="shared" ref="C841" si="1424">-EXP(-C837)</f>
        <v>-6.2057523899213915E-2</v>
      </c>
      <c r="D841" s="23">
        <f t="shared" ref="D841" si="1425">-1/D837^2</f>
        <v>-0.20657838816549862</v>
      </c>
      <c r="E841" s="24">
        <f t="shared" ref="E841" si="1426">1.5</f>
        <v>1.5</v>
      </c>
    </row>
    <row r="842" spans="1:7" x14ac:dyDescent="0.25">
      <c r="B842" t="s">
        <v>12</v>
      </c>
      <c r="C842" cm="1">
        <f t="array" ref="C842:E842">-MMULT(C838:E838,C839:E841)</f>
        <v>-2.5216039194142212E-2</v>
      </c>
      <c r="D842">
        <v>9.9467224421532344E-2</v>
      </c>
      <c r="E842">
        <v>-1.3310532096590508E-2</v>
      </c>
      <c r="F842">
        <f>F835</f>
        <v>1</v>
      </c>
      <c r="G842"/>
    </row>
    <row r="843" spans="1:7" x14ac:dyDescent="0.25">
      <c r="B843" t="s">
        <v>13</v>
      </c>
      <c r="C843">
        <f t="shared" ref="C843" si="1427">G838/SUMPRODUCT(_xlfn.ANCHORARRAY(C842),_xlfn.ANCHORARRAY(C842))</f>
        <v>1.22182410339906E-2</v>
      </c>
      <c r="D843"/>
      <c r="E843"/>
      <c r="G843"/>
    </row>
    <row r="844" spans="1:7" x14ac:dyDescent="0.25">
      <c r="A844" t="s">
        <v>4</v>
      </c>
      <c r="B844" s="16" t="s">
        <v>5</v>
      </c>
      <c r="C844" cm="1">
        <f t="array" ref="C844:E844">C837:E837+C843*(C842:E842)</f>
        <v>2.779385423611076</v>
      </c>
      <c r="D844">
        <v>2.2013919972117337</v>
      </c>
      <c r="E844">
        <v>-1.6680261743675902</v>
      </c>
      <c r="G844"/>
    </row>
    <row r="845" spans="1:7" x14ac:dyDescent="0.25">
      <c r="A845" s="1">
        <f>1+A838</f>
        <v>121</v>
      </c>
      <c r="B845" t="s">
        <v>6</v>
      </c>
      <c r="C845" s="13">
        <f t="shared" ref="C845" si="1428">3*C844-D844^3-0.5*C844*E844</f>
        <v>-1.2024502290013395E-2</v>
      </c>
      <c r="D845" s="14">
        <f t="shared" ref="D845" si="1429">C844^2-(D844+0.1)^2+2*E844+0.9</f>
        <v>-7.4741405836727948E-3</v>
      </c>
      <c r="E845" s="14">
        <f t="shared" ref="E845" si="1430">EXP(-C844)+1/D844+1.5*E844+2</f>
        <v>1.4295418620729361E-2</v>
      </c>
      <c r="G845" s="1">
        <f>0.5*(C845*C845+D845*D845+E845*E845)</f>
        <v>2.0240521316446892E-4</v>
      </c>
    </row>
    <row r="846" spans="1:7" x14ac:dyDescent="0.25">
      <c r="C846" s="17">
        <f t="shared" ref="C846" si="1431">3-0.5*E844</f>
        <v>3.834013087183795</v>
      </c>
      <c r="D846" s="18">
        <f t="shared" ref="D846" si="1432">-3*D844^2</f>
        <v>-14.538380176163599</v>
      </c>
      <c r="E846" s="19">
        <f t="shared" ref="E846" si="1433">-0.5*C844</f>
        <v>-1.389692711805538</v>
      </c>
    </row>
    <row r="847" spans="1:7" x14ac:dyDescent="0.25">
      <c r="B847" t="s">
        <v>7</v>
      </c>
      <c r="C847" s="20">
        <f t="shared" ref="C847" si="1434">2*C844</f>
        <v>5.558770847222152</v>
      </c>
      <c r="D847" s="14">
        <f t="shared" ref="D847" si="1435">-2*(D844+0.1)</f>
        <v>-4.6027839944234676</v>
      </c>
      <c r="E847" s="21">
        <f>2</f>
        <v>2</v>
      </c>
    </row>
    <row r="848" spans="1:7" x14ac:dyDescent="0.25">
      <c r="C848" s="22">
        <f t="shared" ref="C848" si="1436">-EXP(-C844)</f>
        <v>-6.2076646497697507E-2</v>
      </c>
      <c r="D848" s="23">
        <f t="shared" ref="D848" si="1437">-1/D844^2</f>
        <v>-0.20635036115774782</v>
      </c>
      <c r="E848" s="24">
        <f t="shared" ref="E848" si="1438">1.5</f>
        <v>1.5</v>
      </c>
    </row>
    <row r="849" spans="1:7" x14ac:dyDescent="0.25">
      <c r="B849" t="s">
        <v>12</v>
      </c>
      <c r="C849" cm="1">
        <f t="array" ref="C849:E849">-MMULT(C845:E845,C846:E848)</f>
        <v>8.853654557959878E-2</v>
      </c>
      <c r="D849">
        <v>-0.20626877557667589</v>
      </c>
      <c r="E849">
        <v>-2.3205209959269068E-2</v>
      </c>
      <c r="F849">
        <f>F842</f>
        <v>1</v>
      </c>
      <c r="G849"/>
    </row>
    <row r="850" spans="1:7" x14ac:dyDescent="0.25">
      <c r="B850" t="s">
        <v>13</v>
      </c>
      <c r="C850">
        <f t="shared" ref="C850" si="1439">G845/SUMPRODUCT(_xlfn.ANCHORARRAY(C849),_xlfn.ANCHORARRAY(C849))</f>
        <v>3.9746519441270006E-3</v>
      </c>
      <c r="D850"/>
      <c r="E850"/>
      <c r="G850"/>
    </row>
    <row r="851" spans="1:7" x14ac:dyDescent="0.25">
      <c r="A851" t="s">
        <v>4</v>
      </c>
      <c r="B851" s="16" t="s">
        <v>5</v>
      </c>
      <c r="C851" cm="1">
        <f t="array" ref="C851:E851">C844:E844+C850*(C849:E849)</f>
        <v>2.7797373255640903</v>
      </c>
      <c r="D851">
        <v>2.2005721506218752</v>
      </c>
      <c r="E851">
        <v>-1.6681184070004687</v>
      </c>
      <c r="G851"/>
    </row>
    <row r="852" spans="1:7" x14ac:dyDescent="0.25">
      <c r="A852" s="1">
        <f>1+A845</f>
        <v>122</v>
      </c>
      <c r="B852" t="s">
        <v>6</v>
      </c>
      <c r="C852" s="13">
        <f t="shared" ref="C852" si="1440">3*C851-D851^3-0.5*C851*E851</f>
        <v>1.3676886233970897E-3</v>
      </c>
      <c r="D852" s="14">
        <f t="shared" ref="D852" si="1441">C851^2-(D851+0.1)^2+2*E851+0.9</f>
        <v>-1.9294350836970287E-3</v>
      </c>
      <c r="E852" s="14">
        <f t="shared" ref="E852" si="1442">EXP(-C851)+1/D851+1.5*E851+2</f>
        <v>1.4304467289549372E-2</v>
      </c>
      <c r="G852" s="1">
        <f>0.5*(C852*C852+D852*D852+E852*E852)</f>
        <v>1.0510553817527937E-4</v>
      </c>
    </row>
    <row r="853" spans="1:7" x14ac:dyDescent="0.25">
      <c r="C853" s="17">
        <f t="shared" ref="C853" si="1443">3-0.5*E851</f>
        <v>3.8340592035002343</v>
      </c>
      <c r="D853" s="18">
        <f t="shared" ref="D853" si="1444">-3*D851^2</f>
        <v>-14.527553370277754</v>
      </c>
      <c r="E853" s="19">
        <f t="shared" ref="E853" si="1445">-0.5*C851</f>
        <v>-1.3898686627820451</v>
      </c>
    </row>
    <row r="854" spans="1:7" x14ac:dyDescent="0.25">
      <c r="B854" t="s">
        <v>7</v>
      </c>
      <c r="C854" s="20">
        <f t="shared" ref="C854" si="1446">2*C851</f>
        <v>5.5594746511281805</v>
      </c>
      <c r="D854" s="14">
        <f t="shared" ref="D854" si="1447">-2*(D851+0.1)</f>
        <v>-4.6011443012437505</v>
      </c>
      <c r="E854" s="21">
        <f>2</f>
        <v>2</v>
      </c>
    </row>
    <row r="855" spans="1:7" x14ac:dyDescent="0.25">
      <c r="C855" s="22">
        <f t="shared" ref="C855" si="1448">-EXP(-C851)</f>
        <v>-6.2054805447737851E-2</v>
      </c>
      <c r="D855" s="23">
        <f t="shared" ref="D855" si="1449">-1/D851^2</f>
        <v>-0.20650414584865795</v>
      </c>
      <c r="E855" s="24">
        <f t="shared" ref="E855" si="1450">1.5</f>
        <v>1.5</v>
      </c>
    </row>
    <row r="856" spans="1:7" x14ac:dyDescent="0.25">
      <c r="B856" t="s">
        <v>12</v>
      </c>
      <c r="C856" cm="1">
        <f t="array" ref="C856:E856">-MMULT(C852:E852,C853:E855)</f>
        <v>6.3705072194393478E-3</v>
      </c>
      <c r="D856">
        <v>1.3945492029799051E-2</v>
      </c>
      <c r="E856">
        <v>-1.5696923208826871E-2</v>
      </c>
      <c r="F856">
        <f>F849</f>
        <v>1</v>
      </c>
      <c r="G856"/>
    </row>
    <row r="857" spans="1:7" x14ac:dyDescent="0.25">
      <c r="B857" t="s">
        <v>13</v>
      </c>
      <c r="C857">
        <f t="shared" ref="C857" si="1451">G852/SUMPRODUCT(_xlfn.ANCHORARRAY(C856),_xlfn.ANCHORARRAY(C856))</f>
        <v>0.21830880103544506</v>
      </c>
      <c r="D857"/>
      <c r="E857"/>
      <c r="G857"/>
    </row>
    <row r="858" spans="1:7" x14ac:dyDescent="0.25">
      <c r="A858" t="s">
        <v>4</v>
      </c>
      <c r="B858" s="16" t="s">
        <v>5</v>
      </c>
      <c r="C858" cm="1">
        <f t="array" ref="C858:E858">C851:E851+C857*(C856:E856)</f>
        <v>2.7811280633571536</v>
      </c>
      <c r="D858">
        <v>2.20361657426675</v>
      </c>
      <c r="E858">
        <v>-1.671545183486133</v>
      </c>
      <c r="G858"/>
    </row>
    <row r="859" spans="1:7" x14ac:dyDescent="0.25">
      <c r="A859" s="1">
        <f>1+A852</f>
        <v>123</v>
      </c>
      <c r="B859" t="s">
        <v>6</v>
      </c>
      <c r="C859" s="13">
        <f t="shared" ref="C859" si="1452">3*C858-D858^3-0.5*C858*E858</f>
        <v>-3.2824231525963032E-2</v>
      </c>
      <c r="D859" s="14">
        <f t="shared" ref="D859" si="1453">C858^2-(D858+0.1)^2+2*E858+0.9</f>
        <v>-1.5066383416030837E-2</v>
      </c>
      <c r="E859" s="14">
        <f t="shared" ref="E859" si="1454">EXP(-C858)+1/D858+1.5*E858+2</f>
        <v>8.4502430435646758E-3</v>
      </c>
      <c r="G859" s="1">
        <f>0.5*(C859*C859+D859*D859+E859*E859)</f>
        <v>6.8791634600209373E-4</v>
      </c>
    </row>
    <row r="860" spans="1:7" x14ac:dyDescent="0.25">
      <c r="C860" s="17">
        <f t="shared" ref="C860" si="1455">3-0.5*E858</f>
        <v>3.8357725917430665</v>
      </c>
      <c r="D860" s="18">
        <f t="shared" ref="D860" si="1456">-3*D858^2</f>
        <v>-14.567778019149381</v>
      </c>
      <c r="E860" s="19">
        <f t="shared" ref="E860" si="1457">-0.5*C858</f>
        <v>-1.3905640316785768</v>
      </c>
    </row>
    <row r="861" spans="1:7" x14ac:dyDescent="0.25">
      <c r="B861" t="s">
        <v>7</v>
      </c>
      <c r="C861" s="20">
        <f t="shared" ref="C861" si="1458">2*C858</f>
        <v>5.5622561267143071</v>
      </c>
      <c r="D861" s="14">
        <f t="shared" ref="D861" si="1459">-2*(D858+0.1)</f>
        <v>-4.6072331485335001</v>
      </c>
      <c r="E861" s="21">
        <f>2</f>
        <v>2</v>
      </c>
    </row>
    <row r="862" spans="1:7" x14ac:dyDescent="0.25">
      <c r="C862" s="22">
        <f t="shared" ref="C862" si="1460">-EXP(-C858)</f>
        <v>-6.196856346845088E-2</v>
      </c>
      <c r="D862" s="23">
        <f t="shared" ref="D862" si="1461">-1/D858^2</f>
        <v>-0.20593394518069211</v>
      </c>
      <c r="E862" s="24">
        <f t="shared" ref="E862" si="1462">1.5</f>
        <v>1.5</v>
      </c>
    </row>
    <row r="863" spans="1:7" x14ac:dyDescent="0.25">
      <c r="B863" t="s">
        <v>12</v>
      </c>
      <c r="C863" cm="1">
        <f t="array" ref="C863:E863">-MMULT(C859:E859,C860:E862)</f>
        <v>0.21023302051793102</v>
      </c>
      <c r="D863">
        <v>-0.54585026773455014</v>
      </c>
      <c r="E863">
        <v>-2.8186793460779534E-2</v>
      </c>
      <c r="F863">
        <f>F856</f>
        <v>1</v>
      </c>
      <c r="G863"/>
    </row>
    <row r="864" spans="1:7" x14ac:dyDescent="0.25">
      <c r="B864" t="s">
        <v>13</v>
      </c>
      <c r="C864">
        <f t="shared" ref="C864" si="1463">G859/SUMPRODUCT(_xlfn.ANCHORARRAY(C863),_xlfn.ANCHORARRAY(C863))</f>
        <v>2.005909053471228E-3</v>
      </c>
      <c r="D864"/>
      <c r="E864"/>
      <c r="G864"/>
    </row>
    <row r="865" spans="1:7" x14ac:dyDescent="0.25">
      <c r="A865" t="s">
        <v>4</v>
      </c>
      <c r="B865" s="16" t="s">
        <v>5</v>
      </c>
      <c r="C865" cm="1">
        <f t="array" ref="C865:E865">C858:E858+C864*(C863:E863)</f>
        <v>2.7815497716763491</v>
      </c>
      <c r="D865">
        <v>2.2025216482728616</v>
      </c>
      <c r="E865">
        <v>-1.6716017236303242</v>
      </c>
      <c r="G865"/>
    </row>
    <row r="866" spans="1:7" x14ac:dyDescent="0.25">
      <c r="A866" s="1">
        <f>1+A859</f>
        <v>124</v>
      </c>
      <c r="B866" t="s">
        <v>6</v>
      </c>
      <c r="C866" s="13">
        <f t="shared" ref="C866" si="1464">3*C865-D865^3-0.5*C865*E865</f>
        <v>-1.51853050645534E-2</v>
      </c>
      <c r="D866" s="14">
        <f t="shared" ref="D866" si="1465">C865^2-(D865+0.1)^2+2*E865+0.9</f>
        <v>-7.7902557130736794E-3</v>
      </c>
      <c r="E866" s="14">
        <f t="shared" ref="E866" si="1466">EXP(-C865)+1/D865+1.5*E865+2</f>
        <v>8.5649002002310404E-3</v>
      </c>
      <c r="G866" s="1">
        <f>0.5*(C866*C866+D866*D866+E866*E866)</f>
        <v>1.8231954470927298E-4</v>
      </c>
    </row>
    <row r="867" spans="1:7" x14ac:dyDescent="0.25">
      <c r="C867" s="17">
        <f t="shared" ref="C867" si="1467">3-0.5*E865</f>
        <v>3.8358008618151622</v>
      </c>
      <c r="D867" s="18">
        <f t="shared" ref="D867" si="1468">-3*D865^2</f>
        <v>-14.553304833331808</v>
      </c>
      <c r="E867" s="19">
        <f t="shared" ref="E867" si="1469">-0.5*C865</f>
        <v>-1.3907748858381745</v>
      </c>
    </row>
    <row r="868" spans="1:7" x14ac:dyDescent="0.25">
      <c r="B868" t="s">
        <v>7</v>
      </c>
      <c r="C868" s="20">
        <f t="shared" ref="C868" si="1470">2*C865</f>
        <v>5.5630995433526982</v>
      </c>
      <c r="D868" s="14">
        <f t="shared" ref="D868" si="1471">-2*(D865+0.1)</f>
        <v>-4.6050432965457233</v>
      </c>
      <c r="E868" s="21">
        <f>2</f>
        <v>2</v>
      </c>
    </row>
    <row r="869" spans="1:7" x14ac:dyDescent="0.25">
      <c r="C869" s="22">
        <f t="shared" ref="C869" si="1472">-EXP(-C865)</f>
        <v>-6.1942436319112955E-2</v>
      </c>
      <c r="D869" s="23">
        <f t="shared" ref="D869" si="1473">-1/D865^2</f>
        <v>-0.20613874541602556</v>
      </c>
      <c r="E869" s="24">
        <f t="shared" ref="E869" si="1474">1.5</f>
        <v>1.5</v>
      </c>
    </row>
    <row r="870" spans="1:7" x14ac:dyDescent="0.25">
      <c r="B870" t="s">
        <v>12</v>
      </c>
      <c r="C870" cm="1">
        <f t="array" ref="C870:E870">-MMULT(C866:E866,C867:E869)</f>
        <v>0.10211630503877338</v>
      </c>
      <c r="D870">
        <v>-0.25510528065956084</v>
      </c>
      <c r="E870">
        <v>-1.8386179791771311E-2</v>
      </c>
      <c r="F870">
        <f>F863</f>
        <v>1</v>
      </c>
      <c r="G870"/>
    </row>
    <row r="871" spans="1:7" x14ac:dyDescent="0.25">
      <c r="B871" t="s">
        <v>13</v>
      </c>
      <c r="C871">
        <f t="shared" ref="C871" si="1475">G866/SUMPRODUCT(_xlfn.ANCHORARRAY(C870),_xlfn.ANCHORARRAY(C870))</f>
        <v>2.4038599414370606E-3</v>
      </c>
      <c r="D871"/>
      <c r="E871"/>
      <c r="G871"/>
    </row>
    <row r="872" spans="1:7" x14ac:dyDescent="0.25">
      <c r="A872" t="s">
        <v>4</v>
      </c>
      <c r="B872" s="16" t="s">
        <v>5</v>
      </c>
      <c r="C872" cm="1">
        <f t="array" ref="C872:E872">C865:E865+C871*(C870:E870)</f>
        <v>2.7817952449713994</v>
      </c>
      <c r="D872">
        <v>2.2019084109078348</v>
      </c>
      <c r="E872">
        <v>-1.6716459214314017</v>
      </c>
      <c r="G872"/>
    </row>
    <row r="873" spans="1:7" x14ac:dyDescent="0.25">
      <c r="A873" s="1">
        <f>1+A866</f>
        <v>125</v>
      </c>
      <c r="B873" t="s">
        <v>6</v>
      </c>
      <c r="C873" s="13">
        <f t="shared" ref="C873" si="1476">3*C872-D872^3-0.5*C872*E872</f>
        <v>-5.260098073678332E-3</v>
      </c>
      <c r="D873" s="14">
        <f t="shared" ref="D873" si="1477">C872^2-(D872+0.1)^2+2*E872+0.9</f>
        <v>-3.6893901255486972E-3</v>
      </c>
      <c r="E873" s="14">
        <f t="shared" ref="E873" si="1478">EXP(-C872)+1/D872+1.5*E872+2</f>
        <v>8.6098473378952711E-3</v>
      </c>
      <c r="G873" s="1">
        <f>0.5*(C873*C873+D873*D873+E873*E873)</f>
        <v>5.7704851212536514E-5</v>
      </c>
    </row>
    <row r="874" spans="1:7" x14ac:dyDescent="0.25">
      <c r="C874" s="17">
        <f t="shared" ref="C874" si="1479">3-0.5*E872</f>
        <v>3.8358229607157011</v>
      </c>
      <c r="D874" s="18">
        <f t="shared" ref="D874" si="1480">-3*D872^2</f>
        <v>-14.545201950079999</v>
      </c>
      <c r="E874" s="19">
        <f t="shared" ref="E874" si="1481">-0.5*C872</f>
        <v>-1.3908976224856997</v>
      </c>
    </row>
    <row r="875" spans="1:7" x14ac:dyDescent="0.25">
      <c r="B875" t="s">
        <v>7</v>
      </c>
      <c r="C875" s="20">
        <f t="shared" ref="C875" si="1482">2*C872</f>
        <v>5.5635904899427988</v>
      </c>
      <c r="D875" s="14">
        <f t="shared" ref="D875" si="1483">-2*(D872+0.1)</f>
        <v>-4.6038168218156699</v>
      </c>
      <c r="E875" s="21">
        <f>2</f>
        <v>2</v>
      </c>
    </row>
    <row r="876" spans="1:7" x14ac:dyDescent="0.25">
      <c r="C876" s="22">
        <f t="shared" ref="C876" si="1484">-EXP(-C872)</f>
        <v>-6.1927232971250551E-2</v>
      </c>
      <c r="D876" s="23">
        <f t="shared" ref="D876" si="1485">-1/D872^2</f>
        <v>-0.20625358178567607</v>
      </c>
      <c r="E876" s="24">
        <f t="shared" ref="E876" si="1486">1.5</f>
        <v>1.5</v>
      </c>
    </row>
    <row r="877" spans="1:7" x14ac:dyDescent="0.25">
      <c r="B877" t="s">
        <v>12</v>
      </c>
      <c r="C877" cm="1">
        <f t="array" ref="C877:E877">-MMULT(C873:E873,C874:E876)</f>
        <v>4.1236244804764115E-2</v>
      </c>
      <c r="D877">
        <v>-9.1718653229051067E-2</v>
      </c>
      <c r="E877">
        <v>-1.2852248660466314E-2</v>
      </c>
      <c r="F877">
        <f>F870</f>
        <v>1</v>
      </c>
      <c r="G877"/>
    </row>
    <row r="878" spans="1:7" x14ac:dyDescent="0.25">
      <c r="B878" t="s">
        <v>13</v>
      </c>
      <c r="C878">
        <f t="shared" ref="C878" si="1487">G873/SUMPRODUCT(_xlfn.ANCHORARRAY(C877),_xlfn.ANCHORARRAY(C877))</f>
        <v>5.6144486280862741E-3</v>
      </c>
      <c r="D878"/>
      <c r="E878"/>
      <c r="G878"/>
    </row>
  </sheetData>
  <phoneticPr fontId="5" type="noConversion"/>
  <pageMargins left="0.75" right="0.75" top="1" bottom="1" header="0.5" footer="0.5"/>
  <drawing r:id="rId1"/>
  <legacyDrawing r:id="rId2"/>
  <oleObjects>
    <mc:AlternateContent xmlns:mc="http://schemas.openxmlformats.org/markup-compatibility/2006">
      <mc:Choice Requires="x14">
        <oleObject progId="Equation.DSMT4" shapeId="6145" r:id="rId3">
          <objectPr defaultSize="0" altText="" r:id="rId4">
            <anchor moveWithCells="1">
              <from>
                <xdr:col>8</xdr:col>
                <xdr:colOff>50800</xdr:colOff>
                <xdr:row>15</xdr:row>
                <xdr:rowOff>127000</xdr:rowOff>
              </from>
              <to>
                <xdr:col>12</xdr:col>
                <xdr:colOff>622300</xdr:colOff>
                <xdr:row>22</xdr:row>
                <xdr:rowOff>19050</xdr:rowOff>
              </to>
            </anchor>
          </objectPr>
        </oleObject>
      </mc:Choice>
      <mc:Fallback>
        <oleObject progId="Equation.DSMT4" shapeId="6145" r:id="rId3"/>
      </mc:Fallback>
    </mc:AlternateContent>
    <mc:AlternateContent xmlns:mc="http://schemas.openxmlformats.org/markup-compatibility/2006">
      <mc:Choice Requires="x14">
        <oleObject progId="Equation.DSMT4" shapeId="6148" r:id="rId5">
          <objectPr defaultSize="0" altText="" r:id="rId6">
            <anchor moveWithCells="1">
              <from>
                <xdr:col>9</xdr:col>
                <xdr:colOff>50800</xdr:colOff>
                <xdr:row>23</xdr:row>
                <xdr:rowOff>133350</xdr:rowOff>
              </from>
              <to>
                <xdr:col>14</xdr:col>
                <xdr:colOff>419100</xdr:colOff>
                <xdr:row>35</xdr:row>
                <xdr:rowOff>146050</xdr:rowOff>
              </to>
            </anchor>
          </objectPr>
        </oleObject>
      </mc:Choice>
      <mc:Fallback>
        <oleObject progId="Equation.DSMT4" shapeId="6148" r:id="rId5"/>
      </mc:Fallback>
    </mc:AlternateContent>
    <mc:AlternateContent xmlns:mc="http://schemas.openxmlformats.org/markup-compatibility/2006">
      <mc:Choice Requires="x14">
        <oleObject progId="Equation.DSMT4" shapeId="6149" r:id="rId7">
          <objectPr defaultSize="0" altText="" r:id="rId8">
            <anchor moveWithCells="1" sizeWithCells="1">
              <from>
                <xdr:col>7</xdr:col>
                <xdr:colOff>508000</xdr:colOff>
                <xdr:row>7</xdr:row>
                <xdr:rowOff>57150</xdr:rowOff>
              </from>
              <to>
                <xdr:col>18</xdr:col>
                <xdr:colOff>304800</xdr:colOff>
                <xdr:row>15</xdr:row>
                <xdr:rowOff>165100</xdr:rowOff>
              </to>
            </anchor>
          </objectPr>
        </oleObject>
      </mc:Choice>
      <mc:Fallback>
        <oleObject progId="Equation.DSMT4" shapeId="6149" r:id="rId7"/>
      </mc:Fallback>
    </mc:AlternateContent>
    <mc:AlternateContent xmlns:mc="http://schemas.openxmlformats.org/markup-compatibility/2006">
      <mc:Choice Requires="x14">
        <oleObject progId="Equation.DSMT4" shapeId="6150" r:id="rId9">
          <objectPr defaultSize="0" altText="" r:id="rId10">
            <anchor moveWithCells="1" sizeWithCells="1">
              <from>
                <xdr:col>7</xdr:col>
                <xdr:colOff>488950</xdr:colOff>
                <xdr:row>0</xdr:row>
                <xdr:rowOff>127000</xdr:rowOff>
              </from>
              <to>
                <xdr:col>18</xdr:col>
                <xdr:colOff>209550</xdr:colOff>
                <xdr:row>6</xdr:row>
                <xdr:rowOff>95250</xdr:rowOff>
              </to>
            </anchor>
          </objectPr>
        </oleObject>
      </mc:Choice>
      <mc:Fallback>
        <oleObject progId="Equation.DSMT4" shapeId="6150" r:id="rId9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52"/>
  <sheetViews>
    <sheetView workbookViewId="0">
      <selection sqref="A1:G8"/>
    </sheetView>
  </sheetViews>
  <sheetFormatPr defaultColWidth="9" defaultRowHeight="14" x14ac:dyDescent="0.25"/>
  <cols>
    <col min="1" max="1" width="9" style="1"/>
    <col min="2" max="2" width="14.26953125" customWidth="1"/>
    <col min="3" max="3" width="12.90625" style="1" customWidth="1"/>
    <col min="4" max="4" width="12.26953125" style="1" customWidth="1"/>
    <col min="5" max="5" width="11.6328125" style="1" customWidth="1"/>
    <col min="6" max="6" width="13.90625" style="1" customWidth="1"/>
    <col min="7" max="7" width="13.08984375" style="1" customWidth="1"/>
    <col min="8" max="8" width="5.26953125" style="1" customWidth="1"/>
    <col min="9" max="9" width="7.36328125" style="1" customWidth="1"/>
    <col min="10" max="10" width="15.08984375" style="1" customWidth="1"/>
    <col min="11" max="11" width="10.36328125" style="2" customWidth="1"/>
    <col min="16" max="16" width="10.36328125" style="2"/>
    <col min="20" max="20" width="10.36328125" customWidth="1"/>
    <col min="22" max="22" width="9.36328125" customWidth="1"/>
    <col min="23" max="26" width="10.36328125" customWidth="1"/>
    <col min="28" max="28" width="10.36328125" customWidth="1"/>
  </cols>
  <sheetData>
    <row r="1" spans="1:10" x14ac:dyDescent="0.25">
      <c r="C1" s="1" t="s">
        <v>0</v>
      </c>
      <c r="D1" s="1" t="s">
        <v>1</v>
      </c>
      <c r="E1" s="1" t="s">
        <v>2</v>
      </c>
      <c r="F1" s="1" t="s">
        <v>14</v>
      </c>
      <c r="G1" s="1" t="s">
        <v>15</v>
      </c>
      <c r="I1" s="1" t="s">
        <v>16</v>
      </c>
      <c r="J1" s="1" t="s">
        <v>17</v>
      </c>
    </row>
    <row r="2" spans="1:10" x14ac:dyDescent="0.25">
      <c r="A2" s="1" t="s">
        <v>4</v>
      </c>
      <c r="B2" t="s">
        <v>18</v>
      </c>
      <c r="C2" s="3">
        <v>1</v>
      </c>
      <c r="D2" s="3">
        <v>1</v>
      </c>
      <c r="E2" s="3">
        <v>1</v>
      </c>
      <c r="F2" s="4">
        <v>1</v>
      </c>
      <c r="G2" s="4">
        <v>1</v>
      </c>
    </row>
    <row r="3" spans="1:10" x14ac:dyDescent="0.25">
      <c r="A3" s="1">
        <v>1</v>
      </c>
      <c r="B3" t="s">
        <v>19</v>
      </c>
      <c r="C3" s="1">
        <f>2*C2-F2*(D2^2)-2*G2*C2</f>
        <v>-1</v>
      </c>
      <c r="D3" s="1">
        <f>2*D2-2*F2*C2*D2+4*G2*D2</f>
        <v>4</v>
      </c>
      <c r="E3" s="1">
        <f>4*E2+2*F2+2*G2</f>
        <v>8</v>
      </c>
      <c r="F3" s="1">
        <f>C2*(D2^2)-2*E2+5</f>
        <v>4</v>
      </c>
      <c r="G3" s="1">
        <f>C2^2-2*(D2^2)-2*E2+7</f>
        <v>4</v>
      </c>
      <c r="J3" s="1">
        <f>0.5*(C3*C3+D3*D3+E3*E3+F3*F3+G3*G3)</f>
        <v>56.5</v>
      </c>
    </row>
    <row r="4" spans="1:10" x14ac:dyDescent="0.25">
      <c r="C4" s="5">
        <f>2-2*G2</f>
        <v>0</v>
      </c>
      <c r="D4" s="6">
        <f>-2*F2*D2</f>
        <v>-2</v>
      </c>
      <c r="E4" s="6">
        <f>0</f>
        <v>0</v>
      </c>
      <c r="F4" s="6">
        <f>-(D2^2)</f>
        <v>-1</v>
      </c>
      <c r="G4" s="7">
        <f>-2*C2</f>
        <v>-2</v>
      </c>
    </row>
    <row r="5" spans="1:10" x14ac:dyDescent="0.25">
      <c r="C5" s="8">
        <f>-2*F2*D2</f>
        <v>-2</v>
      </c>
      <c r="D5" s="1">
        <f>2-2*F2*C2+4*G2</f>
        <v>4</v>
      </c>
      <c r="E5" s="1">
        <f>0</f>
        <v>0</v>
      </c>
      <c r="F5" s="1">
        <f>-2*C2*D2</f>
        <v>-2</v>
      </c>
      <c r="G5" s="9">
        <f>4*D2</f>
        <v>4</v>
      </c>
    </row>
    <row r="6" spans="1:10" x14ac:dyDescent="0.25">
      <c r="B6" t="s">
        <v>20</v>
      </c>
      <c r="C6" s="8">
        <f>0</f>
        <v>0</v>
      </c>
      <c r="D6" s="1">
        <f>0</f>
        <v>0</v>
      </c>
      <c r="E6" s="1">
        <f>4</f>
        <v>4</v>
      </c>
      <c r="F6" s="1">
        <f>2</f>
        <v>2</v>
      </c>
      <c r="G6" s="9">
        <f>2</f>
        <v>2</v>
      </c>
    </row>
    <row r="7" spans="1:10" x14ac:dyDescent="0.25">
      <c r="C7" s="8">
        <f>(D2^2)</f>
        <v>1</v>
      </c>
      <c r="D7" s="1">
        <f>2*C2*D2</f>
        <v>2</v>
      </c>
      <c r="E7" s="1">
        <f>-2</f>
        <v>-2</v>
      </c>
      <c r="F7" s="1">
        <f>0</f>
        <v>0</v>
      </c>
      <c r="G7" s="9">
        <f>0</f>
        <v>0</v>
      </c>
    </row>
    <row r="8" spans="1:10" x14ac:dyDescent="0.25">
      <c r="C8" s="10">
        <f>2*C2</f>
        <v>2</v>
      </c>
      <c r="D8" s="11">
        <f>-4*D2</f>
        <v>-4</v>
      </c>
      <c r="E8" s="11">
        <f>-2</f>
        <v>-2</v>
      </c>
      <c r="F8" s="11">
        <f>0</f>
        <v>0</v>
      </c>
      <c r="G8" s="12">
        <f>0</f>
        <v>0</v>
      </c>
    </row>
    <row r="9" spans="1:10" x14ac:dyDescent="0.25">
      <c r="B9" t="s">
        <v>21</v>
      </c>
      <c r="C9" s="1" cm="1">
        <f t="array" ref="C9:G9">-MMULT(C3:G3,C4:G8)</f>
        <v>-4</v>
      </c>
      <c r="D9" s="1">
        <v>-10</v>
      </c>
      <c r="E9" s="1">
        <v>-16</v>
      </c>
      <c r="F9" s="1">
        <v>-9</v>
      </c>
      <c r="G9" s="1">
        <v>-34</v>
      </c>
    </row>
    <row r="10" spans="1:10" x14ac:dyDescent="0.25">
      <c r="B10" t="s">
        <v>13</v>
      </c>
      <c r="C10" s="1">
        <f>J3/SUMPRODUCT(_xlfn.ANCHORARRAY(C9),_xlfn.ANCHORARRAY(C9))</f>
        <v>3.5114978247358611E-2</v>
      </c>
    </row>
    <row r="11" spans="1:10" x14ac:dyDescent="0.25">
      <c r="A11" s="1" t="s">
        <v>4</v>
      </c>
      <c r="B11" t="s">
        <v>18</v>
      </c>
      <c r="C11" s="1" cm="1">
        <f t="array" ref="C11:G11">C2:G2+C10*C9:G9</f>
        <v>0.85954008701056561</v>
      </c>
      <c r="D11" s="1">
        <v>0.64885021752641392</v>
      </c>
      <c r="E11" s="1">
        <v>0.43816034804226223</v>
      </c>
      <c r="F11" s="1">
        <v>0.68396519577377246</v>
      </c>
      <c r="G11" s="1">
        <v>-0.19390926041019285</v>
      </c>
    </row>
    <row r="12" spans="1:10" x14ac:dyDescent="0.25">
      <c r="A12" s="1">
        <v>2</v>
      </c>
      <c r="B12" t="s">
        <v>19</v>
      </c>
      <c r="C12" s="1">
        <f t="shared" ref="C12" si="0">2*C11-F11*(D11^2)-2*G11*C11</f>
        <v>1.7644718742882037</v>
      </c>
      <c r="D12" s="1">
        <f t="shared" ref="D12" si="1">2*D11-2*F11*C11*D11+4*G11*D11</f>
        <v>3.151592070214615E-2</v>
      </c>
      <c r="E12" s="1">
        <f t="shared" ref="E12" si="2">4*E11+2*F11+2*G11</f>
        <v>2.7327532628962081</v>
      </c>
      <c r="F12" s="1">
        <f t="shared" ref="F12" si="3">C11*(D11^2)-2*E11+5</f>
        <v>4.4855513576236019</v>
      </c>
      <c r="G12" s="1">
        <f t="shared" ref="G12" si="4">C11^2-2*(D11^2)-2*E11+7</f>
        <v>6.020475255525457</v>
      </c>
      <c r="J12" s="1">
        <f t="shared" ref="J12" si="5">0.5*(C12*C12+D12*D12+E12*E12+F12*F12+G12*G12)</f>
        <v>33.474293964277479</v>
      </c>
    </row>
    <row r="13" spans="1:10" x14ac:dyDescent="0.25">
      <c r="C13" s="5">
        <f t="shared" ref="C13" si="6">2-2*G11</f>
        <v>2.3878185208203857</v>
      </c>
      <c r="D13" s="6">
        <f t="shared" ref="D13" si="7">-2*F11*D11</f>
        <v>-0.88758193211661707</v>
      </c>
      <c r="E13" s="6">
        <f>0</f>
        <v>0</v>
      </c>
      <c r="F13" s="6">
        <f t="shared" ref="F13" si="8">-(D11^2)</f>
        <v>-0.42100660478407465</v>
      </c>
      <c r="G13" s="7">
        <f t="shared" ref="G13" si="9">-2*C11</f>
        <v>-1.7190801740211312</v>
      </c>
    </row>
    <row r="14" spans="1:10" x14ac:dyDescent="0.25">
      <c r="C14" s="8">
        <f t="shared" ref="C14" si="10">-2*F11*D11</f>
        <v>-0.88758193211661707</v>
      </c>
      <c r="D14" s="1">
        <f t="shared" ref="D14" si="11">2-2*F11*C11+4*G11</f>
        <v>4.8571950584054724E-2</v>
      </c>
      <c r="E14" s="1">
        <f>0</f>
        <v>0</v>
      </c>
      <c r="F14" s="1">
        <f t="shared" ref="F14" si="12">-2*C11*D11</f>
        <v>-1.1154255448589565</v>
      </c>
      <c r="G14" s="9">
        <f t="shared" ref="G14" si="13">4*D11</f>
        <v>2.5954008701056557</v>
      </c>
    </row>
    <row r="15" spans="1:10" x14ac:dyDescent="0.25">
      <c r="B15" t="s">
        <v>20</v>
      </c>
      <c r="C15" s="8">
        <f>0</f>
        <v>0</v>
      </c>
      <c r="D15" s="1">
        <f>0</f>
        <v>0</v>
      </c>
      <c r="E15" s="1">
        <f>4</f>
        <v>4</v>
      </c>
      <c r="F15" s="1">
        <f>2</f>
        <v>2</v>
      </c>
      <c r="G15" s="9">
        <f>2</f>
        <v>2</v>
      </c>
    </row>
    <row r="16" spans="1:10" x14ac:dyDescent="0.25">
      <c r="C16" s="8">
        <f t="shared" ref="C16" si="14">(D11^2)</f>
        <v>0.42100660478407465</v>
      </c>
      <c r="D16" s="1">
        <f t="shared" ref="D16" si="15">2*C11*D11</f>
        <v>1.1154255448589565</v>
      </c>
      <c r="E16" s="1">
        <f t="shared" ref="E16:E17" si="16">-2</f>
        <v>-2</v>
      </c>
      <c r="F16" s="1">
        <f>0</f>
        <v>0</v>
      </c>
      <c r="G16" s="9">
        <f>0</f>
        <v>0</v>
      </c>
    </row>
    <row r="17" spans="1:10" x14ac:dyDescent="0.25">
      <c r="C17" s="10">
        <f t="shared" ref="C17" si="17">2*C11</f>
        <v>1.7190801740211312</v>
      </c>
      <c r="D17" s="11">
        <f t="shared" ref="D17" si="18">-4*D11</f>
        <v>-2.5954008701056557</v>
      </c>
      <c r="E17" s="11">
        <f t="shared" si="16"/>
        <v>-2</v>
      </c>
      <c r="F17" s="11">
        <f>0</f>
        <v>0</v>
      </c>
      <c r="G17" s="12">
        <f>0</f>
        <v>0</v>
      </c>
    </row>
    <row r="18" spans="1:10" x14ac:dyDescent="0.25">
      <c r="B18" t="s">
        <v>21</v>
      </c>
      <c r="C18" s="1" cm="1">
        <f t="array" ref="C18:G18">-MMULT(C12:G12,C13:G17)</f>
        <v>-16.423392056719113</v>
      </c>
      <c r="D18" s="1">
        <v>12.1868307151734</v>
      </c>
      <c r="E18" s="1">
        <v>10.081040174713285</v>
      </c>
      <c r="F18" s="1">
        <v>-4.6874985497404236</v>
      </c>
      <c r="G18" s="1">
        <v>-2.5140343570981902</v>
      </c>
    </row>
    <row r="19" spans="1:10" x14ac:dyDescent="0.25">
      <c r="B19" t="s">
        <v>13</v>
      </c>
      <c r="C19" s="1">
        <f t="shared" ref="C19" si="19">J12/SUMPRODUCT(_xlfn.ANCHORARRAY(C18),_xlfn.ANCHORARRAY(C18))</f>
        <v>6.1065864990227703E-2</v>
      </c>
    </row>
    <row r="20" spans="1:10" x14ac:dyDescent="0.25">
      <c r="A20" s="1" t="s">
        <v>4</v>
      </c>
      <c r="B20" t="s">
        <v>18</v>
      </c>
      <c r="C20" s="1" cm="1">
        <f t="array" ref="C20:G20">C11:G11+C19*C18:G18</f>
        <v>-0.14336855500662171</v>
      </c>
      <c r="D20" s="1">
        <v>1.3930495766379529</v>
      </c>
      <c r="E20" s="1">
        <v>1.0537677863123651</v>
      </c>
      <c r="F20" s="1">
        <v>0.39771904219343562</v>
      </c>
      <c r="G20" s="1">
        <v>-0.34743094304154487</v>
      </c>
    </row>
    <row r="21" spans="1:10" x14ac:dyDescent="0.25">
      <c r="A21" s="1">
        <v>3</v>
      </c>
      <c r="B21" t="s">
        <v>19</v>
      </c>
      <c r="C21" s="1">
        <f t="shared" ref="C21" si="20">2*C20-F20*(D20^2)-2*G20*C20</f>
        <v>-1.1581669063911644</v>
      </c>
      <c r="D21" s="1">
        <f t="shared" ref="D21" si="21">2*D20-2*F20*C20*D20+4*G20*D20</f>
        <v>1.0090095411728013</v>
      </c>
      <c r="E21" s="1">
        <f t="shared" ref="E21" si="22">4*E20+2*F20+2*G20</f>
        <v>4.3156473435532421</v>
      </c>
      <c r="F21" s="1">
        <f t="shared" ref="F21" si="23">C20*(D20^2)-2*E20+5</f>
        <v>2.6142452556904345</v>
      </c>
      <c r="G21" s="1">
        <f t="shared" ref="G21" si="24">C20^2-2*(D20^2)-2*E20+7</f>
        <v>1.0318447239975965</v>
      </c>
      <c r="J21" s="1">
        <f t="shared" ref="J21" si="25">0.5*(C21*C21+D21*D21+E21*E21+F21*F21+G21*G21)</f>
        <v>14.441622311248603</v>
      </c>
    </row>
    <row r="22" spans="1:10" x14ac:dyDescent="0.25">
      <c r="C22" s="5">
        <f t="shared" ref="C22" si="26">2-2*G20</f>
        <v>2.69486188608309</v>
      </c>
      <c r="D22" s="6">
        <f t="shared" ref="D22" si="27">-2*F20*D20</f>
        <v>-1.1080846866968352</v>
      </c>
      <c r="E22" s="6">
        <f>0</f>
        <v>0</v>
      </c>
      <c r="F22" s="6">
        <f t="shared" ref="F22" si="28">-(D20^2)</f>
        <v>-1.94058712297118</v>
      </c>
      <c r="G22" s="7">
        <f t="shared" ref="G22" si="29">-2*C20</f>
        <v>0.28673711001324342</v>
      </c>
    </row>
    <row r="23" spans="1:10" x14ac:dyDescent="0.25">
      <c r="C23" s="8">
        <f t="shared" ref="C23" si="30">-2*F20*D20</f>
        <v>-1.1080846866968352</v>
      </c>
      <c r="D23" s="1">
        <f t="shared" ref="D23" si="31">2-2*F20*C20+4*G20</f>
        <v>0.72431703658960167</v>
      </c>
      <c r="E23" s="1">
        <f>0</f>
        <v>0</v>
      </c>
      <c r="F23" s="1">
        <f t="shared" ref="F23" si="32">-2*C20*D20</f>
        <v>0.39943900971033891</v>
      </c>
      <c r="G23" s="9">
        <f t="shared" ref="G23" si="33">4*D20</f>
        <v>5.5721983065518117</v>
      </c>
    </row>
    <row r="24" spans="1:10" x14ac:dyDescent="0.25">
      <c r="B24" t="s">
        <v>20</v>
      </c>
      <c r="C24" s="8">
        <f>0</f>
        <v>0</v>
      </c>
      <c r="D24" s="1">
        <f>0</f>
        <v>0</v>
      </c>
      <c r="E24" s="1">
        <f>4</f>
        <v>4</v>
      </c>
      <c r="F24" s="1">
        <f>2</f>
        <v>2</v>
      </c>
      <c r="G24" s="9">
        <f>2</f>
        <v>2</v>
      </c>
    </row>
    <row r="25" spans="1:10" x14ac:dyDescent="0.25">
      <c r="C25" s="8">
        <f t="shared" ref="C25" si="34">(D20^2)</f>
        <v>1.94058712297118</v>
      </c>
      <c r="D25" s="1">
        <f t="shared" ref="D25" si="35">2*C20*D20</f>
        <v>-0.39943900971033891</v>
      </c>
      <c r="E25" s="1">
        <f t="shared" ref="E25:E26" si="36">-2</f>
        <v>-2</v>
      </c>
      <c r="F25" s="1">
        <f>0</f>
        <v>0</v>
      </c>
      <c r="G25" s="9">
        <f>0</f>
        <v>0</v>
      </c>
    </row>
    <row r="26" spans="1:10" x14ac:dyDescent="0.25">
      <c r="C26" s="10">
        <f t="shared" ref="C26" si="37">2*C20</f>
        <v>-0.28673711001324342</v>
      </c>
      <c r="D26" s="11">
        <f t="shared" ref="D26" si="38">-4*D20</f>
        <v>-5.5721983065518117</v>
      </c>
      <c r="E26" s="11">
        <f t="shared" si="36"/>
        <v>-2</v>
      </c>
      <c r="F26" s="11">
        <f>0</f>
        <v>0</v>
      </c>
      <c r="G26" s="12">
        <f>0</f>
        <v>0</v>
      </c>
    </row>
    <row r="27" spans="1:10" x14ac:dyDescent="0.25">
      <c r="B27" t="s">
        <v>21</v>
      </c>
      <c r="C27" s="1" cm="1">
        <f t="array" ref="C27:G27">-MMULT(C21:G21,C22:G26)</f>
        <v>-0.53813463027898156</v>
      </c>
      <c r="D27" s="1">
        <v>4.7796851453927545</v>
      </c>
      <c r="E27" s="1">
        <v>-9.9704094148369062</v>
      </c>
      <c r="F27" s="1">
        <v>-11.281856243814893</v>
      </c>
      <c r="G27" s="1">
        <v>-13.921606512072607</v>
      </c>
    </row>
    <row r="28" spans="1:10" x14ac:dyDescent="0.25">
      <c r="B28" t="s">
        <v>13</v>
      </c>
      <c r="C28" s="1">
        <f t="shared" ref="C28" si="39">J21/SUMPRODUCT(_xlfn.ANCHORARRAY(C27),_xlfn.ANCHORARRAY(C27))</f>
        <v>3.2552904140110056E-2</v>
      </c>
    </row>
    <row r="29" spans="1:10" x14ac:dyDescent="0.25">
      <c r="A29" s="1" t="s">
        <v>4</v>
      </c>
      <c r="B29" t="s">
        <v>18</v>
      </c>
      <c r="C29" s="1" cm="1">
        <f t="array" ref="C29:G29">C20:G20+C28*C27:G27</f>
        <v>-0.16088640004056698</v>
      </c>
      <c r="D29" s="1">
        <v>1.5486422089958312</v>
      </c>
      <c r="E29" s="1">
        <v>0.72920200439352856</v>
      </c>
      <c r="F29" s="1">
        <v>3.0461857366027301E-2</v>
      </c>
      <c r="G29" s="1">
        <v>-0.80061966530537632</v>
      </c>
    </row>
    <row r="30" spans="1:10" x14ac:dyDescent="0.25">
      <c r="A30" s="1">
        <v>4</v>
      </c>
      <c r="B30" t="s">
        <v>19</v>
      </c>
      <c r="C30" s="1">
        <f t="shared" ref="C30" si="40">2*C29-F29*(D29^2)-2*G29*C29</f>
        <v>-0.65244688147642094</v>
      </c>
      <c r="D30" s="1">
        <f t="shared" ref="D30" si="41">2*D29-2*F29*C29*D29+4*G29*D29</f>
        <v>-1.8470297334088781</v>
      </c>
      <c r="E30" s="1">
        <f t="shared" ref="E30" si="42">4*E29+2*F29+2*G29</f>
        <v>1.3764924016954163</v>
      </c>
      <c r="F30" s="1">
        <f t="shared" ref="F30" si="43">C29*(D29^2)-2*E29+5</f>
        <v>3.1557433138365623</v>
      </c>
      <c r="G30" s="1">
        <f t="shared" ref="G30" si="44">C29^2-2*(D29^2)-2*E29+7</f>
        <v>0.77089504196398106</v>
      </c>
      <c r="J30" s="1">
        <f t="shared" ref="J30" si="45">0.5*(C30*C30+D30*D30+E30*E30+F30*F30+G30*G30)</f>
        <v>8.1424660648594038</v>
      </c>
    </row>
    <row r="31" spans="1:10" x14ac:dyDescent="0.25">
      <c r="C31" s="5">
        <f t="shared" ref="C31" si="46">2-2*G29</f>
        <v>3.6012393306107526</v>
      </c>
      <c r="D31" s="6">
        <f t="shared" ref="D31" si="47">-2*F29*D29</f>
        <v>-9.43490361628809E-2</v>
      </c>
      <c r="E31" s="6">
        <f>0</f>
        <v>0</v>
      </c>
      <c r="F31" s="6">
        <f t="shared" ref="F31" si="48">-(D29^2)</f>
        <v>-2.3982926914834874</v>
      </c>
      <c r="G31" s="7">
        <f t="shared" ref="G31" si="49">-2*C29</f>
        <v>0.32177280008113396</v>
      </c>
    </row>
    <row r="32" spans="1:10" x14ac:dyDescent="0.25">
      <c r="C32" s="8">
        <f t="shared" ref="C32" si="50">-2*F29*D29</f>
        <v>-9.43490361628809E-2</v>
      </c>
      <c r="D32" s="1">
        <f t="shared" ref="D32" si="51">2-2*F29*C29+4*G29</f>
        <v>-1.1926768640811667</v>
      </c>
      <c r="E32" s="1">
        <f>0</f>
        <v>0</v>
      </c>
      <c r="F32" s="1">
        <f t="shared" ref="F32" si="52">-2*C29*D29</f>
        <v>0.49831093991242126</v>
      </c>
      <c r="G32" s="9">
        <f t="shared" ref="G32" si="53">4*D29</f>
        <v>6.1945688359833246</v>
      </c>
    </row>
    <row r="33" spans="1:10" x14ac:dyDescent="0.25">
      <c r="B33" t="s">
        <v>20</v>
      </c>
      <c r="C33" s="8">
        <f>0</f>
        <v>0</v>
      </c>
      <c r="D33" s="1">
        <f>0</f>
        <v>0</v>
      </c>
      <c r="E33" s="1">
        <f>4</f>
        <v>4</v>
      </c>
      <c r="F33" s="1">
        <f>2</f>
        <v>2</v>
      </c>
      <c r="G33" s="9">
        <f>2</f>
        <v>2</v>
      </c>
    </row>
    <row r="34" spans="1:10" x14ac:dyDescent="0.25">
      <c r="C34" s="8">
        <f t="shared" ref="C34" si="54">(D29^2)</f>
        <v>2.3982926914834874</v>
      </c>
      <c r="D34" s="1">
        <f t="shared" ref="D34" si="55">2*C29*D29</f>
        <v>-0.49831093991242126</v>
      </c>
      <c r="E34" s="1">
        <f t="shared" ref="E34:E35" si="56">-2</f>
        <v>-2</v>
      </c>
      <c r="F34" s="1">
        <f>0</f>
        <v>0</v>
      </c>
      <c r="G34" s="9">
        <f>0</f>
        <v>0</v>
      </c>
    </row>
    <row r="35" spans="1:10" x14ac:dyDescent="0.25">
      <c r="C35" s="10">
        <f t="shared" ref="C35" si="57">2*C29</f>
        <v>-0.32177280008113396</v>
      </c>
      <c r="D35" s="11">
        <f t="shared" ref="D35" si="58">-4*D29</f>
        <v>-6.1945688359833246</v>
      </c>
      <c r="E35" s="11">
        <f t="shared" si="56"/>
        <v>-2</v>
      </c>
      <c r="F35" s="11">
        <f>0</f>
        <v>0</v>
      </c>
      <c r="G35" s="12">
        <f>0</f>
        <v>0</v>
      </c>
    </row>
    <row r="36" spans="1:10" x14ac:dyDescent="0.25">
      <c r="B36" t="s">
        <v>21</v>
      </c>
      <c r="C36" s="1" cm="1">
        <f t="array" ref="C36:G36">-MMULT(C30:G30,C31:G35)</f>
        <v>-5.1449911739547867</v>
      </c>
      <c r="D36" s="1">
        <v>4.0834364548828193</v>
      </c>
      <c r="E36" s="1">
        <v>2.3473071048194214</v>
      </c>
      <c r="F36" s="1">
        <v>-3.397348268315759</v>
      </c>
      <c r="G36" s="1">
        <v>8.8985076822752642</v>
      </c>
    </row>
    <row r="37" spans="1:10" x14ac:dyDescent="0.25">
      <c r="B37" t="s">
        <v>13</v>
      </c>
      <c r="C37" s="1">
        <f t="shared" ref="C37" si="59">J30/SUMPRODUCT(_xlfn.ANCHORARRAY(C36),_xlfn.ANCHORARRAY(C36))</f>
        <v>5.8418912012216627E-2</v>
      </c>
    </row>
    <row r="38" spans="1:10" x14ac:dyDescent="0.25">
      <c r="A38" s="1" t="s">
        <v>4</v>
      </c>
      <c r="B38" t="s">
        <v>18</v>
      </c>
      <c r="C38" s="1" cm="1">
        <f t="array" ref="C38:G38">C29:G29+C37*C36:G36</f>
        <v>-0.46145118673546281</v>
      </c>
      <c r="D38" s="1">
        <v>1.7871921239611084</v>
      </c>
      <c r="E38" s="1">
        <v>0.8663291316156253</v>
      </c>
      <c r="F38" s="1">
        <v>-0.16800753219556755</v>
      </c>
      <c r="G38" s="1">
        <v>-0.28077852797450398</v>
      </c>
    </row>
    <row r="39" spans="1:10" x14ac:dyDescent="0.25">
      <c r="A39" s="1">
        <v>5</v>
      </c>
      <c r="B39" t="s">
        <v>19</v>
      </c>
      <c r="C39" s="1">
        <f t="shared" ref="C39" si="60">2*C38-F38*(D38^2)-2*G38*C38</f>
        <v>-0.64540812953080495</v>
      </c>
      <c r="D39" s="1">
        <f t="shared" ref="D39" si="61">2*D38-2*F38*C38*D38+4*G38*D38</f>
        <v>1.2900512818833385</v>
      </c>
      <c r="E39" s="1">
        <f t="shared" ref="E39" si="62">4*E38+2*F38+2*G38</f>
        <v>2.5677444061223582</v>
      </c>
      <c r="F39" s="1">
        <f t="shared" ref="F39" si="63">C38*(D38^2)-2*E38+5</f>
        <v>1.7934409490657046</v>
      </c>
      <c r="G39" s="1">
        <f t="shared" ref="G39" si="64">C38^2-2*(D38^2)-2*E38+7</f>
        <v>-0.90783244138891916</v>
      </c>
      <c r="J39" s="1">
        <f t="shared" ref="J39" si="65">0.5*(C39*C39+D39*D39+E39*E39+F39*F39+G39*G39)</f>
        <v>6.3573427390749098</v>
      </c>
    </row>
    <row r="40" spans="1:10" x14ac:dyDescent="0.25">
      <c r="C40" s="5">
        <f t="shared" ref="C40" si="66">2-2*G38</f>
        <v>2.5615570559490077</v>
      </c>
      <c r="D40" s="6">
        <f t="shared" ref="D40" si="67">-2*F38*D38</f>
        <v>0.60052347661212135</v>
      </c>
      <c r="E40" s="6">
        <f>0</f>
        <v>0</v>
      </c>
      <c r="F40" s="6">
        <f t="shared" ref="F40" si="68">-(D38^2)</f>
        <v>-3.1940556879486177</v>
      </c>
      <c r="G40" s="7">
        <f t="shared" ref="G40" si="69">-2*C38</f>
        <v>0.92290237347092563</v>
      </c>
    </row>
    <row r="41" spans="1:10" x14ac:dyDescent="0.25">
      <c r="C41" s="8">
        <f t="shared" ref="C41" si="70">-2*F38*D38</f>
        <v>0.60052347661212135</v>
      </c>
      <c r="D41" s="1">
        <f t="shared" ref="D41" si="71">2-2*F38*C38+4*G38</f>
        <v>0.72183133787770193</v>
      </c>
      <c r="E41" s="1">
        <f>0</f>
        <v>0</v>
      </c>
      <c r="F41" s="1">
        <f t="shared" ref="F41" si="72">-2*C38*D38</f>
        <v>1.6494038530522517</v>
      </c>
      <c r="G41" s="9">
        <f t="shared" ref="G41" si="73">4*D38</f>
        <v>7.1487684958444335</v>
      </c>
    </row>
    <row r="42" spans="1:10" x14ac:dyDescent="0.25">
      <c r="B42" t="s">
        <v>20</v>
      </c>
      <c r="C42" s="8">
        <f>0</f>
        <v>0</v>
      </c>
      <c r="D42" s="1">
        <f>0</f>
        <v>0</v>
      </c>
      <c r="E42" s="1">
        <f>4</f>
        <v>4</v>
      </c>
      <c r="F42" s="1">
        <f>2</f>
        <v>2</v>
      </c>
      <c r="G42" s="9">
        <f>2</f>
        <v>2</v>
      </c>
    </row>
    <row r="43" spans="1:10" x14ac:dyDescent="0.25">
      <c r="C43" s="8">
        <f t="shared" ref="C43" si="74">(D38^2)</f>
        <v>3.1940556879486177</v>
      </c>
      <c r="D43" s="1">
        <f t="shared" ref="D43" si="75">2*C38*D38</f>
        <v>-1.6494038530522517</v>
      </c>
      <c r="E43" s="1">
        <f t="shared" ref="E43:E44" si="76">-2</f>
        <v>-2</v>
      </c>
      <c r="F43" s="1">
        <f>0</f>
        <v>0</v>
      </c>
      <c r="G43" s="9">
        <f>0</f>
        <v>0</v>
      </c>
    </row>
    <row r="44" spans="1:10" x14ac:dyDescent="0.25">
      <c r="C44" s="10">
        <f t="shared" ref="C44" si="77">2*C38</f>
        <v>-0.92290237347092563</v>
      </c>
      <c r="D44" s="11">
        <f t="shared" ref="D44" si="78">-4*D38</f>
        <v>-7.1487684958444335</v>
      </c>
      <c r="E44" s="11">
        <f t="shared" si="76"/>
        <v>-2</v>
      </c>
      <c r="F44" s="11">
        <f>0</f>
        <v>0</v>
      </c>
      <c r="G44" s="12">
        <f>0</f>
        <v>0</v>
      </c>
    </row>
    <row r="45" spans="1:10" x14ac:dyDescent="0.25">
      <c r="B45" t="s">
        <v>21</v>
      </c>
      <c r="C45" s="1" cm="1">
        <f t="array" ref="C45:G45">-MMULT(C39:G39,C40:G44)</f>
        <v>-5.6876473118730413</v>
      </c>
      <c r="D45" s="1">
        <v>-4.0753922538491123</v>
      </c>
      <c r="E45" s="1">
        <v>-8.499760609135862</v>
      </c>
      <c r="F45" s="1">
        <v>-9.3247738743942374</v>
      </c>
      <c r="G45" s="1">
        <v>-13.762118079594643</v>
      </c>
    </row>
    <row r="46" spans="1:10" x14ac:dyDescent="0.25">
      <c r="B46" t="s">
        <v>13</v>
      </c>
      <c r="C46" s="1">
        <f t="shared" ref="C46" si="79">J39/SUMPRODUCT(_xlfn.ANCHORARRAY(C45),_xlfn.ANCHORARRAY(C45))</f>
        <v>1.5991247821931877E-2</v>
      </c>
    </row>
    <row r="47" spans="1:10" x14ac:dyDescent="0.25">
      <c r="A47" s="1" t="s">
        <v>4</v>
      </c>
      <c r="B47" t="s">
        <v>18</v>
      </c>
      <c r="C47" s="1" cm="1">
        <f t="array" ref="C47:G47">C38:G38+C46*C45:G45</f>
        <v>-0.55240376442336925</v>
      </c>
      <c r="D47" s="1">
        <v>1.7220215164582258</v>
      </c>
      <c r="E47" s="1">
        <v>0.73040735328783912</v>
      </c>
      <c r="F47" s="1">
        <v>-0.31712230210448167</v>
      </c>
      <c r="G47" s="1">
        <v>-0.50085196873999105</v>
      </c>
    </row>
    <row r="48" spans="1:10" x14ac:dyDescent="0.25">
      <c r="A48" s="1">
        <v>6</v>
      </c>
      <c r="B48" t="s">
        <v>19</v>
      </c>
      <c r="C48" s="1">
        <f t="shared" ref="C48" si="80">2*C47-F47*(D47^2)-2*G47*C47</f>
        <v>-0.71777136651484286</v>
      </c>
      <c r="D48" s="1">
        <f t="shared" ref="D48" si="81">2*D47-2*F47*C47*D47+4*G47*D47</f>
        <v>-0.60919435462742122</v>
      </c>
      <c r="E48" s="1">
        <f t="shared" ref="E48" si="82">4*E47+2*F47+2*G47</f>
        <v>1.2856808714624113</v>
      </c>
      <c r="F48" s="1">
        <f t="shared" ref="F48" si="83">C47*(D47^2)-2*E47+5</f>
        <v>1.9011103143836339</v>
      </c>
      <c r="G48" s="1">
        <f t="shared" ref="G48" si="84">C47^2-2*(D47^2)-2*E47+7</f>
        <v>-8.6380993916743698E-2</v>
      </c>
      <c r="J48" s="1">
        <f t="shared" ref="J48" si="85">0.5*(C48*C48+D48*D48+E48*E48+F48*F48+G48*G48)</f>
        <v>3.0804854515543671</v>
      </c>
    </row>
    <row r="49" spans="1:10" x14ac:dyDescent="0.25">
      <c r="C49" s="5">
        <f t="shared" ref="C49" si="86">2-2*G47</f>
        <v>3.0017039374799821</v>
      </c>
      <c r="D49" s="6">
        <f t="shared" ref="D49" si="87">-2*F47*D47</f>
        <v>1.0921828551453663</v>
      </c>
      <c r="E49" s="6">
        <f>0</f>
        <v>0</v>
      </c>
      <c r="F49" s="6">
        <f t="shared" ref="F49" si="88">-(D47^2)</f>
        <v>-2.9653581031450873</v>
      </c>
      <c r="G49" s="7">
        <f t="shared" ref="G49" si="89">-2*C47</f>
        <v>1.1048075288467385</v>
      </c>
    </row>
    <row r="50" spans="1:10" x14ac:dyDescent="0.25">
      <c r="C50" s="8">
        <f t="shared" ref="C50" si="90">-2*F47*D47</f>
        <v>1.0921828551453663</v>
      </c>
      <c r="D50" s="1">
        <f t="shared" ref="D50" si="91">2-2*F47*C47+4*G47</f>
        <v>-0.35376698189020539</v>
      </c>
      <c r="E50" s="1">
        <f>0</f>
        <v>0</v>
      </c>
      <c r="F50" s="1">
        <f t="shared" ref="F50" si="92">-2*C47*D47</f>
        <v>1.9025023362191256</v>
      </c>
      <c r="G50" s="9">
        <f t="shared" ref="G50" si="93">4*D47</f>
        <v>6.8880860658329031</v>
      </c>
    </row>
    <row r="51" spans="1:10" x14ac:dyDescent="0.25">
      <c r="B51" t="s">
        <v>20</v>
      </c>
      <c r="C51" s="8">
        <f>0</f>
        <v>0</v>
      </c>
      <c r="D51" s="1">
        <f>0</f>
        <v>0</v>
      </c>
      <c r="E51" s="1">
        <f>4</f>
        <v>4</v>
      </c>
      <c r="F51" s="1">
        <f>2</f>
        <v>2</v>
      </c>
      <c r="G51" s="9">
        <f>2</f>
        <v>2</v>
      </c>
    </row>
    <row r="52" spans="1:10" x14ac:dyDescent="0.25">
      <c r="C52" s="8">
        <f t="shared" ref="C52" si="94">(D47^2)</f>
        <v>2.9653581031450873</v>
      </c>
      <c r="D52" s="1">
        <f t="shared" ref="D52" si="95">2*C47*D47</f>
        <v>-1.9025023362191256</v>
      </c>
      <c r="E52" s="1">
        <f t="shared" ref="E52:E53" si="96">-2</f>
        <v>-2</v>
      </c>
      <c r="F52" s="1">
        <f>0</f>
        <v>0</v>
      </c>
      <c r="G52" s="9">
        <f>0</f>
        <v>0</v>
      </c>
    </row>
    <row r="53" spans="1:10" x14ac:dyDescent="0.25">
      <c r="C53" s="10">
        <f t="shared" ref="C53" si="97">2*C47</f>
        <v>-1.1048075288467385</v>
      </c>
      <c r="D53" s="11">
        <f t="shared" ref="D53" si="98">-4*D47</f>
        <v>-6.8880860658329031</v>
      </c>
      <c r="E53" s="11">
        <f t="shared" si="96"/>
        <v>-2</v>
      </c>
      <c r="F53" s="11">
        <f>0</f>
        <v>0</v>
      </c>
      <c r="G53" s="12">
        <f>0</f>
        <v>0</v>
      </c>
    </row>
    <row r="54" spans="1:10" x14ac:dyDescent="0.25">
      <c r="B54" t="s">
        <v>21</v>
      </c>
      <c r="C54" s="1" cm="1">
        <f t="array" ref="C54:G54">-MMULT(C48:G48,C49:G53)</f>
        <v>-2.9130184815052895</v>
      </c>
      <c r="D54" s="1">
        <v>3.5902918261750987</v>
      </c>
      <c r="E54" s="1">
        <v>-1.5132648449158648</v>
      </c>
      <c r="F54" s="1">
        <v>-3.5408171979349627</v>
      </c>
      <c r="G54" s="1">
        <v>2.4178206122845962</v>
      </c>
    </row>
    <row r="55" spans="1:10" x14ac:dyDescent="0.25">
      <c r="B55" t="s">
        <v>13</v>
      </c>
      <c r="C55" s="1">
        <f t="shared" ref="C55" si="99">J48/SUMPRODUCT(_xlfn.ANCHORARRAY(C54),_xlfn.ANCHORARRAY(C54))</f>
        <v>7.3259273409560524E-2</v>
      </c>
    </row>
    <row r="56" spans="1:10" x14ac:dyDescent="0.25">
      <c r="A56" s="1" t="s">
        <v>4</v>
      </c>
      <c r="B56" t="s">
        <v>18</v>
      </c>
      <c r="C56" s="1" cm="1">
        <f t="array" ref="C56:G56">C47:G47+C55*C54:G54</f>
        <v>-0.76580938180706815</v>
      </c>
      <c r="D56" s="1">
        <v>1.9850436869720975</v>
      </c>
      <c r="E56" s="1">
        <v>0.61954667027307164</v>
      </c>
      <c r="F56" s="1">
        <v>-0.57651999730127312</v>
      </c>
      <c r="G56" s="1">
        <v>-0.32372418744936282</v>
      </c>
    </row>
    <row r="57" spans="1:10" x14ac:dyDescent="0.25">
      <c r="A57" s="1">
        <v>7</v>
      </c>
      <c r="B57" t="s">
        <v>19</v>
      </c>
      <c r="C57" s="1">
        <f t="shared" ref="C57" si="100">2*C56-F56*(D56^2)-2*G56*C56</f>
        <v>0.24427769417915873</v>
      </c>
      <c r="D57" s="1">
        <f t="shared" ref="D57" si="101">2*D56-2*F56*C56*D56+4*G56*D56</f>
        <v>-0.35315037875353816</v>
      </c>
      <c r="E57" s="1">
        <f t="shared" ref="E57" si="102">4*E56+2*F56+2*G56</f>
        <v>0.67769831159101468</v>
      </c>
      <c r="F57" s="1">
        <f t="shared" ref="F57" si="103">C56*(D56^2)-2*E56+5</f>
        <v>0.74331256666592793</v>
      </c>
      <c r="G57" s="1">
        <f t="shared" ref="G57" si="104">C56^2-2*(D56^2)-2*E56+7</f>
        <v>-1.5334262096579767</v>
      </c>
      <c r="J57" s="1">
        <f t="shared" ref="J57" si="105">0.5*(C57*C57+D57*D57+E57*E57+F57*F57+G57*G57)</f>
        <v>1.7737856478250424</v>
      </c>
    </row>
    <row r="58" spans="1:10" x14ac:dyDescent="0.25">
      <c r="C58" s="5">
        <f t="shared" ref="C58" si="106">2-2*G56</f>
        <v>2.6474483748987256</v>
      </c>
      <c r="D58" s="6">
        <f t="shared" ref="D58" si="107">-2*F56*D56</f>
        <v>2.2888347621121259</v>
      </c>
      <c r="E58" s="6">
        <f>0</f>
        <v>0</v>
      </c>
      <c r="F58" s="6">
        <f t="shared" ref="F58" si="108">-(D56^2)</f>
        <v>-3.9403984391877787</v>
      </c>
      <c r="G58" s="7">
        <f t="shared" ref="G58" si="109">-2*C56</f>
        <v>1.5316187636141363</v>
      </c>
    </row>
    <row r="59" spans="1:10" x14ac:dyDescent="0.25">
      <c r="C59" s="8">
        <f t="shared" ref="C59" si="110">-2*F56*D56</f>
        <v>2.2888347621121259</v>
      </c>
      <c r="D59" s="1">
        <f t="shared" ref="D59" si="111">2-2*F56*C56+4*G56</f>
        <v>-0.17790559526285232</v>
      </c>
      <c r="E59" s="1">
        <f>0</f>
        <v>0</v>
      </c>
      <c r="F59" s="1">
        <f t="shared" ref="F59" si="112">-2*C56*D56</f>
        <v>3.0403301575602506</v>
      </c>
      <c r="G59" s="9">
        <f t="shared" ref="G59" si="113">4*D56</f>
        <v>7.9401747478883902</v>
      </c>
    </row>
    <row r="60" spans="1:10" x14ac:dyDescent="0.25">
      <c r="B60" t="s">
        <v>20</v>
      </c>
      <c r="C60" s="8">
        <f>0</f>
        <v>0</v>
      </c>
      <c r="D60" s="1">
        <f>0</f>
        <v>0</v>
      </c>
      <c r="E60" s="1">
        <f>4</f>
        <v>4</v>
      </c>
      <c r="F60" s="1">
        <f>2</f>
        <v>2</v>
      </c>
      <c r="G60" s="9">
        <f>2</f>
        <v>2</v>
      </c>
    </row>
    <row r="61" spans="1:10" x14ac:dyDescent="0.25">
      <c r="C61" s="8">
        <f t="shared" ref="C61" si="114">(D56^2)</f>
        <v>3.9403984391877787</v>
      </c>
      <c r="D61" s="1">
        <f t="shared" ref="D61" si="115">2*C56*D56</f>
        <v>-3.0403301575602506</v>
      </c>
      <c r="E61" s="1">
        <f t="shared" ref="E61:E62" si="116">-2</f>
        <v>-2</v>
      </c>
      <c r="F61" s="1">
        <f>0</f>
        <v>0</v>
      </c>
      <c r="G61" s="9">
        <f>0</f>
        <v>0</v>
      </c>
    </row>
    <row r="62" spans="1:10" x14ac:dyDescent="0.25">
      <c r="C62" s="10">
        <f t="shared" ref="C62" si="117">2*C56</f>
        <v>-1.5316187636141363</v>
      </c>
      <c r="D62" s="11">
        <f t="shared" ref="D62" si="118">-4*D56</f>
        <v>-7.9401747478883902</v>
      </c>
      <c r="E62" s="11">
        <f t="shared" si="116"/>
        <v>-2</v>
      </c>
      <c r="F62" s="11">
        <f>0</f>
        <v>0</v>
      </c>
      <c r="G62" s="12">
        <f>0</f>
        <v>0</v>
      </c>
    </row>
    <row r="63" spans="1:10" x14ac:dyDescent="0.25">
      <c r="B63" t="s">
        <v>21</v>
      </c>
      <c r="C63" s="1" cm="1">
        <f t="array" ref="C63:G63">-MMULT(C57:G57,C58:G62)</f>
        <v>-5.1159817541834052</v>
      </c>
      <c r="D63" s="1">
        <v>-10.537695161143843</v>
      </c>
      <c r="E63" s="1">
        <v>-4.2910205323481563</v>
      </c>
      <c r="F63" s="1">
        <v>0.68084856836812424</v>
      </c>
      <c r="G63" s="1">
        <v>1.07453879646684</v>
      </c>
    </row>
    <row r="64" spans="1:10" x14ac:dyDescent="0.25">
      <c r="B64" t="s">
        <v>13</v>
      </c>
      <c r="C64" s="1">
        <f t="shared" ref="C64" si="119">J57/SUMPRODUCT(_xlfn.ANCHORARRAY(C63),_xlfn.ANCHORARRAY(C63))</f>
        <v>1.1280227143825856E-2</v>
      </c>
    </row>
    <row r="65" spans="1:10" x14ac:dyDescent="0.25">
      <c r="A65" s="1" t="s">
        <v>4</v>
      </c>
      <c r="B65" t="s">
        <v>18</v>
      </c>
      <c r="C65" s="1" cm="1">
        <f t="array" ref="C65:G65">C56:G56+C64*C63:G63</f>
        <v>-0.82351881805792559</v>
      </c>
      <c r="D65" s="1">
        <v>1.8661760919820003</v>
      </c>
      <c r="E65" s="1">
        <v>0.57114298398936392</v>
      </c>
      <c r="F65" s="1">
        <v>-0.56883987079953202</v>
      </c>
      <c r="G65" s="1">
        <v>-0.31160314575036363</v>
      </c>
    </row>
    <row r="66" spans="1:10" x14ac:dyDescent="0.25">
      <c r="A66" s="1">
        <v>8</v>
      </c>
      <c r="B66" t="s">
        <v>19</v>
      </c>
      <c r="C66" s="1">
        <f t="shared" ref="C66" si="120">2*C65-F65*(D65^2)-2*G65*C65</f>
        <v>-0.17921049839076952</v>
      </c>
      <c r="D66" s="1">
        <f t="shared" ref="D66" si="121">2*D65-2*F65*C65*D65+4*G65*D65</f>
        <v>-0.34209482153462223</v>
      </c>
      <c r="E66" s="1">
        <f t="shared" ref="E66" si="122">4*E65+2*F65+2*G65</f>
        <v>0.52368590285766436</v>
      </c>
      <c r="F66" s="1">
        <f t="shared" ref="F66" si="123">C65*(D65^2)-2*E65+5</f>
        <v>0.98971652062835247</v>
      </c>
      <c r="G66" s="1">
        <f t="shared" ref="G66" si="124">C65^2-2*(D65^2)-2*E65+7</f>
        <v>-0.42932913685362717</v>
      </c>
      <c r="J66" s="1">
        <f t="shared" ref="J66" si="125">0.5*(C66*C66+D66*D66+E66*E66+F66*F66+G66*G66)</f>
        <v>0.79362724673114626</v>
      </c>
    </row>
    <row r="67" spans="1:10" x14ac:dyDescent="0.25">
      <c r="C67" s="5">
        <f t="shared" ref="C67" si="126">2-2*G65</f>
        <v>2.6232062915007273</v>
      </c>
      <c r="D67" s="6">
        <f t="shared" ref="D67" si="127">-2*F65*D65</f>
        <v>2.1231107341044333</v>
      </c>
      <c r="E67" s="6">
        <f>0</f>
        <v>0</v>
      </c>
      <c r="F67" s="6">
        <f t="shared" ref="F67" si="128">-(D65^2)</f>
        <v>-3.4826132062852113</v>
      </c>
      <c r="G67" s="7">
        <f t="shared" ref="G67" si="129">-2*C65</f>
        <v>1.6470376361158512</v>
      </c>
    </row>
    <row r="68" spans="1:10" x14ac:dyDescent="0.25">
      <c r="C68" s="8">
        <f t="shared" ref="C68" si="130">-2*F65*D65</f>
        <v>2.1231107341044333</v>
      </c>
      <c r="D68" s="1">
        <f t="shared" ref="D68" si="131">2-2*F65*C65+4*G65</f>
        <v>-0.18331325913156205</v>
      </c>
      <c r="E68" s="1">
        <f>0</f>
        <v>0</v>
      </c>
      <c r="F68" s="1">
        <f t="shared" ref="F68" si="132">-2*C65*D65</f>
        <v>3.0736622591139509</v>
      </c>
      <c r="G68" s="9">
        <f t="shared" ref="G68" si="133">4*D65</f>
        <v>7.4647043679280012</v>
      </c>
    </row>
    <row r="69" spans="1:10" x14ac:dyDescent="0.25">
      <c r="B69" t="s">
        <v>20</v>
      </c>
      <c r="C69" s="8">
        <f>0</f>
        <v>0</v>
      </c>
      <c r="D69" s="1">
        <f>0</f>
        <v>0</v>
      </c>
      <c r="E69" s="1">
        <f>4</f>
        <v>4</v>
      </c>
      <c r="F69" s="1">
        <f>2</f>
        <v>2</v>
      </c>
      <c r="G69" s="9">
        <f>2</f>
        <v>2</v>
      </c>
    </row>
    <row r="70" spans="1:10" x14ac:dyDescent="0.25">
      <c r="C70" s="8">
        <f t="shared" ref="C70" si="134">(D65^2)</f>
        <v>3.4826132062852113</v>
      </c>
      <c r="D70" s="1">
        <f t="shared" ref="D70" si="135">2*C65*D65</f>
        <v>-3.0736622591139509</v>
      </c>
      <c r="E70" s="1">
        <f t="shared" ref="E70:E71" si="136">-2</f>
        <v>-2</v>
      </c>
      <c r="F70" s="1">
        <f>0</f>
        <v>0</v>
      </c>
      <c r="G70" s="9">
        <f>0</f>
        <v>0</v>
      </c>
    </row>
    <row r="71" spans="1:10" x14ac:dyDescent="0.25">
      <c r="C71" s="10">
        <f t="shared" ref="C71" si="137">2*C65</f>
        <v>-1.6470376361158512</v>
      </c>
      <c r="D71" s="11">
        <f t="shared" ref="D71" si="138">-4*D65</f>
        <v>-7.4647043679280012</v>
      </c>
      <c r="E71" s="11">
        <f t="shared" si="136"/>
        <v>-2</v>
      </c>
      <c r="F71" s="11">
        <f>0</f>
        <v>0</v>
      </c>
      <c r="G71" s="12">
        <f>0</f>
        <v>0</v>
      </c>
    </row>
    <row r="72" spans="1:10" x14ac:dyDescent="0.25">
      <c r="B72" t="s">
        <v>21</v>
      </c>
      <c r="C72" s="1" cm="1">
        <f t="array" ref="C72:G72">-MMULT(C66:G66,C67:G71)</f>
        <v>-2.9575097773346624</v>
      </c>
      <c r="D72" s="1">
        <v>0.15501244965701799</v>
      </c>
      <c r="E72" s="1">
        <v>-0.97396884388120686</v>
      </c>
      <c r="F72" s="1">
        <v>-0.62000871212668651</v>
      </c>
      <c r="G72" s="1">
        <v>1.8014313384763923</v>
      </c>
    </row>
    <row r="73" spans="1:10" x14ac:dyDescent="0.25">
      <c r="B73" t="s">
        <v>13</v>
      </c>
      <c r="C73" s="1">
        <f t="shared" ref="C73" si="139">J66/SUMPRODUCT(_xlfn.ANCHORARRAY(C72),_xlfn.ANCHORARRAY(C72))</f>
        <v>5.9451857962657138E-2</v>
      </c>
    </row>
    <row r="74" spans="1:10" x14ac:dyDescent="0.25">
      <c r="A74" s="1" t="s">
        <v>4</v>
      </c>
      <c r="B74" t="s">
        <v>18</v>
      </c>
      <c r="C74" s="1" cm="1">
        <f t="array" ref="C74:G74">C65:G65+C73*C72:G72</f>
        <v>-0.99934826926319564</v>
      </c>
      <c r="D74" s="1">
        <v>1.8753918701214529</v>
      </c>
      <c r="E74" s="1">
        <v>0.51323872662288506</v>
      </c>
      <c r="F74" s="1">
        <v>-0.60570054068849777</v>
      </c>
      <c r="G74" s="1">
        <v>-0.20450470568578583</v>
      </c>
    </row>
    <row r="75" spans="1:10" x14ac:dyDescent="0.25">
      <c r="A75" s="1">
        <v>9</v>
      </c>
      <c r="B75" t="s">
        <v>19</v>
      </c>
      <c r="C75" s="1">
        <f t="shared" ref="C75" si="140">2*C74-F74*(D74^2)-2*G74*C74</f>
        <v>-0.27713324473056311</v>
      </c>
      <c r="D75" s="1">
        <f t="shared" ref="D75" si="141">2*D74-2*F74*C74*D74+4*G74*D74</f>
        <v>-5.3693213398585904E-2</v>
      </c>
      <c r="E75" s="1">
        <f t="shared" ref="E75" si="142">4*E74+2*F74+2*G74</f>
        <v>0.43254441374297303</v>
      </c>
      <c r="F75" s="1">
        <f t="shared" ref="F75" si="143">C74*(D74^2)-2*E74+5</f>
        <v>0.45872007893500921</v>
      </c>
      <c r="G75" s="1">
        <f t="shared" ref="G75" si="144">C74^2-2*(D74^2)-2*E74+7</f>
        <v>-6.1969823001705393E-2</v>
      </c>
      <c r="J75" s="1">
        <f t="shared" ref="J75" si="145">0.5*(C75*C75+D75*D75+E75*E75+F75*F75+G75*G75)</f>
        <v>0.24052241807060618</v>
      </c>
    </row>
    <row r="76" spans="1:10" x14ac:dyDescent="0.25">
      <c r="C76" s="5">
        <f t="shared" ref="C76" si="146">2-2*G74</f>
        <v>2.4090094113715717</v>
      </c>
      <c r="D76" s="6">
        <f t="shared" ref="D76" si="147">-2*F74*D74</f>
        <v>2.2718517394707543</v>
      </c>
      <c r="E76" s="6">
        <f>0</f>
        <v>0</v>
      </c>
      <c r="F76" s="6">
        <f t="shared" ref="F76" si="148">-(D74^2)</f>
        <v>-3.5170946665176404</v>
      </c>
      <c r="G76" s="7">
        <f t="shared" ref="G76" si="149">-2*C74</f>
        <v>1.9986965385263913</v>
      </c>
    </row>
    <row r="77" spans="1:10" x14ac:dyDescent="0.25">
      <c r="C77" s="8">
        <f t="shared" ref="C77" si="150">-2*F74*D74</f>
        <v>2.2718517394707543</v>
      </c>
      <c r="D77" s="1">
        <f t="shared" ref="D77" si="151">2-2*F74*C74+4*G74</f>
        <v>-2.8630396800807478E-2</v>
      </c>
      <c r="E77" s="1">
        <f>0</f>
        <v>0</v>
      </c>
      <c r="F77" s="1">
        <f t="shared" ref="F77" si="152">-2*C74*D74</f>
        <v>3.7483392391922834</v>
      </c>
      <c r="G77" s="9">
        <f t="shared" ref="G77" si="153">4*D74</f>
        <v>7.5015674804858117</v>
      </c>
    </row>
    <row r="78" spans="1:10" x14ac:dyDescent="0.25">
      <c r="B78" t="s">
        <v>20</v>
      </c>
      <c r="C78" s="8">
        <f>0</f>
        <v>0</v>
      </c>
      <c r="D78" s="1">
        <f>0</f>
        <v>0</v>
      </c>
      <c r="E78" s="1">
        <f>4</f>
        <v>4</v>
      </c>
      <c r="F78" s="1">
        <f>2</f>
        <v>2</v>
      </c>
      <c r="G78" s="9">
        <f>2</f>
        <v>2</v>
      </c>
    </row>
    <row r="79" spans="1:10" x14ac:dyDescent="0.25">
      <c r="C79" s="8">
        <f t="shared" ref="C79" si="154">(D74^2)</f>
        <v>3.5170946665176404</v>
      </c>
      <c r="D79" s="1">
        <f t="shared" ref="D79" si="155">2*C74*D74</f>
        <v>-3.7483392391922834</v>
      </c>
      <c r="E79" s="1">
        <f t="shared" ref="E79:E80" si="156">-2</f>
        <v>-2</v>
      </c>
      <c r="F79" s="1">
        <f>0</f>
        <v>0</v>
      </c>
      <c r="G79" s="9">
        <f>0</f>
        <v>0</v>
      </c>
    </row>
    <row r="80" spans="1:10" x14ac:dyDescent="0.25">
      <c r="C80" s="10">
        <f t="shared" ref="C80" si="157">2*C74</f>
        <v>-1.9986965385263913</v>
      </c>
      <c r="D80" s="11">
        <f t="shared" ref="D80" si="158">-4*D74</f>
        <v>-7.5015674804858117</v>
      </c>
      <c r="E80" s="11">
        <f t="shared" si="156"/>
        <v>-2</v>
      </c>
      <c r="F80" s="11">
        <f>0</f>
        <v>0</v>
      </c>
      <c r="G80" s="12">
        <f>0</f>
        <v>0</v>
      </c>
    </row>
    <row r="81" spans="1:13" x14ac:dyDescent="0.25">
      <c r="B81" t="s">
        <v>21</v>
      </c>
      <c r="C81" s="1" cm="1">
        <f t="array" ref="C81:G81">-MMULT(C75:G75,C76:G80)</f>
        <v>-0.94762119875625439</v>
      </c>
      <c r="D81" s="1">
        <v>1.8826360487776137</v>
      </c>
      <c r="E81" s="1">
        <v>-0.93667714310528449</v>
      </c>
      <c r="F81" s="1">
        <v>-1.6385323057822931</v>
      </c>
      <c r="G81" s="1">
        <v>9.1599693021234829E-2</v>
      </c>
      <c r="M81" s="2"/>
    </row>
    <row r="82" spans="1:13" x14ac:dyDescent="0.25">
      <c r="B82" t="s">
        <v>13</v>
      </c>
      <c r="C82" s="1">
        <f t="shared" ref="C82" si="159">J75/SUMPRODUCT(_xlfn.ANCHORARRAY(C81),_xlfn.ANCHORARRAY(C81))</f>
        <v>3.00170981020592E-2</v>
      </c>
    </row>
    <row r="83" spans="1:13" x14ac:dyDescent="0.25">
      <c r="A83" s="1" t="s">
        <v>4</v>
      </c>
      <c r="B83" t="s">
        <v>18</v>
      </c>
      <c r="C83" s="1" cm="1">
        <f t="array" ref="C83:G83">C74:G74+C82*C81:G81</f>
        <v>-1.027793107749853</v>
      </c>
      <c r="D83" s="1">
        <v>1.9319031410880836</v>
      </c>
      <c r="E83" s="1">
        <v>0.4851223969283372</v>
      </c>
      <c r="F83" s="1">
        <v>-0.65488452565455813</v>
      </c>
      <c r="G83" s="1">
        <v>-0.20175514871424891</v>
      </c>
    </row>
    <row r="84" spans="1:13" x14ac:dyDescent="0.25">
      <c r="A84" s="1">
        <v>10</v>
      </c>
      <c r="B84" t="s">
        <v>19</v>
      </c>
      <c r="C84" s="1">
        <f t="shared" ref="C84" si="160">2*C83-F83*(D83^2)-2*G83*C83</f>
        <v>-2.6118713211684852E-2</v>
      </c>
      <c r="D84" s="1">
        <f t="shared" ref="D84" si="161">2*D83-2*F83*C83*D83+4*G83*D83</f>
        <v>-0.29595248954298659</v>
      </c>
      <c r="E84" s="1">
        <f t="shared" ref="E84" si="162">4*E83+2*F83+2*G83</f>
        <v>0.22721023897573472</v>
      </c>
      <c r="F84" s="1">
        <f t="shared" ref="F84" si="163">C83*(D83^2)-2*E83+5</f>
        <v>0.19377464024220714</v>
      </c>
      <c r="G84" s="1">
        <f t="shared" ref="G84" si="164">C83^2-2*(D83^2)-2*E83+7</f>
        <v>-0.37838561461058084</v>
      </c>
      <c r="J84" s="1">
        <f t="shared" ref="J84" si="165">0.5*(C84*C84+D84*D84+E84*E84+F84*F84+G84*G84)</f>
        <v>0.16030942024358008</v>
      </c>
    </row>
    <row r="85" spans="1:13" x14ac:dyDescent="0.25">
      <c r="C85" s="5">
        <f t="shared" ref="C85" si="166">2-2*G83</f>
        <v>2.4035102974284976</v>
      </c>
      <c r="D85" s="6">
        <f t="shared" ref="D85" si="167">-2*F83*D83</f>
        <v>2.5303469443240409</v>
      </c>
      <c r="E85" s="6">
        <f>0</f>
        <v>0</v>
      </c>
      <c r="F85" s="6">
        <f t="shared" ref="F85" si="168">-(D83^2)</f>
        <v>-3.7322497465460036</v>
      </c>
      <c r="G85" s="7">
        <f t="shared" ref="G85" si="169">-2*C83</f>
        <v>2.055586215499706</v>
      </c>
    </row>
    <row r="86" spans="1:13" x14ac:dyDescent="0.25">
      <c r="C86" s="8">
        <f t="shared" ref="C86" si="170">-2*F83*D83</f>
        <v>2.5303469443240409</v>
      </c>
      <c r="D86" s="1">
        <f t="shared" ref="D86" si="171">2-2*F83*C83+4*G83</f>
        <v>-0.15319219853656885</v>
      </c>
      <c r="E86" s="1">
        <f>0</f>
        <v>0</v>
      </c>
      <c r="F86" s="1">
        <f t="shared" ref="F86" si="172">-2*C83*D83</f>
        <v>3.9711934665012483</v>
      </c>
      <c r="G86" s="9">
        <f t="shared" ref="G86" si="173">4*D83</f>
        <v>7.7276125643523343</v>
      </c>
    </row>
    <row r="87" spans="1:13" x14ac:dyDescent="0.25">
      <c r="B87" t="s">
        <v>20</v>
      </c>
      <c r="C87" s="8">
        <f>0</f>
        <v>0</v>
      </c>
      <c r="D87" s="1">
        <f>0</f>
        <v>0</v>
      </c>
      <c r="E87" s="1">
        <f>4</f>
        <v>4</v>
      </c>
      <c r="F87" s="1">
        <f>2</f>
        <v>2</v>
      </c>
      <c r="G87" s="9">
        <f>2</f>
        <v>2</v>
      </c>
    </row>
    <row r="88" spans="1:13" x14ac:dyDescent="0.25">
      <c r="C88" s="8">
        <f t="shared" ref="C88" si="174">(D83^2)</f>
        <v>3.7322497465460036</v>
      </c>
      <c r="D88" s="1">
        <f t="shared" ref="D88" si="175">2*C83*D83</f>
        <v>-3.9711934665012483</v>
      </c>
      <c r="E88" s="1">
        <f t="shared" ref="E88:E89" si="176">-2</f>
        <v>-2</v>
      </c>
      <c r="F88" s="1">
        <f>0</f>
        <v>0</v>
      </c>
      <c r="G88" s="9">
        <f>0</f>
        <v>0</v>
      </c>
    </row>
    <row r="89" spans="1:13" x14ac:dyDescent="0.25">
      <c r="C89" s="10">
        <f t="shared" ref="C89" si="177">2*C83</f>
        <v>-2.055586215499706</v>
      </c>
      <c r="D89" s="11">
        <f t="shared" ref="D89" si="178">-4*D83</f>
        <v>-7.7276125643523343</v>
      </c>
      <c r="E89" s="11">
        <f t="shared" si="176"/>
        <v>-2</v>
      </c>
      <c r="F89" s="11">
        <f>0</f>
        <v>0</v>
      </c>
      <c r="G89" s="12">
        <f>0</f>
        <v>0</v>
      </c>
    </row>
    <row r="90" spans="1:13" x14ac:dyDescent="0.25">
      <c r="B90" t="s">
        <v>21</v>
      </c>
      <c r="C90" s="1" cm="1">
        <f t="array" ref="C90:G90">-MMULT(C84:G84,C85:G89)</f>
        <v>-0.68938053172785962</v>
      </c>
      <c r="D90" s="1">
        <v>-2.1337490507020203</v>
      </c>
      <c r="E90" s="1">
        <v>-1.2780629046396863</v>
      </c>
      <c r="F90" s="1">
        <v>0.62338255415199917</v>
      </c>
      <c r="G90" s="1">
        <v>1.8862749655367961</v>
      </c>
    </row>
    <row r="91" spans="1:13" x14ac:dyDescent="0.25">
      <c r="B91" t="s">
        <v>13</v>
      </c>
      <c r="C91" s="1">
        <f t="shared" ref="C91" si="179">J84/SUMPRODUCT(_xlfn.ANCHORARRAY(C90),_xlfn.ANCHORARRAY(C90))</f>
        <v>1.5111819447539197E-2</v>
      </c>
    </row>
    <row r="92" spans="1:13" x14ac:dyDescent="0.25">
      <c r="A92" s="1" t="s">
        <v>4</v>
      </c>
      <c r="B92" t="s">
        <v>18</v>
      </c>
      <c r="C92" s="1" cm="1">
        <f t="array" ref="C92:G92">C83:G83+C91*C90:G90</f>
        <v>-1.0382109018759729</v>
      </c>
      <c r="D92" s="1">
        <v>1.8996583106875164</v>
      </c>
      <c r="E92" s="1">
        <v>0.46580854107082476</v>
      </c>
      <c r="F92" s="1">
        <v>-0.64546408104946729</v>
      </c>
      <c r="G92" s="1">
        <v>-0.17325010200664362</v>
      </c>
    </row>
    <row r="93" spans="1:13" x14ac:dyDescent="0.25">
      <c r="A93" s="1">
        <v>11</v>
      </c>
      <c r="B93" t="s">
        <v>19</v>
      </c>
      <c r="C93" s="1">
        <f t="shared" ref="C93" si="180">2*C92-F92*(D92^2)-2*G92*C92</f>
        <v>-0.10687476818998626</v>
      </c>
      <c r="D93" s="1">
        <f t="shared" ref="D93" si="181">2*D92-2*F92*C92*D92+4*G92*D92</f>
        <v>-6.3175225713403504E-2</v>
      </c>
      <c r="E93" s="1">
        <f t="shared" ref="E93" si="182">4*E92+2*F92+2*G92</f>
        <v>0.22580579817107721</v>
      </c>
      <c r="F93" s="1">
        <f t="shared" ref="F93" si="183">C92*(D92^2)-2*E92+5</f>
        <v>0.32178947403656366</v>
      </c>
      <c r="G93" s="1">
        <f t="shared" ref="G93" si="184">C92^2-2*(D92^2)-2*E92+7</f>
        <v>-7.1138600095824955E-2</v>
      </c>
      <c r="J93" s="1">
        <f t="shared" ref="J93" si="185">0.5*(C93*C93+D93*D93+E93*E93+F93*F93+G93*G93)</f>
        <v>8.7505374865801011E-2</v>
      </c>
    </row>
    <row r="94" spans="1:13" x14ac:dyDescent="0.25">
      <c r="C94" s="5">
        <f t="shared" ref="C94" si="186">2-2*G92</f>
        <v>2.3465002040132874</v>
      </c>
      <c r="D94" s="6">
        <f t="shared" ref="D94" si="187">-2*F92*D92</f>
        <v>2.4523224116318025</v>
      </c>
      <c r="E94" s="6">
        <f>0</f>
        <v>0</v>
      </c>
      <c r="F94" s="6">
        <f t="shared" ref="F94" si="188">-(D92^2)</f>
        <v>-3.6087016973641486</v>
      </c>
      <c r="G94" s="7">
        <f t="shared" ref="G94" si="189">-2*C92</f>
        <v>2.0764218037519457</v>
      </c>
    </row>
    <row r="95" spans="1:13" x14ac:dyDescent="0.25">
      <c r="C95" s="8">
        <f t="shared" ref="C95" si="190">-2*F92*D92</f>
        <v>2.4523224116318025</v>
      </c>
      <c r="D95" s="1">
        <f t="shared" ref="D95" si="191">2-2*F92*C92+4*G92</f>
        <v>-3.32560994564014E-2</v>
      </c>
      <c r="E95" s="1">
        <f>0</f>
        <v>0</v>
      </c>
      <c r="F95" s="1">
        <f t="shared" ref="F95" si="192">-2*C92*D92</f>
        <v>3.9444919359901469</v>
      </c>
      <c r="G95" s="9">
        <f t="shared" ref="G95" si="193">4*D92</f>
        <v>7.5986332427500658</v>
      </c>
    </row>
    <row r="96" spans="1:13" x14ac:dyDescent="0.25">
      <c r="B96" t="s">
        <v>20</v>
      </c>
      <c r="C96" s="8">
        <f>0</f>
        <v>0</v>
      </c>
      <c r="D96" s="1">
        <f>0</f>
        <v>0</v>
      </c>
      <c r="E96" s="1">
        <f>4</f>
        <v>4</v>
      </c>
      <c r="F96" s="1">
        <f>2</f>
        <v>2</v>
      </c>
      <c r="G96" s="9">
        <f>2</f>
        <v>2</v>
      </c>
    </row>
    <row r="97" spans="1:10" x14ac:dyDescent="0.25">
      <c r="C97" s="8">
        <f t="shared" ref="C97" si="194">(D92^2)</f>
        <v>3.6087016973641486</v>
      </c>
      <c r="D97" s="1">
        <f t="shared" ref="D97" si="195">2*C92*D92</f>
        <v>-3.9444919359901469</v>
      </c>
      <c r="E97" s="1">
        <f t="shared" ref="E97:E98" si="196">-2</f>
        <v>-2</v>
      </c>
      <c r="F97" s="1">
        <f>0</f>
        <v>0</v>
      </c>
      <c r="G97" s="9">
        <f>0</f>
        <v>0</v>
      </c>
    </row>
    <row r="98" spans="1:10" x14ac:dyDescent="0.25">
      <c r="C98" s="10">
        <f t="shared" ref="C98" si="197">2*C92</f>
        <v>-2.0764218037519457</v>
      </c>
      <c r="D98" s="11">
        <f t="shared" ref="D98" si="198">-4*D92</f>
        <v>-7.5986332427500658</v>
      </c>
      <c r="E98" s="11">
        <f t="shared" si="196"/>
        <v>-2</v>
      </c>
      <c r="F98" s="11">
        <f>0</f>
        <v>0</v>
      </c>
      <c r="G98" s="12">
        <f>0</f>
        <v>0</v>
      </c>
    </row>
    <row r="99" spans="1:10" x14ac:dyDescent="0.25">
      <c r="B99" t="s">
        <v>21</v>
      </c>
      <c r="C99" s="1" cm="1">
        <f t="array" ref="C99:G99">-MMULT(C93:G93,C94:G98)</f>
        <v>-0.9032482742384722</v>
      </c>
      <c r="D99" s="1">
        <v>0.98873028157364895</v>
      </c>
      <c r="E99" s="1">
        <v>-0.40192144480283143</v>
      </c>
      <c r="F99" s="1">
        <v>-0.58809658533388021</v>
      </c>
      <c r="G99" s="1">
        <v>0.25035087282257451</v>
      </c>
    </row>
    <row r="100" spans="1:10" x14ac:dyDescent="0.25">
      <c r="B100" t="s">
        <v>13</v>
      </c>
      <c r="C100" s="1">
        <f t="shared" ref="C100" si="199">J93/SUMPRODUCT(_xlfn.ANCHORARRAY(C99),_xlfn.ANCHORARRAY(C99))</f>
        <v>3.7023342857739824E-2</v>
      </c>
    </row>
    <row r="101" spans="1:10" x14ac:dyDescent="0.25">
      <c r="A101" s="1" t="s">
        <v>4</v>
      </c>
      <c r="B101" t="s">
        <v>18</v>
      </c>
      <c r="C101" s="1" cm="1">
        <f t="array" ref="C101:G101">C92:G92+C100*C99:G99</f>
        <v>-1.0716521724187655</v>
      </c>
      <c r="D101" s="1">
        <v>1.9362644108960474</v>
      </c>
      <c r="E101" s="1">
        <v>0.45092806561801135</v>
      </c>
      <c r="F101" s="1">
        <v>-0.66723738256174958</v>
      </c>
      <c r="G101" s="1">
        <v>-0.16398127580739902</v>
      </c>
    </row>
    <row r="102" spans="1:10" x14ac:dyDescent="0.25">
      <c r="A102" s="1">
        <v>12</v>
      </c>
      <c r="B102" t="s">
        <v>19</v>
      </c>
      <c r="C102" s="1">
        <f t="shared" ref="C102" si="200">2*C101-F101*(D101^2)-2*G101*C101</f>
        <v>6.7868024893011358E-3</v>
      </c>
      <c r="D102" s="1">
        <f t="shared" ref="D102" si="201">2*D101-2*F101*C101*D101+4*G101*D101</f>
        <v>-0.1665533680943172</v>
      </c>
      <c r="E102" s="1">
        <f t="shared" ref="E102" si="202">4*E101+2*F101+2*G101</f>
        <v>0.14127494573374821</v>
      </c>
      <c r="F102" s="1">
        <f t="shared" ref="F102" si="203">C101*(D101^2)-2*E101+5</f>
        <v>8.0391416596130583E-2</v>
      </c>
      <c r="G102" s="1">
        <f t="shared" ref="G102" si="204">C101^2-2*(D101^2)-2*E101+7</f>
        <v>-0.25165749039139751</v>
      </c>
      <c r="J102" s="1">
        <f t="shared" ref="J102" si="205">0.5*(C102*C102+D102*D102+E102*E102+F102*F102+G102*G102)</f>
        <v>5.8769483868046174E-2</v>
      </c>
    </row>
    <row r="103" spans="1:10" x14ac:dyDescent="0.25">
      <c r="C103" s="5">
        <f t="shared" ref="C103" si="206">2-2*G101</f>
        <v>2.3279625516147981</v>
      </c>
      <c r="D103" s="6">
        <f t="shared" ref="D103" si="207">-2*F101*D101</f>
        <v>2.5838959949474933</v>
      </c>
      <c r="E103" s="6">
        <f>0</f>
        <v>0</v>
      </c>
      <c r="F103" s="6">
        <f t="shared" ref="F103" si="208">-(D101^2)</f>
        <v>-3.7491198689026173</v>
      </c>
      <c r="G103" s="7">
        <f t="shared" ref="G103" si="209">-2*C101</f>
        <v>2.1433043448375311</v>
      </c>
    </row>
    <row r="104" spans="1:10" x14ac:dyDescent="0.25">
      <c r="C104" s="8">
        <f t="shared" ref="C104" si="210">-2*F101*D101</f>
        <v>2.5838959949474933</v>
      </c>
      <c r="D104" s="1">
        <f t="shared" ref="D104" si="211">2-2*F101*C101+4*G101</f>
        <v>-8.6017884312215909E-2</v>
      </c>
      <c r="E104" s="1">
        <f>0</f>
        <v>0</v>
      </c>
      <c r="F104" s="1">
        <f t="shared" ref="F104" si="212">-2*C101*D101</f>
        <v>4.1500039246277813</v>
      </c>
      <c r="G104" s="9">
        <f t="shared" ref="G104" si="213">4*D101</f>
        <v>7.7450576435841896</v>
      </c>
    </row>
    <row r="105" spans="1:10" x14ac:dyDescent="0.25">
      <c r="B105" t="s">
        <v>20</v>
      </c>
      <c r="C105" s="8">
        <f>0</f>
        <v>0</v>
      </c>
      <c r="D105" s="1">
        <f>0</f>
        <v>0</v>
      </c>
      <c r="E105" s="1">
        <f>4</f>
        <v>4</v>
      </c>
      <c r="F105" s="1">
        <f>2</f>
        <v>2</v>
      </c>
      <c r="G105" s="9">
        <f>2</f>
        <v>2</v>
      </c>
    </row>
    <row r="106" spans="1:10" x14ac:dyDescent="0.25">
      <c r="C106" s="8">
        <f t="shared" ref="C106" si="214">(D101^2)</f>
        <v>3.7491198689026173</v>
      </c>
      <c r="D106" s="1">
        <f t="shared" ref="D106" si="215">2*C101*D101</f>
        <v>-4.1500039246277813</v>
      </c>
      <c r="E106" s="1">
        <f t="shared" ref="E106:E107" si="216">-2</f>
        <v>-2</v>
      </c>
      <c r="F106" s="1">
        <f>0</f>
        <v>0</v>
      </c>
      <c r="G106" s="9">
        <f>0</f>
        <v>0</v>
      </c>
    </row>
    <row r="107" spans="1:10" x14ac:dyDescent="0.25">
      <c r="C107" s="10">
        <f t="shared" ref="C107" si="217">2*C101</f>
        <v>-2.1433043448375311</v>
      </c>
      <c r="D107" s="11">
        <f t="shared" ref="D107" si="218">-4*D101</f>
        <v>-7.7450576435841896</v>
      </c>
      <c r="E107" s="11">
        <f t="shared" si="216"/>
        <v>-2</v>
      </c>
      <c r="F107" s="11">
        <f>0</f>
        <v>0</v>
      </c>
      <c r="G107" s="12">
        <f>0</f>
        <v>0</v>
      </c>
    </row>
    <row r="108" spans="1:10" x14ac:dyDescent="0.25">
      <c r="B108" t="s">
        <v>21</v>
      </c>
      <c r="C108" s="1" cm="1">
        <f t="array" ref="C108:G108">-MMULT(C102:G102,C103:G107)</f>
        <v>-0.42621849109294963</v>
      </c>
      <c r="D108" s="1">
        <v>-1.6473400352599308</v>
      </c>
      <c r="E108" s="1">
        <v>-0.90763193052552671</v>
      </c>
      <c r="F108" s="1">
        <v>0.43409177584285208</v>
      </c>
      <c r="G108" s="1">
        <v>0.99286936189321273</v>
      </c>
    </row>
    <row r="109" spans="1:10" x14ac:dyDescent="0.25">
      <c r="B109" t="s">
        <v>13</v>
      </c>
      <c r="C109" s="1">
        <f t="shared" ref="C109" si="219">J102/SUMPRODUCT(_xlfn.ANCHORARRAY(C108),_xlfn.ANCHORARRAY(C108))</f>
        <v>1.2009918561136467E-2</v>
      </c>
    </row>
    <row r="110" spans="1:10" x14ac:dyDescent="0.25">
      <c r="A110" s="1" t="s">
        <v>4</v>
      </c>
      <c r="B110" t="s">
        <v>18</v>
      </c>
      <c r="C110" s="1" cm="1">
        <f t="array" ref="C110:G110">C101:G101+C109*C108:G108</f>
        <v>-1.0767710217860422</v>
      </c>
      <c r="D110" s="1">
        <v>1.9164799912300758</v>
      </c>
      <c r="E110" s="1">
        <v>0.44002748004891268</v>
      </c>
      <c r="F110" s="1">
        <v>-0.66202397568581783</v>
      </c>
      <c r="G110" s="1">
        <v>-0.15205699562921401</v>
      </c>
    </row>
    <row r="111" spans="1:10" x14ac:dyDescent="0.25">
      <c r="A111" s="1">
        <v>13</v>
      </c>
      <c r="B111" t="s">
        <v>19</v>
      </c>
      <c r="C111" s="1">
        <f t="shared" ref="C111" si="220">2*C110-F110*(D110^2)-2*G110*C110</f>
        <v>-4.9458257897119107E-2</v>
      </c>
      <c r="D111" s="1">
        <f t="shared" ref="D111" si="221">2*D110-2*F110*C110*D110+4*G110*D110</f>
        <v>-6.5015525822788911E-2</v>
      </c>
      <c r="E111" s="1">
        <f t="shared" ref="E111" si="222">4*E110+2*F110+2*G110</f>
        <v>0.13194797756558702</v>
      </c>
      <c r="F111" s="1">
        <f t="shared" ref="F111" si="223">C110*(D110^2)-2*E110+5</f>
        <v>0.1650775383091263</v>
      </c>
      <c r="G111" s="1">
        <f t="shared" ref="G111" si="224">C110^2-2*(D110^2)-2*E110+7</f>
        <v>-6.6410240310131208E-2</v>
      </c>
      <c r="J111" s="1">
        <f t="shared" ref="J111" si="225">0.5*(C111*C111+D111*D111+E111*E111+F111*F111+G111*G111)</f>
        <v>2.7872160164065386E-2</v>
      </c>
    </row>
    <row r="112" spans="1:10" x14ac:dyDescent="0.25">
      <c r="C112" s="5">
        <f t="shared" ref="C112" si="226">2-2*G110</f>
        <v>2.3041139912584279</v>
      </c>
      <c r="D112" s="6">
        <f t="shared" ref="D112" si="227">-2*F110*D110</f>
        <v>2.537511406232912</v>
      </c>
      <c r="E112" s="6">
        <f>0</f>
        <v>0</v>
      </c>
      <c r="F112" s="6">
        <f t="shared" ref="F112" si="228">-(D110^2)</f>
        <v>-3.6728955567852317</v>
      </c>
      <c r="G112" s="7">
        <f t="shared" ref="G112" si="229">-2*C110</f>
        <v>2.1535420435720845</v>
      </c>
    </row>
    <row r="113" spans="1:10" x14ac:dyDescent="0.25">
      <c r="C113" s="8">
        <f t="shared" ref="C113" si="230">-2*F110*D110</f>
        <v>2.537511406232912</v>
      </c>
      <c r="D113" s="1">
        <f t="shared" ref="D113" si="231">2-2*F110*C110+4*G110</f>
        <v>-3.3924448009008068E-2</v>
      </c>
      <c r="E113" s="1">
        <f>0</f>
        <v>0</v>
      </c>
      <c r="F113" s="1">
        <f t="shared" ref="F113" si="232">-2*C110*D110</f>
        <v>4.1272202367786281</v>
      </c>
      <c r="G113" s="9">
        <f t="shared" ref="G113" si="233">4*D110</f>
        <v>7.6659199649203034</v>
      </c>
    </row>
    <row r="114" spans="1:10" x14ac:dyDescent="0.25">
      <c r="B114" t="s">
        <v>20</v>
      </c>
      <c r="C114" s="8">
        <f>0</f>
        <v>0</v>
      </c>
      <c r="D114" s="1">
        <f>0</f>
        <v>0</v>
      </c>
      <c r="E114" s="1">
        <f>4</f>
        <v>4</v>
      </c>
      <c r="F114" s="1">
        <f>2</f>
        <v>2</v>
      </c>
      <c r="G114" s="9">
        <f>2</f>
        <v>2</v>
      </c>
    </row>
    <row r="115" spans="1:10" x14ac:dyDescent="0.25">
      <c r="C115" s="8">
        <f t="shared" ref="C115" si="234">(D110^2)</f>
        <v>3.6728955567852317</v>
      </c>
      <c r="D115" s="1">
        <f t="shared" ref="D115" si="235">2*C110*D110</f>
        <v>-4.1272202367786281</v>
      </c>
      <c r="E115" s="1">
        <f t="shared" ref="E115:E116" si="236">-2</f>
        <v>-2</v>
      </c>
      <c r="F115" s="1">
        <f>0</f>
        <v>0</v>
      </c>
      <c r="G115" s="9">
        <f>0</f>
        <v>0</v>
      </c>
    </row>
    <row r="116" spans="1:10" x14ac:dyDescent="0.25">
      <c r="C116" s="10">
        <f t="shared" ref="C116" si="237">2*C110</f>
        <v>-2.1535420435720845</v>
      </c>
      <c r="D116" s="11">
        <f t="shared" ref="D116" si="238">-4*D110</f>
        <v>-7.6659199649203034</v>
      </c>
      <c r="E116" s="11">
        <f t="shared" si="236"/>
        <v>-2</v>
      </c>
      <c r="F116" s="11">
        <f>0</f>
        <v>0</v>
      </c>
      <c r="G116" s="12">
        <f>0</f>
        <v>0</v>
      </c>
    </row>
    <row r="117" spans="1:10" x14ac:dyDescent="0.25">
      <c r="B117" t="s">
        <v>21</v>
      </c>
      <c r="C117" s="1" cm="1">
        <f t="array" ref="C117:G117">-MMULT(C111:G111,C112:G116)</f>
        <v>-0.47039469925065003</v>
      </c>
      <c r="D117" s="1">
        <v>0.29551104739923062</v>
      </c>
      <c r="E117" s="1">
        <v>-0.33045731426435787</v>
      </c>
      <c r="F117" s="1">
        <v>-0.17721757692722301</v>
      </c>
      <c r="G117" s="1">
        <v>0.34101830008681211</v>
      </c>
    </row>
    <row r="118" spans="1:10" x14ac:dyDescent="0.25">
      <c r="B118" t="s">
        <v>13</v>
      </c>
      <c r="C118" s="1">
        <f t="shared" ref="C118" si="239">J111/SUMPRODUCT(_xlfn.ANCHORARRAY(C117),_xlfn.ANCHORARRAY(C117))</f>
        <v>4.9287679697923879E-2</v>
      </c>
    </row>
    <row r="119" spans="1:10" x14ac:dyDescent="0.25">
      <c r="A119" s="1" t="s">
        <v>4</v>
      </c>
      <c r="B119" t="s">
        <v>18</v>
      </c>
      <c r="C119" s="1" cm="1">
        <f t="array" ref="C119:G119">C110:G110+C118*C117:G117</f>
        <v>-1.0999556850543095</v>
      </c>
      <c r="D119" s="1">
        <v>1.9310450450814871</v>
      </c>
      <c r="E119" s="1">
        <v>0.42374000578961485</v>
      </c>
      <c r="F119" s="1">
        <v>-0.67075861885424903</v>
      </c>
      <c r="G119" s="1">
        <v>-0.13524899488340472</v>
      </c>
    </row>
    <row r="120" spans="1:10" x14ac:dyDescent="0.25">
      <c r="A120" s="1">
        <v>14</v>
      </c>
      <c r="B120" t="s">
        <v>19</v>
      </c>
      <c r="C120" s="1">
        <f t="shared" ref="C120" si="240">2*C119-F119*(D119^2)-2*G119*C119</f>
        <v>3.7680959328147412E-3</v>
      </c>
      <c r="D120" s="1">
        <f t="shared" ref="D120" si="241">2*D119-2*F119*C119*D119+4*G119*D119</f>
        <v>-3.2065952563887556E-2</v>
      </c>
      <c r="E120" s="1">
        <f t="shared" ref="E120" si="242">4*E119+2*F119+2*G119</f>
        <v>8.2944795683151884E-2</v>
      </c>
      <c r="F120" s="1">
        <f t="shared" ref="F120" si="243">C119*(D119^2)-2*E119+5</f>
        <v>5.0856773224138507E-2</v>
      </c>
      <c r="G120" s="1">
        <f t="shared" ref="G120" si="244">C119^2-2*(D119^2)-2*E119+7</f>
        <v>-9.544743476345996E-2</v>
      </c>
      <c r="J120" s="1">
        <f t="shared" ref="J120" si="245">0.5*(C120*C120+D120*D120+E120*E120+F120*F120+G120*G120)</f>
        <v>9.8094435887022945E-3</v>
      </c>
    </row>
    <row r="121" spans="1:10" x14ac:dyDescent="0.25">
      <c r="C121" s="5">
        <f t="shared" ref="C121" si="246">2-2*G119</f>
        <v>2.2704979897668096</v>
      </c>
      <c r="D121" s="6">
        <f t="shared" ref="D121" si="247">-2*F119*D119</f>
        <v>2.5905302147683988</v>
      </c>
      <c r="E121" s="6">
        <f>0</f>
        <v>0</v>
      </c>
      <c r="F121" s="6">
        <f t="shared" ref="F121" si="248">-(D119^2)</f>
        <v>-3.7289349661337625</v>
      </c>
      <c r="G121" s="7">
        <f t="shared" ref="G121" si="249">-2*C119</f>
        <v>2.199911370108619</v>
      </c>
    </row>
    <row r="122" spans="1:10" x14ac:dyDescent="0.25">
      <c r="C122" s="8">
        <f t="shared" ref="C122" si="250">-2*F119*D119</f>
        <v>2.5905302147683988</v>
      </c>
      <c r="D122" s="1">
        <f t="shared" ref="D122" si="251">2-2*F119*C119+4*G119</f>
        <v>-1.660549174943482E-2</v>
      </c>
      <c r="E122" s="1">
        <f>0</f>
        <v>0</v>
      </c>
      <c r="F122" s="1">
        <f t="shared" ref="F122" si="252">-2*C119*D119</f>
        <v>4.2481279508666745</v>
      </c>
      <c r="G122" s="9">
        <f t="shared" ref="G122" si="253">4*D119</f>
        <v>7.7241801803259484</v>
      </c>
    </row>
    <row r="123" spans="1:10" x14ac:dyDescent="0.25">
      <c r="B123" t="s">
        <v>20</v>
      </c>
      <c r="C123" s="8">
        <f>0</f>
        <v>0</v>
      </c>
      <c r="D123" s="1">
        <f>0</f>
        <v>0</v>
      </c>
      <c r="E123" s="1">
        <f>4</f>
        <v>4</v>
      </c>
      <c r="F123" s="1">
        <f>2</f>
        <v>2</v>
      </c>
      <c r="G123" s="9">
        <f>2</f>
        <v>2</v>
      </c>
    </row>
    <row r="124" spans="1:10" x14ac:dyDescent="0.25">
      <c r="C124" s="8">
        <f t="shared" ref="C124" si="254">(D119^2)</f>
        <v>3.7289349661337625</v>
      </c>
      <c r="D124" s="1">
        <f t="shared" ref="D124" si="255">2*C119*D119</f>
        <v>-4.2481279508666745</v>
      </c>
      <c r="E124" s="1">
        <f t="shared" ref="E124:E125" si="256">-2</f>
        <v>-2</v>
      </c>
      <c r="F124" s="1">
        <f>0</f>
        <v>0</v>
      </c>
      <c r="G124" s="9">
        <f>0</f>
        <v>0</v>
      </c>
    </row>
    <row r="125" spans="1:10" x14ac:dyDescent="0.25">
      <c r="C125" s="10">
        <f t="shared" ref="C125" si="257">2*C119</f>
        <v>-2.199911370108619</v>
      </c>
      <c r="D125" s="11">
        <f t="shared" ref="D125" si="258">-4*D119</f>
        <v>-7.7241801803259484</v>
      </c>
      <c r="E125" s="11">
        <f t="shared" si="256"/>
        <v>-2</v>
      </c>
      <c r="F125" s="11">
        <f>0</f>
        <v>0</v>
      </c>
      <c r="G125" s="12">
        <f>0</f>
        <v>0</v>
      </c>
    </row>
    <row r="126" spans="1:10" x14ac:dyDescent="0.25">
      <c r="B126" t="s">
        <v>21</v>
      </c>
      <c r="C126" s="1" cm="1">
        <f t="array" ref="C126:G126">-MMULT(C120:G120,C121:G125)</f>
        <v>-0.32510513218268505</v>
      </c>
      <c r="D126" s="1">
        <v>-0.53150094131536052</v>
      </c>
      <c r="E126" s="1">
        <v>-0.42096050581125044</v>
      </c>
      <c r="F126" s="1">
        <v>-1.5618337328868831E-2</v>
      </c>
      <c r="G126" s="1">
        <v>7.3504126804689346E-2</v>
      </c>
    </row>
    <row r="127" spans="1:10" x14ac:dyDescent="0.25">
      <c r="B127" t="s">
        <v>13</v>
      </c>
      <c r="C127" s="1">
        <f t="shared" ref="C127" si="259">J120/SUMPRODUCT(_xlfn.ANCHORARRAY(C126),_xlfn.ANCHORARRAY(C126))</f>
        <v>1.7178173343155242E-2</v>
      </c>
    </row>
    <row r="128" spans="1:10" x14ac:dyDescent="0.25">
      <c r="A128" s="1" t="s">
        <v>4</v>
      </c>
      <c r="B128" t="s">
        <v>18</v>
      </c>
      <c r="C128" s="1" cm="1">
        <f t="array" ref="C128:G128">C119:G119+C127*C126:G126</f>
        <v>-1.1055403973696931</v>
      </c>
      <c r="D128" s="1">
        <v>1.9219148297795217</v>
      </c>
      <c r="E128" s="1">
        <v>0.41650867325016688</v>
      </c>
      <c r="F128" s="1">
        <v>-0.67102691336021625</v>
      </c>
      <c r="G128" s="1">
        <v>-0.1339863282517165</v>
      </c>
    </row>
    <row r="129" spans="1:10" x14ac:dyDescent="0.25">
      <c r="A129" s="1">
        <v>15</v>
      </c>
      <c r="B129" t="s">
        <v>19</v>
      </c>
      <c r="C129" s="1">
        <f t="shared" ref="C129" si="260">2*C128-F128*(D128^2)-2*G128*C128</f>
        <v>-2.8725293218482384E-2</v>
      </c>
      <c r="D129" s="1">
        <f t="shared" ref="D129" si="261">2*D128-2*F128*C128*D128+4*G128*D128</f>
        <v>-3.7746472392274466E-2</v>
      </c>
      <c r="E129" s="1">
        <f t="shared" ref="E129" si="262">4*E128+2*F128+2*G128</f>
        <v>5.6008209776802043E-2</v>
      </c>
      <c r="F129" s="1">
        <f t="shared" ref="F129" si="263">C128*(D128^2)-2*E128+5</f>
        <v>8.3385499858028567E-2</v>
      </c>
      <c r="G129" s="1">
        <f t="shared" ref="G129" si="264">C128^2-2*(D128^2)-2*E128+7</f>
        <v>1.6889978631091651E-3</v>
      </c>
      <c r="J129" s="1">
        <f t="shared" ref="J129" si="265">0.5*(C129*C129+D129*D129+E129*E129+F129*F129+G129*G129)</f>
        <v>6.1714262556528312E-3</v>
      </c>
    </row>
    <row r="130" spans="1:10" x14ac:dyDescent="0.25">
      <c r="C130" s="5">
        <f t="shared" ref="C130" si="266">2-2*G128</f>
        <v>2.2679726565034328</v>
      </c>
      <c r="D130" s="6">
        <f t="shared" ref="D130" si="267">-2*F128*D128</f>
        <v>2.5793131519363555</v>
      </c>
      <c r="E130" s="6">
        <f>0</f>
        <v>0</v>
      </c>
      <c r="F130" s="6">
        <f t="shared" ref="F130" si="268">-(D128^2)</f>
        <v>-3.6937566129264479</v>
      </c>
      <c r="G130" s="7">
        <f t="shared" ref="G130" si="269">-2*C128</f>
        <v>2.2110807947393862</v>
      </c>
    </row>
    <row r="131" spans="1:10" x14ac:dyDescent="0.25">
      <c r="C131" s="8">
        <f t="shared" ref="C131" si="270">-2*F128*D128</f>
        <v>2.5793131519363555</v>
      </c>
      <c r="D131" s="1">
        <f t="shared" ref="D131" si="271">2-2*F128*C128+4*G128</f>
        <v>-1.9640033890890307E-2</v>
      </c>
      <c r="E131" s="1">
        <f>0</f>
        <v>0</v>
      </c>
      <c r="F131" s="1">
        <f t="shared" ref="F131" si="272">-2*C128*D128</f>
        <v>4.249508969250317</v>
      </c>
      <c r="G131" s="9">
        <f t="shared" ref="G131" si="273">4*D128</f>
        <v>7.6876593191180866</v>
      </c>
    </row>
    <row r="132" spans="1:10" x14ac:dyDescent="0.25">
      <c r="B132" t="s">
        <v>20</v>
      </c>
      <c r="C132" s="8">
        <f>0</f>
        <v>0</v>
      </c>
      <c r="D132" s="1">
        <f>0</f>
        <v>0</v>
      </c>
      <c r="E132" s="1">
        <f>4</f>
        <v>4</v>
      </c>
      <c r="F132" s="1">
        <f>2</f>
        <v>2</v>
      </c>
      <c r="G132" s="9">
        <f>2</f>
        <v>2</v>
      </c>
    </row>
    <row r="133" spans="1:10" x14ac:dyDescent="0.25">
      <c r="C133" s="8">
        <f t="shared" ref="C133" si="274">(D128^2)</f>
        <v>3.6937566129264479</v>
      </c>
      <c r="D133" s="1">
        <f t="shared" ref="D133" si="275">2*C128*D128</f>
        <v>-4.249508969250317</v>
      </c>
      <c r="E133" s="1">
        <f t="shared" ref="E133:E134" si="276">-2</f>
        <v>-2</v>
      </c>
      <c r="F133" s="1">
        <f>0</f>
        <v>0</v>
      </c>
      <c r="G133" s="9">
        <f>0</f>
        <v>0</v>
      </c>
    </row>
    <row r="134" spans="1:10" x14ac:dyDescent="0.25">
      <c r="C134" s="10">
        <f t="shared" ref="C134" si="277">2*C128</f>
        <v>-2.2110807947393862</v>
      </c>
      <c r="D134" s="11">
        <f t="shared" ref="D134" si="278">-4*D128</f>
        <v>-7.6876593191180866</v>
      </c>
      <c r="E134" s="11">
        <f t="shared" si="276"/>
        <v>-2</v>
      </c>
      <c r="F134" s="11">
        <f>0</f>
        <v>0</v>
      </c>
      <c r="G134" s="12">
        <f>0</f>
        <v>0</v>
      </c>
    </row>
    <row r="135" spans="1:10" x14ac:dyDescent="0.25">
      <c r="B135" t="s">
        <v>21</v>
      </c>
      <c r="C135" s="1" cm="1">
        <f t="array" ref="C135:G135">-MMULT(C129:G129,C130:G134)</f>
        <v>-0.1417630785351362</v>
      </c>
      <c r="D135" s="1">
        <v>0.44068205430902907</v>
      </c>
      <c r="E135" s="1">
        <v>-5.3883843664932707E-2</v>
      </c>
      <c r="F135" s="1">
        <v>-5.7716688349094825E-2</v>
      </c>
      <c r="G135" s="1">
        <v>0.24167954485534221</v>
      </c>
    </row>
    <row r="136" spans="1:10" x14ac:dyDescent="0.25">
      <c r="B136" t="s">
        <v>13</v>
      </c>
      <c r="C136" s="1">
        <f t="shared" ref="C136" si="279">J129/SUMPRODUCT(_xlfn.ANCHORARRAY(C135),_xlfn.ANCHORARRAY(C135))</f>
        <v>2.2124475668032315E-2</v>
      </c>
    </row>
    <row r="137" spans="1:10" x14ac:dyDescent="0.25">
      <c r="A137" s="1" t="s">
        <v>4</v>
      </c>
      <c r="B137" t="s">
        <v>18</v>
      </c>
      <c r="C137" s="1" cm="1">
        <f t="array" ref="C137:G137">C128:G128+C136*C135:G135</f>
        <v>-1.1086768311513691</v>
      </c>
      <c r="D137" s="1">
        <v>1.9316646891674203</v>
      </c>
      <c r="E137" s="1">
        <v>0.41531652146210202</v>
      </c>
      <c r="F137" s="1">
        <v>-0.67230386482723525</v>
      </c>
      <c r="G137" s="1">
        <v>-0.12863929504210336</v>
      </c>
    </row>
    <row r="138" spans="1:10" x14ac:dyDescent="0.25">
      <c r="A138" s="1">
        <v>16</v>
      </c>
      <c r="B138" t="s">
        <v>19</v>
      </c>
      <c r="C138" s="1">
        <f t="shared" ref="C138" si="280">2*C137-F137*(D137^2)-2*G137*C137</f>
        <v>5.9940779657752241E-3</v>
      </c>
      <c r="D138" s="1">
        <f t="shared" ref="D138" si="281">2*D137-2*F137*C137*D137+4*G137*D137</f>
        <v>-1.0223561417327387E-2</v>
      </c>
      <c r="E138" s="1">
        <f t="shared" ref="E138" si="282">4*E137+2*F137+2*G137</f>
        <v>5.9379766109730836E-2</v>
      </c>
      <c r="F138" s="1">
        <f t="shared" ref="F138" si="283">C137*(D137^2)-2*E137+5</f>
        <v>3.2529531445474547E-2</v>
      </c>
      <c r="G138" s="1">
        <f t="shared" ref="G138" si="284">C137^2-2*(D137^2)-2*E137+7</f>
        <v>-6.4125669744895752E-2</v>
      </c>
      <c r="J138" s="1">
        <f t="shared" ref="J138" si="285">0.5*(C138*C138+D138*D138+E138*E138+F138*F138+G138*G138)</f>
        <v>4.4183393691267763E-3</v>
      </c>
    </row>
    <row r="139" spans="1:10" x14ac:dyDescent="0.25">
      <c r="C139" s="5">
        <f t="shared" ref="C139" si="286">2-2*G137</f>
        <v>2.2572785900842067</v>
      </c>
      <c r="D139" s="6">
        <f t="shared" ref="D139" si="287">-2*F137*D137</f>
        <v>2.5973312721551136</v>
      </c>
      <c r="E139" s="6">
        <f>0</f>
        <v>0</v>
      </c>
      <c r="F139" s="6">
        <f t="shared" ref="F139" si="288">-(D137^2)</f>
        <v>-3.7313284713762664</v>
      </c>
      <c r="G139" s="7">
        <f t="shared" ref="G139" si="289">-2*C137</f>
        <v>2.2173536623027381</v>
      </c>
    </row>
    <row r="140" spans="1:10" x14ac:dyDescent="0.25">
      <c r="C140" s="8">
        <f t="shared" ref="C140" si="290">-2*F137*D137</f>
        <v>2.5973312721551136</v>
      </c>
      <c r="D140" s="1">
        <f t="shared" ref="D140" si="291">2-2*F137*C137+4*G137</f>
        <v>-5.2926170233684733E-3</v>
      </c>
      <c r="E140" s="1">
        <f>0</f>
        <v>0</v>
      </c>
      <c r="F140" s="1">
        <f t="shared" ref="F140" si="292">-2*C137*D137</f>
        <v>4.2831837728662601</v>
      </c>
      <c r="G140" s="9">
        <f t="shared" ref="G140" si="293">4*D137</f>
        <v>7.7266587566696812</v>
      </c>
    </row>
    <row r="141" spans="1:10" x14ac:dyDescent="0.25">
      <c r="B141" t="s">
        <v>20</v>
      </c>
      <c r="C141" s="8">
        <f>0</f>
        <v>0</v>
      </c>
      <c r="D141" s="1">
        <f>0</f>
        <v>0</v>
      </c>
      <c r="E141" s="1">
        <f>4</f>
        <v>4</v>
      </c>
      <c r="F141" s="1">
        <f>2</f>
        <v>2</v>
      </c>
      <c r="G141" s="9">
        <f>2</f>
        <v>2</v>
      </c>
    </row>
    <row r="142" spans="1:10" x14ac:dyDescent="0.25">
      <c r="C142" s="8">
        <f t="shared" ref="C142" si="294">(D137^2)</f>
        <v>3.7313284713762664</v>
      </c>
      <c r="D142" s="1">
        <f t="shared" ref="D142" si="295">2*C137*D137</f>
        <v>-4.2831837728662601</v>
      </c>
      <c r="E142" s="1">
        <f t="shared" ref="E142:E143" si="296">-2</f>
        <v>-2</v>
      </c>
      <c r="F142" s="1">
        <f>0</f>
        <v>0</v>
      </c>
      <c r="G142" s="9">
        <f>0</f>
        <v>0</v>
      </c>
    </row>
    <row r="143" spans="1:10" x14ac:dyDescent="0.25">
      <c r="C143" s="10">
        <f t="shared" ref="C143" si="297">2*C137</f>
        <v>-2.2173536623027381</v>
      </c>
      <c r="D143" s="11">
        <f t="shared" ref="D143" si="298">-4*D137</f>
        <v>-7.7266587566696812</v>
      </c>
      <c r="E143" s="11">
        <f t="shared" si="296"/>
        <v>-2</v>
      </c>
      <c r="F143" s="11">
        <f>0</f>
        <v>0</v>
      </c>
      <c r="G143" s="12">
        <f>0</f>
        <v>0</v>
      </c>
    </row>
    <row r="144" spans="1:10" x14ac:dyDescent="0.25">
      <c r="B144" t="s">
        <v>21</v>
      </c>
      <c r="C144" s="1" cm="1">
        <f t="array" ref="C144:G144">-MMULT(C138:G138,C139:G143)</f>
        <v>-0.25054398357690627</v>
      </c>
      <c r="D144" s="1">
        <v>-0.3717699219789482</v>
      </c>
      <c r="E144" s="1">
        <v>-0.30071134103776576</v>
      </c>
      <c r="F144" s="1">
        <v>-5.2604266082517198E-2</v>
      </c>
      <c r="G144" s="1">
        <v>-5.3056552599458559E-2</v>
      </c>
    </row>
    <row r="145" spans="1:10" x14ac:dyDescent="0.25">
      <c r="B145" t="s">
        <v>13</v>
      </c>
      <c r="C145" s="1">
        <f t="shared" ref="C145" si="299">J138/SUMPRODUCT(_xlfn.ANCHORARRAY(C144),_xlfn.ANCHORARRAY(C144))</f>
        <v>1.4876830022653983E-2</v>
      </c>
    </row>
    <row r="146" spans="1:10" x14ac:dyDescent="0.25">
      <c r="A146" s="1" t="s">
        <v>4</v>
      </c>
      <c r="B146" t="s">
        <v>18</v>
      </c>
      <c r="C146" s="1" cm="1">
        <f t="array" ref="C146:G146">C137:G137+C145*C144:G144</f>
        <v>-1.1124041314082413</v>
      </c>
      <c r="D146" s="1">
        <v>1.9261339312306041</v>
      </c>
      <c r="E146" s="1">
        <v>0.41084288995559887</v>
      </c>
      <c r="F146" s="1">
        <v>-0.67308644955221131</v>
      </c>
      <c r="G146" s="1">
        <v>-0.12942860835671352</v>
      </c>
    </row>
    <row r="147" spans="1:10" x14ac:dyDescent="0.25">
      <c r="A147" s="1">
        <v>17</v>
      </c>
      <c r="B147" t="s">
        <v>19</v>
      </c>
      <c r="C147" s="1">
        <f t="shared" ref="C147" si="300">2*C146-F146*(D146^2)-2*G146*C146</f>
        <v>-1.5616810134575332E-2</v>
      </c>
      <c r="D147" s="1">
        <f t="shared" ref="D147" si="301">2*D146-2*F146*C146*D146+4*G146*D146</f>
        <v>-2.9282490210362555E-2</v>
      </c>
      <c r="E147" s="1">
        <f t="shared" ref="E147" si="302">4*E146+2*F146+2*G146</f>
        <v>3.834144400454581E-2</v>
      </c>
      <c r="F147" s="1">
        <f t="shared" ref="F147" si="303">C146*(D146^2)-2*E146+5</f>
        <v>5.1303879635087313E-2</v>
      </c>
      <c r="G147" s="1">
        <f t="shared" ref="G147" si="304">C146^2-2*(D146^2)-2*E146+7</f>
        <v>-4.2266704127964516E-3</v>
      </c>
      <c r="J147" s="1">
        <f t="shared" ref="J147" si="305">0.5*(C147*C147+D147*D147+E147*E147+F147*F147+G147*G147)</f>
        <v>2.610684064221506E-3</v>
      </c>
    </row>
    <row r="148" spans="1:10" x14ac:dyDescent="0.25">
      <c r="C148" s="5">
        <f t="shared" ref="C148" si="306">2-2*G146</f>
        <v>2.2588572167134271</v>
      </c>
      <c r="D148" s="6">
        <f t="shared" ref="D148" si="307">-2*F146*D146</f>
        <v>2.592909298268101</v>
      </c>
      <c r="E148" s="6">
        <f>0</f>
        <v>0</v>
      </c>
      <c r="F148" s="6">
        <f t="shared" ref="F148" si="308">-(D146^2)</f>
        <v>-3.7099919210378616</v>
      </c>
      <c r="G148" s="7">
        <f t="shared" ref="G148" si="309">-2*C146</f>
        <v>2.2248082628164827</v>
      </c>
    </row>
    <row r="149" spans="1:10" x14ac:dyDescent="0.25">
      <c r="C149" s="8">
        <f t="shared" ref="C149" si="310">-2*F146*D146</f>
        <v>2.592909298268101</v>
      </c>
      <c r="D149" s="1">
        <f t="shared" ref="D149" si="311">2-2*F146*C146+4*G146</f>
        <v>-1.5202727980423547E-2</v>
      </c>
      <c r="E149" s="1">
        <f>0</f>
        <v>0</v>
      </c>
      <c r="F149" s="1">
        <f t="shared" ref="F149" si="312">-2*C146*D146</f>
        <v>4.2852786854930427</v>
      </c>
      <c r="G149" s="9">
        <f t="shared" ref="G149" si="313">4*D146</f>
        <v>7.7045357249224162</v>
      </c>
    </row>
    <row r="150" spans="1:10" x14ac:dyDescent="0.25">
      <c r="B150" t="s">
        <v>20</v>
      </c>
      <c r="C150" s="8">
        <f>0</f>
        <v>0</v>
      </c>
      <c r="D150" s="1">
        <f>0</f>
        <v>0</v>
      </c>
      <c r="E150" s="1">
        <f>4</f>
        <v>4</v>
      </c>
      <c r="F150" s="1">
        <f>2</f>
        <v>2</v>
      </c>
      <c r="G150" s="9">
        <f>2</f>
        <v>2</v>
      </c>
    </row>
    <row r="151" spans="1:10" x14ac:dyDescent="0.25">
      <c r="C151" s="8">
        <f t="shared" ref="C151" si="314">(D146^2)</f>
        <v>3.7099919210378616</v>
      </c>
      <c r="D151" s="1">
        <f t="shared" ref="D151" si="315">2*C146*D146</f>
        <v>-4.2852786854930427</v>
      </c>
      <c r="E151" s="1">
        <f t="shared" ref="E151:E152" si="316">-2</f>
        <v>-2</v>
      </c>
      <c r="F151" s="1">
        <f>0</f>
        <v>0</v>
      </c>
      <c r="G151" s="9">
        <f>0</f>
        <v>0</v>
      </c>
    </row>
    <row r="152" spans="1:10" x14ac:dyDescent="0.25">
      <c r="C152" s="10">
        <f t="shared" ref="C152" si="317">2*C146</f>
        <v>-2.2248082628164827</v>
      </c>
      <c r="D152" s="11">
        <f t="shared" ref="D152" si="318">-4*D146</f>
        <v>-7.7045357249224162</v>
      </c>
      <c r="E152" s="11">
        <f t="shared" si="316"/>
        <v>-2</v>
      </c>
      <c r="F152" s="11">
        <f>0</f>
        <v>0</v>
      </c>
      <c r="G152" s="12">
        <f>0</f>
        <v>0</v>
      </c>
    </row>
    <row r="153" spans="1:10" x14ac:dyDescent="0.25">
      <c r="B153" t="s">
        <v>21</v>
      </c>
      <c r="C153" s="1" cm="1">
        <f t="array" ref="C153:G153">-MMULT(C147:G147,C148:G152)</f>
        <v>-8.8537524805241741E-2</v>
      </c>
      <c r="D153" s="1">
        <v>0.22733468716444777</v>
      </c>
      <c r="E153" s="1">
        <v>-5.921135757360152E-2</v>
      </c>
      <c r="F153" s="1">
        <v>-9.1374962841229701E-3</v>
      </c>
      <c r="G153" s="1">
        <v>0.18366951215757699</v>
      </c>
    </row>
    <row r="154" spans="1:10" x14ac:dyDescent="0.25">
      <c r="B154" t="s">
        <v>13</v>
      </c>
      <c r="C154" s="1">
        <f t="shared" ref="C154" si="319">J147/SUMPRODUCT(_xlfn.ANCHORARRAY(C153),_xlfn.ANCHORARRAY(C153))</f>
        <v>2.695764503071147E-2</v>
      </c>
    </row>
    <row r="155" spans="1:10" x14ac:dyDescent="0.25">
      <c r="A155" s="1" t="s">
        <v>4</v>
      </c>
      <c r="B155" t="s">
        <v>18</v>
      </c>
      <c r="C155" s="1" cm="1">
        <f t="array" ref="C155:G155">C146:G146+C154*C153:G153</f>
        <v>-1.114790894573839</v>
      </c>
      <c r="D155" s="1">
        <v>1.9322623390303511</v>
      </c>
      <c r="E155" s="1">
        <v>0.40924669119634322</v>
      </c>
      <c r="F155" s="1">
        <v>-0.67333277493350818</v>
      </c>
      <c r="G155" s="1">
        <v>-0.12447731084500561</v>
      </c>
    </row>
    <row r="156" spans="1:10" x14ac:dyDescent="0.25">
      <c r="A156" s="1">
        <v>18</v>
      </c>
      <c r="B156" t="s">
        <v>19</v>
      </c>
      <c r="C156" s="1">
        <f t="shared" ref="C156" si="320">2*C155-F155*(D155^2)-2*G155*C155</f>
        <v>6.8665301031538561E-3</v>
      </c>
      <c r="D156" s="1">
        <f t="shared" ref="D156" si="321">2*D155-2*F155*C155*D155+4*G155*D155</f>
        <v>1.62360969359443E-3</v>
      </c>
      <c r="E156" s="1">
        <f t="shared" ref="E156" si="322">4*E155+2*F155+2*G155</f>
        <v>4.1366593228345266E-2</v>
      </c>
      <c r="F156" s="1">
        <f t="shared" ref="F156" si="323">C155*(D155^2)-2*E155+5</f>
        <v>1.9281253798422604E-2</v>
      </c>
      <c r="G156" s="1">
        <f t="shared" ref="G156" si="324">C155^2-2*(D155^2)-2*E155+7</f>
        <v>-4.3010137438033169E-2</v>
      </c>
      <c r="J156" s="1">
        <f t="shared" ref="J156" si="325">0.5*(C156*C156+D156*D156+E156*E156+F156*F156+G156*G156)</f>
        <v>1.9913095249458604E-3</v>
      </c>
    </row>
    <row r="157" spans="1:10" x14ac:dyDescent="0.25">
      <c r="C157" s="5">
        <f t="shared" ref="C157" si="326">2-2*G155</f>
        <v>2.2489546216900114</v>
      </c>
      <c r="D157" s="6">
        <f t="shared" ref="D157" si="327">-2*F155*D155</f>
        <v>2.6021111252776348</v>
      </c>
      <c r="E157" s="6">
        <f>0</f>
        <v>0</v>
      </c>
      <c r="F157" s="6">
        <f t="shared" ref="F157" si="328">-(D155^2)</f>
        <v>-3.7336377468350435</v>
      </c>
      <c r="G157" s="7">
        <f t="shared" ref="G157" si="329">-2*C155</f>
        <v>2.2295817891476779</v>
      </c>
    </row>
    <row r="158" spans="1:10" x14ac:dyDescent="0.25">
      <c r="C158" s="8">
        <f t="shared" ref="C158" si="330">-2*F155*D155</f>
        <v>2.6021111252776348</v>
      </c>
      <c r="D158" s="1">
        <f t="shared" ref="D158" si="331">2-2*F155*C155+4*G155</f>
        <v>8.4026359195560341E-4</v>
      </c>
      <c r="E158" s="1">
        <f>0</f>
        <v>0</v>
      </c>
      <c r="F158" s="1">
        <f t="shared" ref="F158" si="332">-2*C155*D155</f>
        <v>4.3081369229579671</v>
      </c>
      <c r="G158" s="9">
        <f t="shared" ref="G158" si="333">4*D155</f>
        <v>7.7290493561214042</v>
      </c>
    </row>
    <row r="159" spans="1:10" x14ac:dyDescent="0.25">
      <c r="B159" t="s">
        <v>20</v>
      </c>
      <c r="C159" s="8">
        <f>0</f>
        <v>0</v>
      </c>
      <c r="D159" s="1">
        <f>0</f>
        <v>0</v>
      </c>
      <c r="E159" s="1">
        <f>4</f>
        <v>4</v>
      </c>
      <c r="F159" s="1">
        <f>2</f>
        <v>2</v>
      </c>
      <c r="G159" s="9">
        <f>2</f>
        <v>2</v>
      </c>
    </row>
    <row r="160" spans="1:10" x14ac:dyDescent="0.25">
      <c r="C160" s="8">
        <f t="shared" ref="C160" si="334">(D155^2)</f>
        <v>3.7336377468350435</v>
      </c>
      <c r="D160" s="1">
        <f t="shared" ref="D160" si="335">2*C155*D155</f>
        <v>-4.3081369229579671</v>
      </c>
      <c r="E160" s="1">
        <f t="shared" ref="E160:E161" si="336">-2</f>
        <v>-2</v>
      </c>
      <c r="F160" s="1">
        <f>0</f>
        <v>0</v>
      </c>
      <c r="G160" s="9">
        <f>0</f>
        <v>0</v>
      </c>
    </row>
    <row r="161" spans="1:10" x14ac:dyDescent="0.25">
      <c r="C161" s="10">
        <f t="shared" ref="C161" si="337">2*C155</f>
        <v>-2.2295817891476779</v>
      </c>
      <c r="D161" s="11">
        <f t="shared" ref="D161" si="338">-4*D155</f>
        <v>-7.7290493561214042</v>
      </c>
      <c r="E161" s="11">
        <f t="shared" si="336"/>
        <v>-2</v>
      </c>
      <c r="F161" s="11">
        <f>0</f>
        <v>0</v>
      </c>
      <c r="G161" s="12">
        <f>0</f>
        <v>0</v>
      </c>
    </row>
    <row r="162" spans="1:10" x14ac:dyDescent="0.25">
      <c r="B162" t="s">
        <v>21</v>
      </c>
      <c r="C162" s="1" cm="1">
        <f t="array" ref="C162:G162">-MMULT(C156:G156,C157:G161)</f>
        <v>-0.18755116362594684</v>
      </c>
      <c r="D162" s="1">
        <v>-0.26723003229579889</v>
      </c>
      <c r="E162" s="1">
        <v>-0.2129241401926022</v>
      </c>
      <c r="F162" s="1">
        <v>-6.409078334322281E-2</v>
      </c>
      <c r="G162" s="1">
        <v>-0.11059163638618519</v>
      </c>
    </row>
    <row r="163" spans="1:10" x14ac:dyDescent="0.25">
      <c r="B163" t="s">
        <v>13</v>
      </c>
      <c r="C163" s="1">
        <f t="shared" ref="C163" si="339">J156/SUMPRODUCT(_xlfn.ANCHORARRAY(C162),_xlfn.ANCHORARRAY(C162))</f>
        <v>1.1834565528689568E-2</v>
      </c>
    </row>
    <row r="164" spans="1:10" x14ac:dyDescent="0.25">
      <c r="A164" s="1" t="s">
        <v>4</v>
      </c>
      <c r="B164" t="s">
        <v>18</v>
      </c>
      <c r="C164" s="1" cm="1">
        <f t="array" ref="C164:G164">C155:G155+C163*C162:G162</f>
        <v>-1.1170104811097521</v>
      </c>
      <c r="D164" s="1">
        <v>1.9290997877019125</v>
      </c>
      <c r="E164" s="1">
        <v>0.40672682650659397</v>
      </c>
      <c r="F164" s="1">
        <v>-0.67409126150876864</v>
      </c>
      <c r="G164" s="1">
        <v>-0.12578611481274293</v>
      </c>
    </row>
    <row r="165" spans="1:10" x14ac:dyDescent="0.25">
      <c r="A165" s="1">
        <v>19</v>
      </c>
      <c r="B165" t="s">
        <v>19</v>
      </c>
      <c r="C165" s="1">
        <f t="shared" ref="C165" si="340">2*C164-F164*(D164^2)-2*G164*C164</f>
        <v>-6.4490386422259016E-3</v>
      </c>
      <c r="D165" s="1">
        <f t="shared" ref="D165" si="341">2*D164-2*F164*C164*D164+4*G164*D164</f>
        <v>-1.7513270518901614E-2</v>
      </c>
      <c r="E165" s="1">
        <f t="shared" ref="E165" si="342">4*E164+2*F164+2*G164</f>
        <v>2.7152553383352762E-2</v>
      </c>
      <c r="F165" s="1">
        <f t="shared" ref="F165" si="343">C164*(D164^2)-2*E164+5</f>
        <v>2.9674510464349879E-2</v>
      </c>
      <c r="G165" s="1">
        <f t="shared" ref="G165" si="344">C164^2-2*(D164^2)-2*E164+7</f>
        <v>-8.593219927275797E-3</v>
      </c>
      <c r="J165" s="1">
        <f t="shared" ref="J165" si="345">0.5*(C165*C165+D165*D165+E165*E165+F165*F165+G165*G165)</f>
        <v>1.0199929494651566E-3</v>
      </c>
    </row>
    <row r="166" spans="1:10" x14ac:dyDescent="0.25">
      <c r="C166" s="5">
        <f t="shared" ref="C166" si="346">2-2*G164</f>
        <v>2.2515722296254861</v>
      </c>
      <c r="D166" s="6">
        <f t="shared" ref="D166" si="347">-2*F164*D164</f>
        <v>2.6007786189365598</v>
      </c>
      <c r="E166" s="6">
        <f>0</f>
        <v>0</v>
      </c>
      <c r="F166" s="6">
        <f t="shared" ref="F166" si="348">-(D164^2)</f>
        <v>-3.7214259909115639</v>
      </c>
      <c r="G166" s="7">
        <f t="shared" ref="G166" si="349">-2*C164</f>
        <v>2.2340209622195042</v>
      </c>
    </row>
    <row r="167" spans="1:10" x14ac:dyDescent="0.25">
      <c r="C167" s="8">
        <f t="shared" ref="C167" si="350">-2*F164*D164</f>
        <v>2.6007786189365598</v>
      </c>
      <c r="D167" s="1">
        <f t="shared" ref="D167" si="351">2-2*F164*C164+4*G164</f>
        <v>-9.0784679105504473E-3</v>
      </c>
      <c r="E167" s="1">
        <f>0</f>
        <v>0</v>
      </c>
      <c r="F167" s="1">
        <f t="shared" ref="F167" si="352">-2*C164*D164</f>
        <v>4.3096493639392675</v>
      </c>
      <c r="G167" s="9">
        <f t="shared" ref="G167" si="353">4*D164</f>
        <v>7.7163991508076499</v>
      </c>
    </row>
    <row r="168" spans="1:10" x14ac:dyDescent="0.25">
      <c r="B168" t="s">
        <v>20</v>
      </c>
      <c r="C168" s="8">
        <f>0</f>
        <v>0</v>
      </c>
      <c r="D168" s="1">
        <f>0</f>
        <v>0</v>
      </c>
      <c r="E168" s="1">
        <f>4</f>
        <v>4</v>
      </c>
      <c r="F168" s="1">
        <f>2</f>
        <v>2</v>
      </c>
      <c r="G168" s="9">
        <f>2</f>
        <v>2</v>
      </c>
    </row>
    <row r="169" spans="1:10" x14ac:dyDescent="0.25">
      <c r="C169" s="8">
        <f t="shared" ref="C169" si="354">(D164^2)</f>
        <v>3.7214259909115639</v>
      </c>
      <c r="D169" s="1">
        <f t="shared" ref="D169" si="355">2*C164*D164</f>
        <v>-4.3096493639392675</v>
      </c>
      <c r="E169" s="1">
        <f t="shared" ref="E169:E170" si="356">-2</f>
        <v>-2</v>
      </c>
      <c r="F169" s="1">
        <f>0</f>
        <v>0</v>
      </c>
      <c r="G169" s="9">
        <f>0</f>
        <v>0</v>
      </c>
    </row>
    <row r="170" spans="1:10" x14ac:dyDescent="0.25">
      <c r="C170" s="10">
        <f t="shared" ref="C170" si="357">2*C164</f>
        <v>-2.2340209622195042</v>
      </c>
      <c r="D170" s="11">
        <f t="shared" ref="D170" si="358">-4*D164</f>
        <v>-7.7163991508076499</v>
      </c>
      <c r="E170" s="11">
        <f t="shared" si="356"/>
        <v>-2</v>
      </c>
      <c r="F170" s="11">
        <f>0</f>
        <v>0</v>
      </c>
      <c r="G170" s="12">
        <f>0</f>
        <v>0</v>
      </c>
    </row>
    <row r="171" spans="1:10" x14ac:dyDescent="0.25">
      <c r="B171" t="s">
        <v>21</v>
      </c>
      <c r="C171" s="1" cm="1">
        <f t="array" ref="C171:G171">-MMULT(C165:G165,C166:G170)</f>
        <v>-6.9560312132276508E-2</v>
      </c>
      <c r="D171" s="1">
        <v>7.8191548347342404E-2</v>
      </c>
      <c r="E171" s="1">
        <v>-6.6447632459262884E-2</v>
      </c>
      <c r="F171" s="1">
        <v>-2.8286716339973594E-3</v>
      </c>
      <c r="G171" s="1">
        <v>9.5241566506107822E-2</v>
      </c>
    </row>
    <row r="172" spans="1:10" x14ac:dyDescent="0.25">
      <c r="B172" t="s">
        <v>13</v>
      </c>
      <c r="C172" s="1">
        <f t="shared" ref="C172" si="359">J165/SUMPRODUCT(_xlfn.ANCHORARRAY(C171),_xlfn.ANCHORARRAY(C171))</f>
        <v>4.1722962883375764E-2</v>
      </c>
    </row>
    <row r="173" spans="1:10" x14ac:dyDescent="0.25">
      <c r="A173" s="1" t="s">
        <v>4</v>
      </c>
      <c r="B173" t="s">
        <v>18</v>
      </c>
      <c r="C173" s="1" cm="1">
        <f t="array" ref="C173:G173">C164:G164+C172*C171:G171</f>
        <v>-1.119912743431003</v>
      </c>
      <c r="D173" s="1">
        <v>1.9323621707714023</v>
      </c>
      <c r="E173" s="1">
        <v>0.40395443440380796</v>
      </c>
      <c r="F173" s="1">
        <v>-0.67420928207036313</v>
      </c>
      <c r="G173" s="1">
        <v>-0.12181235446845404</v>
      </c>
    </row>
    <row r="174" spans="1:10" x14ac:dyDescent="0.25">
      <c r="A174" s="1">
        <v>20</v>
      </c>
      <c r="B174" t="s">
        <v>19</v>
      </c>
      <c r="C174" s="1">
        <f t="shared" ref="C174" si="360">2*C173-F173*(D173^2)-2*G173*C173</f>
        <v>4.8494399512184483E-3</v>
      </c>
      <c r="D174" s="1">
        <f t="shared" ref="D174" si="361">2*D173-2*F173*C173*D173+4*G173*D173</f>
        <v>5.10037075396641E-3</v>
      </c>
      <c r="E174" s="1">
        <f t="shared" ref="E174" si="362">4*E173+2*F173+2*G173</f>
        <v>2.3774464537597517E-2</v>
      </c>
      <c r="F174" s="1">
        <f t="shared" ref="F174" si="363">C173*(D173^2)-2*E173+5</f>
        <v>1.031056316492851E-2</v>
      </c>
      <c r="G174" s="1">
        <f t="shared" ref="G174" si="364">C173^2-2*(D173^2)-2*E173+7</f>
        <v>-2.1751433965192746E-2</v>
      </c>
      <c r="J174" s="1">
        <f t="shared" ref="J174" si="365">0.5*(C174*C174+D174*D174+E174*E174+F174*F174+G174*G174)</f>
        <v>5.9709430301899634E-4</v>
      </c>
    </row>
    <row r="175" spans="1:10" x14ac:dyDescent="0.25">
      <c r="C175" s="5">
        <f t="shared" ref="C175" si="366">2-2*G173</f>
        <v>2.2436247089369079</v>
      </c>
      <c r="D175" s="6">
        <f t="shared" ref="D175" si="367">-2*F173*D173</f>
        <v>2.6056330237114311</v>
      </c>
      <c r="E175" s="6">
        <f>0</f>
        <v>0</v>
      </c>
      <c r="F175" s="6">
        <f t="shared" ref="F175" si="368">-(D173^2)</f>
        <v>-3.7340235590283659</v>
      </c>
      <c r="G175" s="7">
        <f t="shared" ref="G175" si="369">-2*C173</f>
        <v>2.239825486862006</v>
      </c>
    </row>
    <row r="176" spans="1:10" x14ac:dyDescent="0.25">
      <c r="C176" s="8">
        <f t="shared" ref="C176" si="370">-2*F173*D173</f>
        <v>2.6056330237114311</v>
      </c>
      <c r="D176" s="1">
        <f t="shared" ref="D176" si="371">2-2*F173*C173+4*G173</f>
        <v>2.639448666049149E-3</v>
      </c>
      <c r="E176" s="1">
        <f>0</f>
        <v>0</v>
      </c>
      <c r="F176" s="1">
        <f t="shared" ref="F176" si="372">-2*C173*D173</f>
        <v>4.3281540399417793</v>
      </c>
      <c r="G176" s="9">
        <f t="shared" ref="G176" si="373">4*D173</f>
        <v>7.7294486830856091</v>
      </c>
    </row>
    <row r="177" spans="1:10" x14ac:dyDescent="0.25">
      <c r="B177" t="s">
        <v>20</v>
      </c>
      <c r="C177" s="8">
        <f>0</f>
        <v>0</v>
      </c>
      <c r="D177" s="1">
        <f>0</f>
        <v>0</v>
      </c>
      <c r="E177" s="1">
        <f>4</f>
        <v>4</v>
      </c>
      <c r="F177" s="1">
        <f>2</f>
        <v>2</v>
      </c>
      <c r="G177" s="9">
        <f>2</f>
        <v>2</v>
      </c>
    </row>
    <row r="178" spans="1:10" x14ac:dyDescent="0.25">
      <c r="C178" s="8">
        <f t="shared" ref="C178" si="374">(D173^2)</f>
        <v>3.7340235590283659</v>
      </c>
      <c r="D178" s="1">
        <f t="shared" ref="D178" si="375">2*C173*D173</f>
        <v>-4.3281540399417793</v>
      </c>
      <c r="E178" s="1">
        <f t="shared" ref="E178:E179" si="376">-2</f>
        <v>-2</v>
      </c>
      <c r="F178" s="1">
        <f>0</f>
        <v>0</v>
      </c>
      <c r="G178" s="9">
        <f>0</f>
        <v>0</v>
      </c>
    </row>
    <row r="179" spans="1:10" x14ac:dyDescent="0.25">
      <c r="C179" s="10">
        <f t="shared" ref="C179" si="377">2*C173</f>
        <v>-2.239825486862006</v>
      </c>
      <c r="D179" s="11">
        <f t="shared" ref="D179" si="378">-4*D173</f>
        <v>-7.7294486830856091</v>
      </c>
      <c r="E179" s="11">
        <f t="shared" si="376"/>
        <v>-2</v>
      </c>
      <c r="F179" s="11">
        <f>0</f>
        <v>0</v>
      </c>
      <c r="G179" s="12">
        <f>0</f>
        <v>0</v>
      </c>
    </row>
    <row r="180" spans="1:10" x14ac:dyDescent="0.25">
      <c r="B180" t="s">
        <v>21</v>
      </c>
      <c r="C180" s="1" cm="1">
        <f t="array" ref="C180:G180">-MMULT(C174:G174,C175:G179)</f>
        <v>-0.11138931970449409</v>
      </c>
      <c r="D180" s="1">
        <v>-0.13615021005130568</v>
      </c>
      <c r="E180" s="1">
        <v>-0.11797959975091854</v>
      </c>
      <c r="F180" s="1">
        <v>-5.1516196333232595E-2</v>
      </c>
      <c r="G180" s="1">
        <v>-9.7833882282434975E-2</v>
      </c>
    </row>
    <row r="181" spans="1:10" x14ac:dyDescent="0.25">
      <c r="B181" t="s">
        <v>13</v>
      </c>
      <c r="C181" s="1">
        <f t="shared" ref="C181" si="379">J174/SUMPRODUCT(_xlfn.ANCHORARRAY(C180),_xlfn.ANCHORARRAY(C180))</f>
        <v>1.0459001834332616E-2</v>
      </c>
    </row>
    <row r="182" spans="1:10" x14ac:dyDescent="0.25">
      <c r="A182" s="1" t="s">
        <v>4</v>
      </c>
      <c r="B182" t="s">
        <v>18</v>
      </c>
      <c r="C182" s="1" cm="1">
        <f t="array" ref="C182:G182">C173:G173+C181*C180:G180</f>
        <v>-1.1210777645301173</v>
      </c>
      <c r="D182" s="1">
        <v>1.9309381754747308</v>
      </c>
      <c r="E182" s="1">
        <v>0.40272048555359929</v>
      </c>
      <c r="F182" s="1">
        <v>-0.67474809006231029</v>
      </c>
      <c r="G182" s="1">
        <v>-0.1228355992227059</v>
      </c>
    </row>
    <row r="183" spans="1:10" x14ac:dyDescent="0.25">
      <c r="A183" s="1">
        <v>21</v>
      </c>
      <c r="B183" t="s">
        <v>19</v>
      </c>
      <c r="C183" s="1">
        <f t="shared" ref="C183" si="380">2*C182-F182*(D182^2)-2*G182*C182</f>
        <v>-1.7587885110409984E-3</v>
      </c>
      <c r="D183" s="1">
        <f t="shared" ref="D183" si="381">2*D182-2*F182*C182*D182+4*G182*D182</f>
        <v>-8.1728073333244833E-3</v>
      </c>
      <c r="E183" s="1">
        <f t="shared" ref="E183" si="382">4*E182+2*F182+2*G182</f>
        <v>1.5714563644364798E-2</v>
      </c>
      <c r="F183" s="1">
        <f t="shared" ref="F183" si="383">C182*(D182^2)-2*E182+5</f>
        <v>1.4595653869101E-2</v>
      </c>
      <c r="G183" s="1">
        <f t="shared" ref="G183" si="384">C182^2-2*(D182^2)-2*E182+7</f>
        <v>-5.6700919947179074E-3</v>
      </c>
      <c r="J183" s="1">
        <f t="shared" ref="J183" si="385">0.5*(C183*C183+D183*D183+E183*E183+F183*F183+G183*G183)</f>
        <v>2.8100934118108559E-4</v>
      </c>
    </row>
    <row r="184" spans="1:10" x14ac:dyDescent="0.25">
      <c r="C184" s="5">
        <f t="shared" ref="C184" si="386">2-2*G182</f>
        <v>2.2456711984454119</v>
      </c>
      <c r="D184" s="6">
        <f t="shared" ref="D184" si="387">-2*F182*D182</f>
        <v>2.6057936918599536</v>
      </c>
      <c r="E184" s="6">
        <f>0</f>
        <v>0</v>
      </c>
      <c r="F184" s="6">
        <f t="shared" ref="F184" si="388">-(D182^2)</f>
        <v>-3.7285222375056821</v>
      </c>
      <c r="G184" s="7">
        <f t="shared" ref="G184" si="389">-2*C182</f>
        <v>2.2421555290602346</v>
      </c>
    </row>
    <row r="185" spans="1:10" x14ac:dyDescent="0.25">
      <c r="C185" s="8">
        <f t="shared" ref="C185" si="390">-2*F182*D182</f>
        <v>2.6057936918599536</v>
      </c>
      <c r="D185" s="1">
        <f t="shared" ref="D185" si="391">2-2*F182*C182+4*G182</f>
        <v>-4.2325577468657061E-3</v>
      </c>
      <c r="E185" s="1">
        <f>0</f>
        <v>0</v>
      </c>
      <c r="F185" s="1">
        <f t="shared" ref="F185" si="392">-2*C182*D182</f>
        <v>4.329463706414149</v>
      </c>
      <c r="G185" s="9">
        <f t="shared" ref="G185" si="393">4*D182</f>
        <v>7.7237527018989232</v>
      </c>
    </row>
    <row r="186" spans="1:10" x14ac:dyDescent="0.25">
      <c r="B186" t="s">
        <v>20</v>
      </c>
      <c r="C186" s="8">
        <f>0</f>
        <v>0</v>
      </c>
      <c r="D186" s="1">
        <f>0</f>
        <v>0</v>
      </c>
      <c r="E186" s="1">
        <f>4</f>
        <v>4</v>
      </c>
      <c r="F186" s="1">
        <f>2</f>
        <v>2</v>
      </c>
      <c r="G186" s="9">
        <f>2</f>
        <v>2</v>
      </c>
    </row>
    <row r="187" spans="1:10" x14ac:dyDescent="0.25">
      <c r="C187" s="8">
        <f t="shared" ref="C187" si="394">(D182^2)</f>
        <v>3.7285222375056821</v>
      </c>
      <c r="D187" s="1">
        <f t="shared" ref="D187" si="395">2*C182*D182</f>
        <v>-4.329463706414149</v>
      </c>
      <c r="E187" s="1">
        <f t="shared" ref="E187:E188" si="396">-2</f>
        <v>-2</v>
      </c>
      <c r="F187" s="1">
        <f>0</f>
        <v>0</v>
      </c>
      <c r="G187" s="9">
        <f>0</f>
        <v>0</v>
      </c>
    </row>
    <row r="188" spans="1:10" x14ac:dyDescent="0.25">
      <c r="C188" s="10">
        <f t="shared" ref="C188" si="397">2*C182</f>
        <v>-2.2421555290602346</v>
      </c>
      <c r="D188" s="11">
        <f t="shared" ref="D188" si="398">-4*D182</f>
        <v>-7.7237527018989232</v>
      </c>
      <c r="E188" s="11">
        <f t="shared" si="396"/>
        <v>-2</v>
      </c>
      <c r="F188" s="11">
        <f>0</f>
        <v>0</v>
      </c>
      <c r="G188" s="12">
        <f>0</f>
        <v>0</v>
      </c>
    </row>
    <row r="189" spans="1:10" x14ac:dyDescent="0.25">
      <c r="B189" t="s">
        <v>21</v>
      </c>
      <c r="C189" s="1" cm="1">
        <f t="array" ref="C189:G189">-MMULT(C183:G183,C184:G188)</f>
        <v>-4.1887137640750693E-2</v>
      </c>
      <c r="D189" s="1">
        <v>2.3945413461832217E-2</v>
      </c>
      <c r="E189" s="1">
        <v>-4.5007130828693009E-2</v>
      </c>
      <c r="F189" s="1">
        <v>-2.6029366340717119E-3</v>
      </c>
      <c r="G189" s="1">
        <v>3.5639092818612897E-2</v>
      </c>
    </row>
    <row r="190" spans="1:10" x14ac:dyDescent="0.25">
      <c r="B190" t="s">
        <v>13</v>
      </c>
      <c r="C190" s="1">
        <f t="shared" ref="C190" si="399">J183/SUMPRODUCT(_xlfn.ANCHORARRAY(C189),_xlfn.ANCHORARRAY(C189))</f>
        <v>4.9908619259504947E-2</v>
      </c>
    </row>
    <row r="191" spans="1:10" x14ac:dyDescent="0.25">
      <c r="A191" s="1" t="s">
        <v>4</v>
      </c>
      <c r="B191" t="s">
        <v>18</v>
      </c>
      <c r="C191" s="1" cm="1">
        <f t="array" ref="C191:G191">C182:G182+C190*C189:G189</f>
        <v>-1.1231682937345</v>
      </c>
      <c r="D191" s="1">
        <v>1.9321332579982089</v>
      </c>
      <c r="E191" s="1">
        <v>0.40047424179710733</v>
      </c>
      <c r="F191" s="1">
        <v>-0.67487799903573675</v>
      </c>
      <c r="G191" s="1">
        <v>-0.12105690130846759</v>
      </c>
    </row>
    <row r="192" spans="1:10" x14ac:dyDescent="0.25">
      <c r="A192" s="1">
        <v>22</v>
      </c>
      <c r="B192" t="s">
        <v>19</v>
      </c>
      <c r="C192" s="1">
        <f t="shared" ref="C192" si="400">2*C191-F191*(D191^2)-2*G191*C191</f>
        <v>1.1421949047560886E-3</v>
      </c>
      <c r="D192" s="1">
        <f t="shared" ref="D192" si="401">2*D191-2*F191*C191*D191+4*G191*D191</f>
        <v>-4.4583307514312054E-4</v>
      </c>
      <c r="E192" s="1">
        <f t="shared" ref="E192" si="402">4*E191+2*F191+2*G191</f>
        <v>1.002716650002064E-2</v>
      </c>
      <c r="F192" s="1">
        <f t="shared" ref="F192" si="403">C191*(D191^2)-2*E191+5</f>
        <v>6.1082378721151187E-3</v>
      </c>
      <c r="G192" s="1">
        <f t="shared" ref="G192" si="404">C191^2-2*(D191^2)-2*E191+7</f>
        <v>-5.7193208692938313E-3</v>
      </c>
      <c r="J192" s="1">
        <f t="shared" ref="J192" si="405">0.5*(C192*C192+D192*D192+E192*E192+F192*F192+G192*G192)</f>
        <v>8.6034322729379946E-5</v>
      </c>
    </row>
    <row r="193" spans="1:10" x14ac:dyDescent="0.25">
      <c r="C193" s="5">
        <f t="shared" ref="C193" si="406">2-2*G191</f>
        <v>2.2421138026169354</v>
      </c>
      <c r="D193" s="6">
        <f t="shared" ref="D193" si="407">-2*F191*D191</f>
        <v>2.6079084540564601</v>
      </c>
      <c r="E193" s="6">
        <f>0</f>
        <v>0</v>
      </c>
      <c r="F193" s="6">
        <f t="shared" ref="F193" si="408">-(D191^2)</f>
        <v>-3.7331389266627735</v>
      </c>
      <c r="G193" s="7">
        <f t="shared" ref="G193" si="409">-2*C191</f>
        <v>2.246336587469</v>
      </c>
    </row>
    <row r="194" spans="1:10" x14ac:dyDescent="0.25">
      <c r="C194" s="8">
        <f t="shared" ref="C194" si="410">-2*F191*D191</f>
        <v>2.6079084540564601</v>
      </c>
      <c r="D194" s="1">
        <f t="shared" ref="D194" si="411">2-2*F191*C191+4*G191</f>
        <v>-2.3074654571436648E-4</v>
      </c>
      <c r="E194" s="1">
        <f>0</f>
        <v>0</v>
      </c>
      <c r="F194" s="1">
        <f t="shared" ref="F194" si="412">-2*C191*D191</f>
        <v>4.3402216293070577</v>
      </c>
      <c r="G194" s="9">
        <f t="shared" ref="G194" si="413">4*D191</f>
        <v>7.7285330319928356</v>
      </c>
    </row>
    <row r="195" spans="1:10" x14ac:dyDescent="0.25">
      <c r="B195" t="s">
        <v>20</v>
      </c>
      <c r="C195" s="8">
        <f>0</f>
        <v>0</v>
      </c>
      <c r="D195" s="1">
        <f>0</f>
        <v>0</v>
      </c>
      <c r="E195" s="1">
        <f>4</f>
        <v>4</v>
      </c>
      <c r="F195" s="1">
        <f>2</f>
        <v>2</v>
      </c>
      <c r="G195" s="9">
        <f>2</f>
        <v>2</v>
      </c>
    </row>
    <row r="196" spans="1:10" x14ac:dyDescent="0.25">
      <c r="C196" s="8">
        <f t="shared" ref="C196" si="414">(D191^2)</f>
        <v>3.7331389266627735</v>
      </c>
      <c r="D196" s="1">
        <f t="shared" ref="D196" si="415">2*C191*D191</f>
        <v>-4.3402216293070577</v>
      </c>
      <c r="E196" s="1">
        <f t="shared" ref="E196:E197" si="416">-2</f>
        <v>-2</v>
      </c>
      <c r="F196" s="1">
        <f>0</f>
        <v>0</v>
      </c>
      <c r="G196" s="9">
        <f>0</f>
        <v>0</v>
      </c>
    </row>
    <row r="197" spans="1:10" x14ac:dyDescent="0.25">
      <c r="C197" s="10">
        <f t="shared" ref="C197" si="417">2*C191</f>
        <v>-2.246336587469</v>
      </c>
      <c r="D197" s="11">
        <f t="shared" ref="D197" si="418">-4*D191</f>
        <v>-7.7285330319928356</v>
      </c>
      <c r="E197" s="11">
        <f t="shared" si="416"/>
        <v>-2</v>
      </c>
      <c r="F197" s="11">
        <f>0</f>
        <v>0</v>
      </c>
      <c r="G197" s="12">
        <f>0</f>
        <v>0</v>
      </c>
    </row>
    <row r="198" spans="1:10" x14ac:dyDescent="0.25">
      <c r="B198" t="s">
        <v>21</v>
      </c>
      <c r="C198" s="1" cm="1">
        <f t="array" ref="C198:G198">-MMULT(C192:G192,C193:G197)</f>
        <v>-3.7048659413347104E-2</v>
      </c>
      <c r="D198" s="1">
        <v>-2.0669696752132472E-2</v>
      </c>
      <c r="E198" s="1">
        <v>-3.9330831994439985E-2</v>
      </c>
      <c r="F198" s="1">
        <v>-1.3855346383463796E-2</v>
      </c>
      <c r="G198" s="1">
        <v>-1.9174451556617001E-2</v>
      </c>
    </row>
    <row r="199" spans="1:10" x14ac:dyDescent="0.25">
      <c r="B199" t="s">
        <v>13</v>
      </c>
      <c r="C199" s="1">
        <f t="shared" ref="C199" si="419">J192/SUMPRODUCT(_xlfn.ANCHORARRAY(C198),_xlfn.ANCHORARRAY(C198))</f>
        <v>2.2024030602161276E-2</v>
      </c>
    </row>
    <row r="200" spans="1:10" x14ac:dyDescent="0.25">
      <c r="A200" s="1" t="s">
        <v>4</v>
      </c>
      <c r="B200" t="s">
        <v>18</v>
      </c>
      <c r="C200" s="1" cm="1">
        <f t="array" ref="C200:G200">C191:G191+C199*C198:G198</f>
        <v>-1.1239842545431886</v>
      </c>
      <c r="D200" s="1">
        <v>1.9316780279644026</v>
      </c>
      <c r="E200" s="1">
        <v>0.39960801834965332</v>
      </c>
      <c r="F200" s="1">
        <v>-0.67518314960848969</v>
      </c>
      <c r="G200" s="1">
        <v>-0.12147920001633018</v>
      </c>
    </row>
    <row r="201" spans="1:10" x14ac:dyDescent="0.25">
      <c r="A201" s="1">
        <v>23</v>
      </c>
      <c r="B201" t="s">
        <v>19</v>
      </c>
      <c r="C201" s="1">
        <f t="shared" ref="C201" si="420">2*C200-F200*(D200^2)-2*G200*C200</f>
        <v>-1.6850219339858974E-3</v>
      </c>
      <c r="D201" s="1">
        <f t="shared" ref="D201" si="421">2*D200-2*F200*C200*D200+4*G200*D200</f>
        <v>-7.1612293073726185E-3</v>
      </c>
      <c r="E201" s="1">
        <f t="shared" ref="E201" si="422">4*E200+2*F200+2*G200</f>
        <v>5.1073741489735258E-3</v>
      </c>
      <c r="F201" s="1">
        <f t="shared" ref="F201" si="423">C200*(D200^2)-2*E200+5</f>
        <v>6.7715914016108769E-3</v>
      </c>
      <c r="G201" s="1">
        <f t="shared" ref="G201" si="424">C200^2-2*(D200^2)-2*E200+7</f>
        <v>1.3645603208143342E-3</v>
      </c>
      <c r="J201" s="1">
        <f t="shared" ref="J201" si="425">0.5*(C201*C201+D201*D201+E201*E201+F201*F201+G201*G201)</f>
        <v>6.3962124893950198E-5</v>
      </c>
    </row>
    <row r="202" spans="1:10" x14ac:dyDescent="0.25">
      <c r="C202" s="5">
        <f t="shared" ref="C202" si="426">2-2*G200</f>
        <v>2.2429584000326606</v>
      </c>
      <c r="D202" s="6">
        <f t="shared" ref="D202" si="427">-2*F200*D200</f>
        <v>2.6084729099010433</v>
      </c>
      <c r="E202" s="6">
        <f>0</f>
        <v>0</v>
      </c>
      <c r="F202" s="6">
        <f t="shared" ref="F202" si="428">-(D200^2)</f>
        <v>-3.7313800037204432</v>
      </c>
      <c r="G202" s="7">
        <f t="shared" ref="G202" si="429">-2*C200</f>
        <v>2.2479685090863772</v>
      </c>
    </row>
    <row r="203" spans="1:10" x14ac:dyDescent="0.25">
      <c r="C203" s="8">
        <f t="shared" ref="C203" si="430">-2*F200*D200</f>
        <v>2.6084729099010433</v>
      </c>
      <c r="D203" s="1">
        <f t="shared" ref="D203" si="431">2-2*F200*C200+4*G200</f>
        <v>-3.7072582509616869E-3</v>
      </c>
      <c r="E203" s="1">
        <f>0</f>
        <v>0</v>
      </c>
      <c r="F203" s="1">
        <f t="shared" ref="F203" si="432">-2*C200*D200</f>
        <v>4.3423513765580513</v>
      </c>
      <c r="G203" s="9">
        <f t="shared" ref="G203" si="433">4*D200</f>
        <v>7.7267121118576103</v>
      </c>
    </row>
    <row r="204" spans="1:10" x14ac:dyDescent="0.25">
      <c r="B204" t="s">
        <v>20</v>
      </c>
      <c r="C204" s="8">
        <f>0</f>
        <v>0</v>
      </c>
      <c r="D204" s="1">
        <f>0</f>
        <v>0</v>
      </c>
      <c r="E204" s="1">
        <f>4</f>
        <v>4</v>
      </c>
      <c r="F204" s="1">
        <f>2</f>
        <v>2</v>
      </c>
      <c r="G204" s="9">
        <f>2</f>
        <v>2</v>
      </c>
    </row>
    <row r="205" spans="1:10" x14ac:dyDescent="0.25">
      <c r="C205" s="8">
        <f t="shared" ref="C205" si="434">(D200^2)</f>
        <v>3.7313800037204432</v>
      </c>
      <c r="D205" s="1">
        <f t="shared" ref="D205" si="435">2*C200*D200</f>
        <v>-4.3423513765580513</v>
      </c>
      <c r="E205" s="1">
        <f t="shared" ref="E205:E206" si="436">-2</f>
        <v>-2</v>
      </c>
      <c r="F205" s="1">
        <f>0</f>
        <v>0</v>
      </c>
      <c r="G205" s="9">
        <f>0</f>
        <v>0</v>
      </c>
    </row>
    <row r="206" spans="1:10" x14ac:dyDescent="0.25">
      <c r="C206" s="10">
        <f t="shared" ref="C206" si="437">2*C200</f>
        <v>-2.2479685090863772</v>
      </c>
      <c r="D206" s="11">
        <f t="shared" ref="D206" si="438">-4*D200</f>
        <v>-7.7267121118576103</v>
      </c>
      <c r="E206" s="11">
        <f t="shared" si="436"/>
        <v>-2</v>
      </c>
      <c r="F206" s="11">
        <f>0</f>
        <v>0</v>
      </c>
      <c r="G206" s="12">
        <f>0</f>
        <v>0</v>
      </c>
    </row>
    <row r="207" spans="1:10" x14ac:dyDescent="0.25">
      <c r="B207" t="s">
        <v>21</v>
      </c>
      <c r="C207" s="1" cm="1">
        <f t="array" ref="C207:G207">-MMULT(C201:G201,C202:G206)</f>
        <v>2.5941463154714435E-4</v>
      </c>
      <c r="D207" s="1">
        <v>4.4316979543424569E-2</v>
      </c>
      <c r="E207" s="1">
        <v>-4.157193151043681E-3</v>
      </c>
      <c r="F207" s="1">
        <v>1.4594368492464972E-2</v>
      </c>
      <c r="G207" s="1">
        <v>4.8905885171838769E-2</v>
      </c>
    </row>
    <row r="208" spans="1:10" x14ac:dyDescent="0.25">
      <c r="B208" t="s">
        <v>13</v>
      </c>
      <c r="C208" s="1">
        <f t="shared" ref="C208" si="439">J201/SUMPRODUCT(_xlfn.ANCHORARRAY(C207),_xlfn.ANCHORARRAY(C207))</f>
        <v>1.3946876501784212E-2</v>
      </c>
    </row>
    <row r="209" spans="1:10" x14ac:dyDescent="0.25">
      <c r="A209" s="1" t="s">
        <v>4</v>
      </c>
      <c r="B209" t="s">
        <v>18</v>
      </c>
      <c r="C209" s="1" cm="1">
        <f t="array" ref="C209:G209">C200:G200+C208*C207:G207</f>
        <v>-1.1239806365193596</v>
      </c>
      <c r="D209" s="1">
        <v>1.9322961114050268</v>
      </c>
      <c r="E209" s="1">
        <v>0.39955003849018167</v>
      </c>
      <c r="F209" s="1">
        <v>-0.67497960375350374</v>
      </c>
      <c r="G209" s="1">
        <v>-0.12079711567562811</v>
      </c>
    </row>
    <row r="210" spans="1:10" x14ac:dyDescent="0.25">
      <c r="A210" s="1">
        <v>24</v>
      </c>
      <c r="B210" t="s">
        <v>19</v>
      </c>
      <c r="C210" s="1">
        <f t="shared" ref="C210" si="440">2*C209-F209*(D209^2)-2*G209*C209</f>
        <v>7.0891112177240423E-4</v>
      </c>
      <c r="D210" s="1">
        <f t="shared" ref="D210" si="441">2*D209-2*F209*C209*D209+4*G209*D209</f>
        <v>-9.9797689794101085E-4</v>
      </c>
      <c r="E210" s="1">
        <f t="shared" ref="E210" si="442">4*E209+2*F209+2*G209</f>
        <v>6.64671510246298E-3</v>
      </c>
      <c r="F210" s="1">
        <f t="shared" ref="F210" si="443">C209*(D209^2)-2*E209+5</f>
        <v>4.216695111385782E-3</v>
      </c>
      <c r="G210" s="1">
        <f t="shared" ref="G210" si="444">C209^2-2*(D209^2)-2*E209+7</f>
        <v>-3.304130011874129E-3</v>
      </c>
      <c r="J210" s="1">
        <f t="shared" ref="J210" si="445">0.5*(C210*C210+D210*D210+E210*E210+F210*F210+G210*G210)</f>
        <v>3.7187563659229061E-5</v>
      </c>
    </row>
    <row r="211" spans="1:10" x14ac:dyDescent="0.25">
      <c r="C211" s="5">
        <f t="shared" ref="C211" si="446">2-2*G209</f>
        <v>2.241594231351256</v>
      </c>
      <c r="D211" s="6">
        <f t="shared" ref="D211" si="447">-2*F209*D209</f>
        <v>2.608520927221202</v>
      </c>
      <c r="E211" s="6">
        <f>0</f>
        <v>0</v>
      </c>
      <c r="F211" s="6">
        <f t="shared" ref="F211" si="448">-(D209^2)</f>
        <v>-3.7337682621509876</v>
      </c>
      <c r="G211" s="7">
        <f t="shared" ref="G211" si="449">-2*C209</f>
        <v>2.2479612730387193</v>
      </c>
    </row>
    <row r="212" spans="1:10" x14ac:dyDescent="0.25">
      <c r="C212" s="8">
        <f t="shared" ref="C212" si="450">-2*F209*D209</f>
        <v>2.608520927221202</v>
      </c>
      <c r="D212" s="1">
        <f t="shared" ref="D212" si="451">2-2*F209*C209+4*G209</f>
        <v>-5.1647203140897657E-4</v>
      </c>
      <c r="E212" s="1">
        <f>0</f>
        <v>0</v>
      </c>
      <c r="F212" s="1">
        <f t="shared" ref="F212" si="452">-2*C209*D209</f>
        <v>4.3437268264818112</v>
      </c>
      <c r="G212" s="9">
        <f t="shared" ref="G212" si="453">4*D209</f>
        <v>7.7291844456201071</v>
      </c>
    </row>
    <row r="213" spans="1:10" x14ac:dyDescent="0.25">
      <c r="B213" t="s">
        <v>20</v>
      </c>
      <c r="C213" s="8">
        <f>0</f>
        <v>0</v>
      </c>
      <c r="D213" s="1">
        <f>0</f>
        <v>0</v>
      </c>
      <c r="E213" s="1">
        <f>4</f>
        <v>4</v>
      </c>
      <c r="F213" s="1">
        <f>2</f>
        <v>2</v>
      </c>
      <c r="G213" s="9">
        <f>2</f>
        <v>2</v>
      </c>
    </row>
    <row r="214" spans="1:10" x14ac:dyDescent="0.25">
      <c r="C214" s="8">
        <f t="shared" ref="C214" si="454">(D209^2)</f>
        <v>3.7337682621509876</v>
      </c>
      <c r="D214" s="1">
        <f t="shared" ref="D214" si="455">2*C209*D209</f>
        <v>-4.3437268264818112</v>
      </c>
      <c r="E214" s="1">
        <f t="shared" ref="E214:E215" si="456">-2</f>
        <v>-2</v>
      </c>
      <c r="F214" s="1">
        <f>0</f>
        <v>0</v>
      </c>
      <c r="G214" s="9">
        <f>0</f>
        <v>0</v>
      </c>
    </row>
    <row r="215" spans="1:10" x14ac:dyDescent="0.25">
      <c r="C215" s="10">
        <f t="shared" ref="C215" si="457">2*C209</f>
        <v>-2.2479612730387193</v>
      </c>
      <c r="D215" s="11">
        <f t="shared" ref="D215" si="458">-4*D209</f>
        <v>-7.7291844456201071</v>
      </c>
      <c r="E215" s="11">
        <f t="shared" si="456"/>
        <v>-2</v>
      </c>
      <c r="F215" s="11">
        <f>0</f>
        <v>0</v>
      </c>
      <c r="G215" s="12">
        <f>0</f>
        <v>0</v>
      </c>
    </row>
    <row r="216" spans="1:10" x14ac:dyDescent="0.25">
      <c r="B216" t="s">
        <v>21</v>
      </c>
      <c r="C216" s="1" cm="1">
        <f t="array" ref="C216:G216">-MMULT(C210:G210,C211:G215)</f>
        <v>-2.2157566143780807E-2</v>
      </c>
      <c r="D216" s="1">
        <v>-9.071783543501924E-3</v>
      </c>
      <c r="E216" s="1">
        <v>-2.4761730210828614E-2</v>
      </c>
      <c r="F216" s="1">
        <v>-6.3115813339708338E-3</v>
      </c>
      <c r="G216" s="1">
        <v>-7.1734874360428946E-3</v>
      </c>
    </row>
    <row r="217" spans="1:10" x14ac:dyDescent="0.25">
      <c r="B217" t="s">
        <v>13</v>
      </c>
      <c r="C217" s="1">
        <f t="shared" ref="C217" si="459">J210/SUMPRODUCT(_xlfn.ANCHORARRAY(C216),_xlfn.ANCHORARRAY(C216))</f>
        <v>2.9105235881312228E-2</v>
      </c>
    </row>
    <row r="218" spans="1:10" x14ac:dyDescent="0.25">
      <c r="A218" s="1" t="s">
        <v>4</v>
      </c>
      <c r="B218" t="s">
        <v>18</v>
      </c>
      <c r="C218" s="1" cm="1">
        <f t="array" ref="C218:G218">C209:G209+C217*C216:G216</f>
        <v>-1.1246255377085301</v>
      </c>
      <c r="D218" s="1">
        <v>1.932032075005129</v>
      </c>
      <c r="E218" s="1">
        <v>0.3988293424915661</v>
      </c>
      <c r="F218" s="1">
        <v>-0.67516330381701306</v>
      </c>
      <c r="G218" s="1">
        <v>-0.12100590171954577</v>
      </c>
    </row>
    <row r="219" spans="1:10" x14ac:dyDescent="0.25">
      <c r="A219" s="1">
        <v>25</v>
      </c>
      <c r="B219" t="s">
        <v>19</v>
      </c>
      <c r="C219" s="1">
        <f t="shared" ref="C219" si="460">2*C218-F218*(D218^2)-2*G218*C218</f>
        <v>-1.2092992823765081E-3</v>
      </c>
      <c r="D219" s="1">
        <f t="shared" ref="D219" si="461">2*D218-2*F218*C218*D218+4*G218*D218</f>
        <v>-5.091665874938256E-3</v>
      </c>
      <c r="E219" s="1">
        <f t="shared" ref="E219" si="462">4*E218+2*F218+2*G218</f>
        <v>2.978958893146727E-3</v>
      </c>
      <c r="F219" s="1">
        <f t="shared" ref="F219" si="463">C218*(D218^2)-2*E218+5</f>
        <v>4.3976571588260072E-3</v>
      </c>
      <c r="G219" s="1">
        <f t="shared" ref="G219" si="464">C218^2-2*(D218^2)-2*E218+7</f>
        <v>1.62803738581907E-3</v>
      </c>
      <c r="J219" s="1">
        <f t="shared" ref="J219" si="465">0.5*(C219*C219+D219*D219+E219*E219+F219*F219+G219*G219)</f>
        <v>2.9125778219811645E-5</v>
      </c>
    </row>
    <row r="220" spans="1:10" x14ac:dyDescent="0.25">
      <c r="C220" s="5">
        <f t="shared" ref="C220" si="466">2-2*G218</f>
        <v>2.2420118034390915</v>
      </c>
      <c r="D220" s="6">
        <f t="shared" ref="D220" si="467">-2*F218*D218</f>
        <v>2.6088743176818041</v>
      </c>
      <c r="E220" s="6">
        <f>0</f>
        <v>0</v>
      </c>
      <c r="F220" s="6">
        <f t="shared" ref="F220" si="468">-(D218^2)</f>
        <v>-3.7327479388486244</v>
      </c>
      <c r="G220" s="7">
        <f t="shared" ref="G220" si="469">-2*C218</f>
        <v>2.2492510754170603</v>
      </c>
    </row>
    <row r="221" spans="1:10" x14ac:dyDescent="0.25">
      <c r="C221" s="8">
        <f t="shared" ref="C221" si="470">-2*F218*D218</f>
        <v>2.6088743176818041</v>
      </c>
      <c r="D221" s="1">
        <f t="shared" ref="D221" si="471">2-2*F218*C218+4*G218</f>
        <v>-2.6353940707350421E-3</v>
      </c>
      <c r="E221" s="1">
        <f>0</f>
        <v>0</v>
      </c>
      <c r="F221" s="1">
        <f t="shared" ref="F221" si="472">-2*C218*D218</f>
        <v>4.3456252224455412</v>
      </c>
      <c r="G221" s="9">
        <f t="shared" ref="G221" si="473">4*D218</f>
        <v>7.7281283000205159</v>
      </c>
    </row>
    <row r="222" spans="1:10" x14ac:dyDescent="0.25">
      <c r="B222" t="s">
        <v>20</v>
      </c>
      <c r="C222" s="8">
        <f>0</f>
        <v>0</v>
      </c>
      <c r="D222" s="1">
        <f>0</f>
        <v>0</v>
      </c>
      <c r="E222" s="1">
        <f>4</f>
        <v>4</v>
      </c>
      <c r="F222" s="1">
        <f>2</f>
        <v>2</v>
      </c>
      <c r="G222" s="9">
        <f>2</f>
        <v>2</v>
      </c>
    </row>
    <row r="223" spans="1:10" x14ac:dyDescent="0.25">
      <c r="C223" s="8">
        <f t="shared" ref="C223" si="474">(D218^2)</f>
        <v>3.7327479388486244</v>
      </c>
      <c r="D223" s="1">
        <f t="shared" ref="D223" si="475">2*C218*D218</f>
        <v>-4.3456252224455412</v>
      </c>
      <c r="E223" s="1">
        <f t="shared" ref="E223:E224" si="476">-2</f>
        <v>-2</v>
      </c>
      <c r="F223" s="1">
        <f>0</f>
        <v>0</v>
      </c>
      <c r="G223" s="9">
        <f>0</f>
        <v>0</v>
      </c>
    </row>
    <row r="224" spans="1:10" x14ac:dyDescent="0.25">
      <c r="C224" s="10">
        <f t="shared" ref="C224" si="477">2*C218</f>
        <v>-2.2492510754170603</v>
      </c>
      <c r="D224" s="11">
        <f t="shared" ref="D224" si="478">-4*D218</f>
        <v>-7.7281283000205159</v>
      </c>
      <c r="E224" s="11">
        <f t="shared" si="476"/>
        <v>-2</v>
      </c>
      <c r="F224" s="11">
        <f>0</f>
        <v>0</v>
      </c>
      <c r="G224" s="12">
        <f>0</f>
        <v>0</v>
      </c>
    </row>
    <row r="225" spans="1:10" x14ac:dyDescent="0.25">
      <c r="B225" t="s">
        <v>21</v>
      </c>
      <c r="C225" s="1" cm="1">
        <f t="array" ref="C225:G225">-MMULT(C219:G219,C220:G224)</f>
        <v>3.2412987458238711E-3</v>
      </c>
      <c r="D225" s="1">
        <v>3.4833742958028401E-2</v>
      </c>
      <c r="E225" s="1">
        <v>1.3555351670324622E-4</v>
      </c>
      <c r="F225" s="1">
        <v>1.1654544460361443E-2</v>
      </c>
      <c r="G225" s="1">
        <v>3.611114706745204E-2</v>
      </c>
    </row>
    <row r="226" spans="1:10" x14ac:dyDescent="0.25">
      <c r="B226" t="s">
        <v>13</v>
      </c>
      <c r="C226" s="1">
        <f t="shared" ref="C226" si="479">J219/SUMPRODUCT(_xlfn.ANCHORARRAY(C225),_xlfn.ANCHORARRAY(C225))</f>
        <v>1.0934095698949674E-2</v>
      </c>
    </row>
    <row r="227" spans="1:10" x14ac:dyDescent="0.25">
      <c r="A227" s="1" t="s">
        <v>4</v>
      </c>
      <c r="B227" t="s">
        <v>18</v>
      </c>
      <c r="C227" s="1" cm="1">
        <f t="array" ref="C227:G227">C218:G218+C226*C225:G225</f>
        <v>-1.1245900970378544</v>
      </c>
      <c r="D227" s="1">
        <v>1.9324129504841847</v>
      </c>
      <c r="E227" s="1">
        <v>0.39883082464669006</v>
      </c>
      <c r="F227" s="1">
        <v>-0.67503587191255576</v>
      </c>
      <c r="G227" s="1">
        <v>-0.1206110589817114</v>
      </c>
    </row>
    <row r="228" spans="1:10" x14ac:dyDescent="0.25">
      <c r="A228" s="1">
        <v>26</v>
      </c>
      <c r="B228" t="s">
        <v>19</v>
      </c>
      <c r="C228" s="1">
        <f t="shared" ref="C228" si="480">2*C227-F227*(D227^2)-2*G227*C227</f>
        <v>2.761270419797679E-4</v>
      </c>
      <c r="D228" s="1">
        <f t="shared" ref="D228" si="481">2*D227-2*F227*C227*D227+4*G227*D227</f>
        <v>-1.3943312565513066E-3</v>
      </c>
      <c r="E228" s="1">
        <f t="shared" ref="E228" si="482">4*E227+2*F227+2*G227</f>
        <v>4.0294367982259272E-3</v>
      </c>
      <c r="F228" s="1">
        <f t="shared" ref="F228" si="483">C227*(D227^2)-2*E227+5</f>
        <v>2.8717308696677435E-3</v>
      </c>
      <c r="G228" s="1">
        <f t="shared" ref="G228" si="484">C227^2-2*(D227^2)-2*E227+7</f>
        <v>-1.3983853357526499E-3</v>
      </c>
      <c r="J228" s="1">
        <f t="shared" ref="J228" si="485">0.5*(C228*C228+D228*D228+E228*E228+F228*F228+G228*G228)</f>
        <v>1.4229543221128181E-5</v>
      </c>
    </row>
    <row r="229" spans="1:10" x14ac:dyDescent="0.25">
      <c r="C229" s="5">
        <f t="shared" ref="C229" si="486">2-2*G227</f>
        <v>2.2412221179634226</v>
      </c>
      <c r="D229" s="6">
        <f t="shared" ref="D229" si="487">-2*F227*D227</f>
        <v>2.6088961218504121</v>
      </c>
      <c r="E229" s="6">
        <f>0</f>
        <v>0</v>
      </c>
      <c r="F229" s="6">
        <f t="shared" ref="F229" si="488">-(D227^2)</f>
        <v>-3.7342198111989919</v>
      </c>
      <c r="G229" s="7">
        <f t="shared" ref="G229" si="489">-2*C227</f>
        <v>2.2491801940757088</v>
      </c>
    </row>
    <row r="230" spans="1:10" x14ac:dyDescent="0.25">
      <c r="C230" s="8">
        <f t="shared" ref="C230" si="490">-2*F227*D227</f>
        <v>2.6088961218504121</v>
      </c>
      <c r="D230" s="1">
        <f t="shared" ref="D230" si="491">2-2*F227*C227+4*G227</f>
        <v>-7.215493231930159E-4</v>
      </c>
      <c r="E230" s="1">
        <f>0</f>
        <v>0</v>
      </c>
      <c r="F230" s="1">
        <f t="shared" ref="F230" si="492">-2*C227*D227</f>
        <v>4.3463449350044314</v>
      </c>
      <c r="G230" s="9">
        <f t="shared" ref="G230" si="493">4*D227</f>
        <v>7.7296518019367388</v>
      </c>
    </row>
    <row r="231" spans="1:10" x14ac:dyDescent="0.25">
      <c r="B231" t="s">
        <v>20</v>
      </c>
      <c r="C231" s="8">
        <f>0</f>
        <v>0</v>
      </c>
      <c r="D231" s="1">
        <f>0</f>
        <v>0</v>
      </c>
      <c r="E231" s="1">
        <f>4</f>
        <v>4</v>
      </c>
      <c r="F231" s="1">
        <f>2</f>
        <v>2</v>
      </c>
      <c r="G231" s="9">
        <f>2</f>
        <v>2</v>
      </c>
    </row>
    <row r="232" spans="1:10" x14ac:dyDescent="0.25">
      <c r="C232" s="8">
        <f t="shared" ref="C232" si="494">(D227^2)</f>
        <v>3.7342198111989919</v>
      </c>
      <c r="D232" s="1">
        <f t="shared" ref="D232" si="495">2*C227*D227</f>
        <v>-4.3463449350044314</v>
      </c>
      <c r="E232" s="1">
        <f t="shared" ref="E232:E233" si="496">-2</f>
        <v>-2</v>
      </c>
      <c r="F232" s="1">
        <f>0</f>
        <v>0</v>
      </c>
      <c r="G232" s="9">
        <f>0</f>
        <v>0</v>
      </c>
    </row>
    <row r="233" spans="1:10" x14ac:dyDescent="0.25">
      <c r="C233" s="10">
        <f t="shared" ref="C233" si="497">2*C227</f>
        <v>-2.2491801940757088</v>
      </c>
      <c r="D233" s="11">
        <f t="shared" ref="D233" si="498">-4*D227</f>
        <v>-7.7296518019367388</v>
      </c>
      <c r="E233" s="11">
        <f t="shared" si="496"/>
        <v>-2</v>
      </c>
      <c r="F233" s="11">
        <f>0</f>
        <v>0</v>
      </c>
      <c r="G233" s="12">
        <f>0</f>
        <v>0</v>
      </c>
    </row>
    <row r="234" spans="1:10" x14ac:dyDescent="0.25">
      <c r="B234" t="s">
        <v>21</v>
      </c>
      <c r="C234" s="1" cm="1">
        <f t="array" ref="C234:G234">-MMULT(C228:G228,C229:G233)</f>
        <v>-1.0850091532867123E-2</v>
      </c>
      <c r="D234" s="1">
        <v>9.5110834204037431E-4</v>
      </c>
      <c r="E234" s="1">
        <v>-1.3171056125073521E-2</v>
      </c>
      <c r="F234" s="1">
        <v>-9.6750993125309295E-4</v>
      </c>
      <c r="G234" s="1">
        <v>2.0977620393770654E-3</v>
      </c>
    </row>
    <row r="235" spans="1:10" x14ac:dyDescent="0.25">
      <c r="B235" t="s">
        <v>13</v>
      </c>
      <c r="C235" s="1">
        <f t="shared" ref="C235" si="499">J228/SUMPRODUCT(_xlfn.ANCHORARRAY(C234),_xlfn.ANCHORARRAY(C234))</f>
        <v>4.7839644690281485E-2</v>
      </c>
    </row>
    <row r="236" spans="1:10" x14ac:dyDescent="0.25">
      <c r="A236" s="1" t="s">
        <v>4</v>
      </c>
      <c r="B236" t="s">
        <v>18</v>
      </c>
      <c r="C236" s="1" cm="1">
        <f t="array" ref="C236:G236">C227:G227+C235*C234:G234</f>
        <v>-1.1251091615616438</v>
      </c>
      <c r="D236" s="1">
        <v>1.9324584511693299</v>
      </c>
      <c r="E236" s="1">
        <v>0.39820072600147077</v>
      </c>
      <c r="F236" s="1">
        <v>-0.67508215724390119</v>
      </c>
      <c r="G236" s="1">
        <v>-0.12051070279110285</v>
      </c>
    </row>
    <row r="237" spans="1:10" x14ac:dyDescent="0.25">
      <c r="A237" s="1">
        <v>27</v>
      </c>
      <c r="B237" t="s">
        <v>19</v>
      </c>
      <c r="C237" s="1">
        <f t="shared" ref="C237" si="500">2*C236-F236*(D236^2)-2*G236*C236</f>
        <v>-3.6983281113672772E-4</v>
      </c>
      <c r="D237" s="1">
        <f t="shared" ref="D237" si="501">2*D236-2*F236*C236*D236+4*G236*D236</f>
        <v>-2.1741143288587228E-3</v>
      </c>
      <c r="E237" s="1">
        <f t="shared" ref="E237" si="502">4*E236+2*F236+2*G236</f>
        <v>1.6171839358750106E-3</v>
      </c>
      <c r="F237" s="1">
        <f t="shared" ref="F237" si="503">C236*(D236^2)-2*E236+5</f>
        <v>1.9957718516812051E-3</v>
      </c>
      <c r="G237" s="1">
        <f t="shared" ref="G237" si="504">C236^2-2*(D236^2)-2*E236+7</f>
        <v>6.7784243547297507E-4</v>
      </c>
      <c r="J237" s="1">
        <f t="shared" ref="J237" si="505">0.5*(C237*C237+D237*D237+E237*E237+F237*F237+G237*G237)</f>
        <v>5.9607044784426305E-6</v>
      </c>
    </row>
    <row r="238" spans="1:10" x14ac:dyDescent="0.25">
      <c r="C238" s="5">
        <f t="shared" ref="C238" si="506">2-2*G236</f>
        <v>2.2410214055822055</v>
      </c>
      <c r="D238" s="6">
        <f t="shared" ref="D238" si="507">-2*F236*D236</f>
        <v>2.6091364399991988</v>
      </c>
      <c r="E238" s="6">
        <f>0</f>
        <v>0</v>
      </c>
      <c r="F238" s="6">
        <f t="shared" ref="F238" si="508">-(D236^2)</f>
        <v>-3.7343956654957653</v>
      </c>
      <c r="G238" s="7">
        <f t="shared" ref="G238" si="509">-2*C236</f>
        <v>2.2502183231232875</v>
      </c>
    </row>
    <row r="239" spans="1:10" x14ac:dyDescent="0.25">
      <c r="C239" s="8">
        <f t="shared" ref="C239" si="510">-2*F236*D236</f>
        <v>2.6091364399991988</v>
      </c>
      <c r="D239" s="1">
        <f t="shared" ref="D239" si="511">2-2*F236*C236+4*G236</f>
        <v>-1.1250510082342347E-3</v>
      </c>
      <c r="E239" s="1">
        <f>0</f>
        <v>0</v>
      </c>
      <c r="F239" s="1">
        <f t="shared" ref="F239" si="512">-2*C236*D236</f>
        <v>4.3484534154956753</v>
      </c>
      <c r="G239" s="9">
        <f t="shared" ref="G239" si="513">4*D236</f>
        <v>7.7298338046773196</v>
      </c>
    </row>
    <row r="240" spans="1:10" x14ac:dyDescent="0.25">
      <c r="B240" t="s">
        <v>20</v>
      </c>
      <c r="C240" s="8">
        <f>0</f>
        <v>0</v>
      </c>
      <c r="D240" s="1">
        <f>0</f>
        <v>0</v>
      </c>
      <c r="E240" s="1">
        <f>4</f>
        <v>4</v>
      </c>
      <c r="F240" s="1">
        <f>2</f>
        <v>2</v>
      </c>
      <c r="G240" s="9">
        <f>2</f>
        <v>2</v>
      </c>
    </row>
    <row r="241" spans="1:10" x14ac:dyDescent="0.25">
      <c r="C241" s="8">
        <f t="shared" ref="C241" si="514">(D236^2)</f>
        <v>3.7343956654957653</v>
      </c>
      <c r="D241" s="1">
        <f t="shared" ref="D241" si="515">2*C236*D236</f>
        <v>-4.3484534154956753</v>
      </c>
      <c r="E241" s="1">
        <f t="shared" ref="E241:E242" si="516">-2</f>
        <v>-2</v>
      </c>
      <c r="F241" s="1">
        <f>0</f>
        <v>0</v>
      </c>
      <c r="G241" s="9">
        <f>0</f>
        <v>0</v>
      </c>
    </row>
    <row r="242" spans="1:10" x14ac:dyDescent="0.25">
      <c r="C242" s="10">
        <f t="shared" ref="C242" si="517">2*C236</f>
        <v>-2.2502183231232875</v>
      </c>
      <c r="D242" s="11">
        <f t="shared" ref="D242" si="518">-4*D236</f>
        <v>-7.7298338046773196</v>
      </c>
      <c r="E242" s="11">
        <f t="shared" si="516"/>
        <v>-2</v>
      </c>
      <c r="F242" s="11">
        <f>0</f>
        <v>0</v>
      </c>
      <c r="G242" s="12">
        <f>0</f>
        <v>0</v>
      </c>
    </row>
    <row r="243" spans="1:10" x14ac:dyDescent="0.25">
      <c r="B243" t="s">
        <v>21</v>
      </c>
      <c r="C243" s="1" cm="1">
        <f t="array" ref="C243:G243">-MMULT(C237:G237,C238:G242)</f>
        <v>5.7365588264879711E-4</v>
      </c>
      <c r="D243" s="1">
        <v>1.4880628571683551E-2</v>
      </c>
      <c r="E243" s="1">
        <v>-1.1215071691916823E-3</v>
      </c>
      <c r="F243" s="1">
        <v>4.8385649603866696E-3</v>
      </c>
      <c r="G243" s="1">
        <v>1.4403379130807539E-2</v>
      </c>
    </row>
    <row r="244" spans="1:10" x14ac:dyDescent="0.25">
      <c r="B244" t="s">
        <v>13</v>
      </c>
      <c r="C244" s="1">
        <f t="shared" ref="C244" si="519">J237/SUMPRODUCT(_xlfn.ANCHORARRAY(C243),_xlfn.ANCHORARRAY(C243))</f>
        <v>1.3132515619211403E-2</v>
      </c>
    </row>
    <row r="245" spans="1:10" x14ac:dyDescent="0.25">
      <c r="A245" s="1" t="s">
        <v>4</v>
      </c>
      <c r="B245" t="s">
        <v>18</v>
      </c>
      <c r="C245" s="1" cm="1">
        <f t="array" ref="C245:G245">C236:G236+C244*C243:G243</f>
        <v>-1.1251016280168049</v>
      </c>
      <c r="D245" s="1">
        <v>1.9326538712564711</v>
      </c>
      <c r="E245" s="1">
        <v>0.39818599779105429</v>
      </c>
      <c r="F245" s="1">
        <v>-0.67501861471398439</v>
      </c>
      <c r="G245" s="1">
        <v>-0.12032155018969809</v>
      </c>
    </row>
    <row r="246" spans="1:10" x14ac:dyDescent="0.25">
      <c r="A246" s="1">
        <v>28</v>
      </c>
      <c r="B246" t="s">
        <v>19</v>
      </c>
      <c r="C246" s="1">
        <f t="shared" ref="C246" si="520">2*C245-F245*(D245^2)-2*G245*C245</f>
        <v>3.4524433158600321E-4</v>
      </c>
      <c r="D246" s="1">
        <f t="shared" ref="D246" si="521">2*D245-2*F245*C245*D245+4*G245*D245</f>
        <v>-4.1607229991336148E-4</v>
      </c>
      <c r="E246" s="1">
        <f t="shared" ref="E246" si="522">4*E245+2*F245+2*G245</f>
        <v>2.0636613568522089E-3</v>
      </c>
      <c r="F246" s="1">
        <f t="shared" ref="F246" si="523">C245*(D245^2)-2*E245+5</f>
        <v>1.2035490877559951E-3</v>
      </c>
      <c r="G246" s="1">
        <f t="shared" ref="G246" si="524">C245^2-2*(D245^2)-2*E245+7</f>
        <v>-8.2029438129271881E-4</v>
      </c>
      <c r="J246" s="1">
        <f t="shared" ref="J246" si="525">0.5*(C246*C246+D246*D246+E246*E246+F246*F246+G246*G246)</f>
        <v>3.3362106408156258E-6</v>
      </c>
    </row>
    <row r="247" spans="1:10" x14ac:dyDescent="0.25">
      <c r="C247" s="5">
        <f t="shared" ref="C247" si="526">2-2*G245</f>
        <v>2.2406431003793963</v>
      </c>
      <c r="D247" s="6">
        <f t="shared" ref="D247" si="527">-2*F245*D245</f>
        <v>2.6091546777943244</v>
      </c>
      <c r="E247" s="6">
        <f>0</f>
        <v>0</v>
      </c>
      <c r="F247" s="6">
        <f t="shared" ref="F247" si="528">-(D245^2)</f>
        <v>-3.7351509860826244</v>
      </c>
      <c r="G247" s="7">
        <f t="shared" ref="G247" si="529">-2*C245</f>
        <v>2.2502032560336098</v>
      </c>
    </row>
    <row r="248" spans="1:10" x14ac:dyDescent="0.25">
      <c r="C248" s="8">
        <f t="shared" ref="C248" si="530">-2*F245*D245</f>
        <v>2.6091546777943244</v>
      </c>
      <c r="D248" s="1">
        <f t="shared" ref="D248" si="531">2-2*F245*C245+4*G245</f>
        <v>-2.1528547149674004E-4</v>
      </c>
      <c r="E248" s="1">
        <f>0</f>
        <v>0</v>
      </c>
      <c r="F248" s="1">
        <f t="shared" ref="F248" si="532">-2*C245*D245</f>
        <v>4.3488640338872724</v>
      </c>
      <c r="G248" s="9">
        <f t="shared" ref="G248" si="533">4*D245</f>
        <v>7.7306154850258846</v>
      </c>
    </row>
    <row r="249" spans="1:10" x14ac:dyDescent="0.25">
      <c r="B249" t="s">
        <v>20</v>
      </c>
      <c r="C249" s="8">
        <f>0</f>
        <v>0</v>
      </c>
      <c r="D249" s="1">
        <f>0</f>
        <v>0</v>
      </c>
      <c r="E249" s="1">
        <f>4</f>
        <v>4</v>
      </c>
      <c r="F249" s="1">
        <f>2</f>
        <v>2</v>
      </c>
      <c r="G249" s="9">
        <f>2</f>
        <v>2</v>
      </c>
    </row>
    <row r="250" spans="1:10" x14ac:dyDescent="0.25">
      <c r="C250" s="8">
        <f t="shared" ref="C250" si="534">(D245^2)</f>
        <v>3.7351509860826244</v>
      </c>
      <c r="D250" s="1">
        <f t="shared" ref="D250" si="535">2*C245*D245</f>
        <v>-4.3488640338872724</v>
      </c>
      <c r="E250" s="1">
        <f t="shared" ref="E250:E251" si="536">-2</f>
        <v>-2</v>
      </c>
      <c r="F250" s="1">
        <f>0</f>
        <v>0</v>
      </c>
      <c r="G250" s="9">
        <f>0</f>
        <v>0</v>
      </c>
    </row>
    <row r="251" spans="1:10" x14ac:dyDescent="0.25">
      <c r="C251" s="10">
        <f t="shared" ref="C251" si="537">2*C245</f>
        <v>-2.2502032560336098</v>
      </c>
      <c r="D251" s="11">
        <f t="shared" ref="D251" si="538">-4*D245</f>
        <v>-7.7306154850258846</v>
      </c>
      <c r="E251" s="11">
        <f t="shared" si="536"/>
        <v>-2</v>
      </c>
      <c r="F251" s="11">
        <f>0</f>
        <v>0</v>
      </c>
      <c r="G251" s="12">
        <f>0</f>
        <v>0</v>
      </c>
    </row>
    <row r="252" spans="1:10" x14ac:dyDescent="0.25">
      <c r="B252" t="s">
        <v>21</v>
      </c>
      <c r="C252" s="1" cm="1">
        <f t="array" ref="C252:G252">-MMULT(C246:G246,C247:G251)</f>
        <v>-6.0292389915152841E-3</v>
      </c>
      <c r="D252" s="1">
        <v>-2.0081945426021946E-3</v>
      </c>
      <c r="E252" s="1">
        <v>-7.4881360144822828E-3</v>
      </c>
      <c r="F252" s="1">
        <v>-1.0283411475515451E-3</v>
      </c>
      <c r="G252" s="1">
        <v>-1.6876976681658232E-3</v>
      </c>
    </row>
    <row r="253" spans="1:10" x14ac:dyDescent="0.25">
      <c r="B253" t="s">
        <v>13</v>
      </c>
      <c r="C253" s="1">
        <f t="shared" ref="C253" si="539">J246/SUMPRODUCT(_xlfn.ANCHORARRAY(C252),_xlfn.ANCHORARRAY(C252))</f>
        <v>3.324158636284056E-2</v>
      </c>
    </row>
    <row r="254" spans="1:10" x14ac:dyDescent="0.25">
      <c r="A254" s="1" t="s">
        <v>4</v>
      </c>
      <c r="B254" t="s">
        <v>18</v>
      </c>
      <c r="C254" s="1" cm="1">
        <f t="array" ref="C254:G254">C245:G245+C253*C252:G252</f>
        <v>-1.1253020494854435</v>
      </c>
      <c r="D254" s="1">
        <v>1.9325871156841499</v>
      </c>
      <c r="E254" s="1">
        <v>0.3979370802710322</v>
      </c>
      <c r="F254" s="1">
        <v>-0.67505279840505117</v>
      </c>
      <c r="G254" s="1">
        <v>-0.12037765193748878</v>
      </c>
    </row>
    <row r="255" spans="1:10" x14ac:dyDescent="0.25">
      <c r="A255" s="1">
        <v>29</v>
      </c>
      <c r="B255" t="s">
        <v>19</v>
      </c>
      <c r="C255" s="1">
        <f t="shared" ref="C255" si="540">2*C254-F254*(D254^2)-2*G254*C254</f>
        <v>-2.7659165142296382E-4</v>
      </c>
      <c r="D255" s="1">
        <f t="shared" ref="D255" si="541">2*D254-2*F254*C254*D254+4*G254*D254</f>
        <v>-1.5213381087845201E-3</v>
      </c>
      <c r="E255" s="1">
        <f t="shared" ref="E255" si="542">4*E254+2*F254+2*G254</f>
        <v>8.8742039904887715E-4</v>
      </c>
      <c r="F255" s="1">
        <f t="shared" ref="F255" si="543">C254*(D254^2)-2*E254+5</f>
        <v>1.2431372893395576E-3</v>
      </c>
      <c r="G255" s="1">
        <f t="shared" ref="G255" si="544">C254^2-2*(D254^2)-2*E254+7</f>
        <v>6.4462261731179638E-4</v>
      </c>
      <c r="J255" s="1">
        <f t="shared" ref="J255" si="545">0.5*(C255*C255+D255*D255+E255*E255+F255*F255+G255*G255)</f>
        <v>2.5697080932107123E-6</v>
      </c>
    </row>
    <row r="256" spans="1:10" x14ac:dyDescent="0.25">
      <c r="C256" s="5">
        <f t="shared" ref="C256" si="546">2-2*G254</f>
        <v>2.2407553038749777</v>
      </c>
      <c r="D256" s="6">
        <f t="shared" ref="D256" si="547">-2*F254*D254</f>
        <v>2.6091966812082634</v>
      </c>
      <c r="E256" s="6">
        <f>0</f>
        <v>0</v>
      </c>
      <c r="F256" s="6">
        <f t="shared" ref="F256" si="548">-(D254^2)</f>
        <v>-3.7348929597083815</v>
      </c>
      <c r="G256" s="7">
        <f t="shared" ref="G256" si="549">-2*C254</f>
        <v>2.2506040989708871</v>
      </c>
    </row>
    <row r="257" spans="1:10" x14ac:dyDescent="0.25">
      <c r="C257" s="8">
        <f t="shared" ref="C257" si="550">-2*F254*D254</f>
        <v>2.6091966812082634</v>
      </c>
      <c r="D257" s="1">
        <f t="shared" ref="D257" si="551">2-2*F254*C254+4*G254</f>
        <v>-7.8720286213118662E-4</v>
      </c>
      <c r="E257" s="1">
        <f>0</f>
        <v>0</v>
      </c>
      <c r="F257" s="1">
        <f t="shared" ref="F257" si="552">-2*C254*D254</f>
        <v>4.3494884841770718</v>
      </c>
      <c r="G257" s="9">
        <f t="shared" ref="G257" si="553">4*D254</f>
        <v>7.7303484627365995</v>
      </c>
    </row>
    <row r="258" spans="1:10" x14ac:dyDescent="0.25">
      <c r="B258" t="s">
        <v>20</v>
      </c>
      <c r="C258" s="8">
        <f>0</f>
        <v>0</v>
      </c>
      <c r="D258" s="1">
        <f>0</f>
        <v>0</v>
      </c>
      <c r="E258" s="1">
        <f>4</f>
        <v>4</v>
      </c>
      <c r="F258" s="1">
        <f>2</f>
        <v>2</v>
      </c>
      <c r="G258" s="9">
        <f>2</f>
        <v>2</v>
      </c>
    </row>
    <row r="259" spans="1:10" x14ac:dyDescent="0.25">
      <c r="C259" s="8">
        <f t="shared" ref="C259" si="554">(D254^2)</f>
        <v>3.7348929597083815</v>
      </c>
      <c r="D259" s="1">
        <f t="shared" ref="D259" si="555">2*C254*D254</f>
        <v>-4.3494884841770718</v>
      </c>
      <c r="E259" s="1">
        <f t="shared" ref="E259:E260" si="556">-2</f>
        <v>-2</v>
      </c>
      <c r="F259" s="1">
        <f>0</f>
        <v>0</v>
      </c>
      <c r="G259" s="9">
        <f>0</f>
        <v>0</v>
      </c>
    </row>
    <row r="260" spans="1:10" x14ac:dyDescent="0.25">
      <c r="C260" s="10">
        <f t="shared" ref="C260" si="557">2*C254</f>
        <v>-2.2506040989708871</v>
      </c>
      <c r="D260" s="11">
        <f t="shared" ref="D260" si="558">-4*D254</f>
        <v>-7.7303484627365995</v>
      </c>
      <c r="E260" s="11">
        <f t="shared" si="556"/>
        <v>-2</v>
      </c>
      <c r="F260" s="11">
        <f>0</f>
        <v>0</v>
      </c>
      <c r="G260" s="12">
        <f>0</f>
        <v>0</v>
      </c>
    </row>
    <row r="261" spans="1:10" x14ac:dyDescent="0.25">
      <c r="B261" t="s">
        <v>21</v>
      </c>
      <c r="C261" s="1" cm="1">
        <f t="array" ref="C261:G261">-MMULT(C255:G255,C256:G260)</f>
        <v>1.3970501492757675E-3</v>
      </c>
      <c r="D261" s="1">
        <v>1.1110653200244201E-2</v>
      </c>
      <c r="E261" s="1">
        <v>2.2583821710719931E-4</v>
      </c>
      <c r="F261" s="1">
        <v>3.8091615749864995E-3</v>
      </c>
      <c r="G261" s="1">
        <v>1.0608131216880916E-2</v>
      </c>
    </row>
    <row r="262" spans="1:10" x14ac:dyDescent="0.25">
      <c r="B262" t="s">
        <v>13</v>
      </c>
      <c r="C262" s="1">
        <f t="shared" ref="C262" si="559">J255/SUMPRODUCT(_xlfn.ANCHORARRAY(C261),_xlfn.ANCHORARRAY(C261))</f>
        <v>1.0177403297863898E-2</v>
      </c>
    </row>
    <row r="263" spans="1:10" x14ac:dyDescent="0.25">
      <c r="A263" s="1" t="s">
        <v>4</v>
      </c>
      <c r="B263" t="s">
        <v>18</v>
      </c>
      <c r="C263" s="1" cm="1">
        <f t="array" ref="C263:G263">C254:G254+C262*C261:G261</f>
        <v>-1.1252878311426471</v>
      </c>
      <c r="D263" s="1">
        <v>1.9327001932826715</v>
      </c>
      <c r="E263" s="1">
        <v>0.39793937871764778</v>
      </c>
      <c r="F263" s="1">
        <v>-0.67501403103147584</v>
      </c>
      <c r="G263" s="1">
        <v>-0.12026968870785792</v>
      </c>
    </row>
    <row r="264" spans="1:10" x14ac:dyDescent="0.25">
      <c r="A264" s="1">
        <v>30</v>
      </c>
      <c r="B264" t="s">
        <v>19</v>
      </c>
      <c r="C264" s="1">
        <f t="shared" ref="C264" si="560">2*C263-F263*(D263^2)-2*G263*C263</f>
        <v>1.4848898403707622E-4</v>
      </c>
      <c r="D264" s="1">
        <f t="shared" ref="D264" si="561">2*D263-2*F263*C263*D263+4*G263*D263</f>
        <v>-4.8105830087907808E-4</v>
      </c>
      <c r="E264" s="1">
        <f t="shared" ref="E264" si="562">4*E263+2*F263+2*G263</f>
        <v>1.1900753919236173E-3</v>
      </c>
      <c r="F264" s="1">
        <f t="shared" ref="F264" si="563">C263*(D263^2)-2*E263+5</f>
        <v>7.998064977217112E-4</v>
      </c>
      <c r="G264" s="1">
        <f t="shared" ref="G264" si="564">C263^2-2*(D263^2)-2*E263+7</f>
        <v>-2.6612874732467873E-4</v>
      </c>
      <c r="J264" s="1">
        <f t="shared" ref="J264" si="565">0.5*(C264*C264+D264*D264+E264*E264+F264*F264+G264*G264)</f>
        <v>1.1901302248188261E-6</v>
      </c>
    </row>
    <row r="265" spans="1:10" x14ac:dyDescent="0.25">
      <c r="C265" s="5">
        <f t="shared" ref="C265" si="566">2-2*G263</f>
        <v>2.2405393774157156</v>
      </c>
      <c r="D265" s="6">
        <f t="shared" ref="D265" si="567">-2*F263*D263</f>
        <v>2.6091994964860969</v>
      </c>
      <c r="E265" s="6">
        <f>0</f>
        <v>0</v>
      </c>
      <c r="F265" s="6">
        <f t="shared" ref="F265" si="568">-(D263^2)</f>
        <v>-3.7353300371148759</v>
      </c>
      <c r="G265" s="7">
        <f t="shared" ref="G265" si="569">-2*C263</f>
        <v>2.2505756622852942</v>
      </c>
    </row>
    <row r="266" spans="1:10" x14ac:dyDescent="0.25">
      <c r="C266" s="8">
        <f t="shared" ref="C266" si="570">-2*F263*D263</f>
        <v>2.6091994964860969</v>
      </c>
      <c r="D266" s="1">
        <f t="shared" ref="D266" si="571">2-2*F263*C263+4*G263</f>
        <v>-2.4890477196159999E-4</v>
      </c>
      <c r="E266" s="1">
        <f>0</f>
        <v>0</v>
      </c>
      <c r="F266" s="1">
        <f t="shared" ref="F266" si="572">-2*C263*D263</f>
        <v>4.3496880174960646</v>
      </c>
      <c r="G266" s="9">
        <f t="shared" ref="G266" si="573">4*D263</f>
        <v>7.730800773130686</v>
      </c>
    </row>
    <row r="267" spans="1:10" x14ac:dyDescent="0.25">
      <c r="B267" t="s">
        <v>20</v>
      </c>
      <c r="C267" s="8">
        <f>0</f>
        <v>0</v>
      </c>
      <c r="D267" s="1">
        <f>0</f>
        <v>0</v>
      </c>
      <c r="E267" s="1">
        <f>4</f>
        <v>4</v>
      </c>
      <c r="F267" s="1">
        <f>2</f>
        <v>2</v>
      </c>
      <c r="G267" s="9">
        <f>2</f>
        <v>2</v>
      </c>
    </row>
    <row r="268" spans="1:10" x14ac:dyDescent="0.25">
      <c r="C268" s="8">
        <f t="shared" ref="C268" si="574">(D263^2)</f>
        <v>3.7353300371148759</v>
      </c>
      <c r="D268" s="1">
        <f t="shared" ref="D268" si="575">2*C263*D263</f>
        <v>-4.3496880174960646</v>
      </c>
      <c r="E268" s="1">
        <f t="shared" ref="E268:E269" si="576">-2</f>
        <v>-2</v>
      </c>
      <c r="F268" s="1">
        <f>0</f>
        <v>0</v>
      </c>
      <c r="G268" s="9">
        <f>0</f>
        <v>0</v>
      </c>
    </row>
    <row r="269" spans="1:10" x14ac:dyDescent="0.25">
      <c r="C269" s="10">
        <f t="shared" ref="C269" si="577">2*C263</f>
        <v>-2.2505756622852942</v>
      </c>
      <c r="D269" s="11">
        <f t="shared" ref="D269" si="578">-4*D263</f>
        <v>-7.730800773130686</v>
      </c>
      <c r="E269" s="11">
        <f t="shared" si="576"/>
        <v>-2</v>
      </c>
      <c r="F269" s="11">
        <f>0</f>
        <v>0</v>
      </c>
      <c r="G269" s="12">
        <f>0</f>
        <v>0</v>
      </c>
    </row>
    <row r="270" spans="1:10" x14ac:dyDescent="0.25">
      <c r="B270" t="s">
        <v>21</v>
      </c>
      <c r="C270" s="1" cm="1">
        <f t="array" ref="C270:G270">-MMULT(C264:G264,C265:G269)</f>
        <v>-2.6640024559963283E-3</v>
      </c>
      <c r="D270" s="1">
        <v>1.0339632937957414E-3</v>
      </c>
      <c r="E270" s="1">
        <v>-3.6929460669004044E-3</v>
      </c>
      <c r="F270" s="1">
        <v>2.6695810545787017E-4</v>
      </c>
      <c r="G270" s="1">
        <v>1.0046294069183631E-3</v>
      </c>
    </row>
    <row r="271" spans="1:10" x14ac:dyDescent="0.25">
      <c r="B271" t="s">
        <v>13</v>
      </c>
      <c r="C271" s="1">
        <f t="shared" ref="C271" si="579">J264/SUMPRODUCT(_xlfn.ANCHORARRAY(C270),_xlfn.ANCHORARRAY(C270))</f>
        <v>5.2006210175782101E-2</v>
      </c>
    </row>
    <row r="272" spans="1:10" x14ac:dyDescent="0.25">
      <c r="A272" s="1" t="s">
        <v>4</v>
      </c>
      <c r="B272" t="s">
        <v>18</v>
      </c>
      <c r="C272" s="1" cm="1">
        <f t="array" ref="C272:G272">C263:G263+C271*C270:G270</f>
        <v>-1.1254263758142824</v>
      </c>
      <c r="D272" s="1">
        <v>1.9327539657950428</v>
      </c>
      <c r="E272" s="1">
        <v>0.39774732258832474</v>
      </c>
      <c r="F272" s="1">
        <v>-0.67500014755213522</v>
      </c>
      <c r="G272" s="1">
        <v>-0.12021744173977296</v>
      </c>
    </row>
    <row r="273" spans="1:10" x14ac:dyDescent="0.25">
      <c r="A273" s="1">
        <v>31</v>
      </c>
      <c r="B273" t="s">
        <v>19</v>
      </c>
      <c r="C273" s="1">
        <f t="shared" ref="C273" si="580">2*C272-F272*(D272^2)-2*G272*C272</f>
        <v>4.4117324426939941E-5</v>
      </c>
      <c r="D273" s="1">
        <f t="shared" ref="D273" si="581">2*D272-2*F272*C272*D272+4*G272*D272</f>
        <v>-3.7825237195454608E-4</v>
      </c>
      <c r="E273" s="1">
        <f t="shared" ref="E273" si="582">4*E272+2*F272+2*G272</f>
        <v>5.5411176948258478E-4</v>
      </c>
      <c r="F273" s="1">
        <f t="shared" ref="F273" si="583">C272*(D272^2)-2*E272+5</f>
        <v>4.3248297921572032E-4</v>
      </c>
      <c r="G273" s="1">
        <f t="shared" ref="G273" si="584">C272^2-2*(D272^2)-2*E272+7</f>
        <v>1.4097608890040192E-5</v>
      </c>
      <c r="J273" s="1">
        <f t="shared" ref="J273" si="585">0.5*(C273*C273+D273*D273+E273*E273+F273*F273+G273*G273)</f>
        <v>3.196506590853375E-7</v>
      </c>
    </row>
    <row r="274" spans="1:10" x14ac:dyDescent="0.25">
      <c r="C274" s="5">
        <f t="shared" ref="C274" si="586">2-2*G272</f>
        <v>2.240434883479546</v>
      </c>
      <c r="D274" s="6">
        <f t="shared" ref="D274" si="587">-2*F272*D272</f>
        <v>2.6092184241872567</v>
      </c>
      <c r="E274" s="6">
        <f>0</f>
        <v>0</v>
      </c>
      <c r="F274" s="6">
        <f t="shared" ref="F274" si="588">-(D272^2)</f>
        <v>-3.7355378922964655</v>
      </c>
      <c r="G274" s="7">
        <f t="shared" ref="G274" si="589">-2*C272</f>
        <v>2.2508527516285648</v>
      </c>
    </row>
    <row r="275" spans="1:10" x14ac:dyDescent="0.25">
      <c r="C275" s="8">
        <f t="shared" ref="C275" si="590">-2*F272*D272</f>
        <v>2.6092184241872567</v>
      </c>
      <c r="D275" s="1">
        <f t="shared" ref="D275" si="591">2-2*F272*C272+4*G272</f>
        <v>-1.9570642650262871E-4</v>
      </c>
      <c r="E275" s="1">
        <f>0</f>
        <v>0</v>
      </c>
      <c r="F275" s="1">
        <f t="shared" ref="F275" si="592">-2*C272*D272</f>
        <v>4.3503445821307931</v>
      </c>
      <c r="G275" s="9">
        <f t="shared" ref="G275" si="593">4*D272</f>
        <v>7.7310158631801711</v>
      </c>
    </row>
    <row r="276" spans="1:10" x14ac:dyDescent="0.25">
      <c r="B276" t="s">
        <v>20</v>
      </c>
      <c r="C276" s="8">
        <f>0</f>
        <v>0</v>
      </c>
      <c r="D276" s="1">
        <f>0</f>
        <v>0</v>
      </c>
      <c r="E276" s="1">
        <f>4</f>
        <v>4</v>
      </c>
      <c r="F276" s="1">
        <f>2</f>
        <v>2</v>
      </c>
      <c r="G276" s="9">
        <f>2</f>
        <v>2</v>
      </c>
    </row>
    <row r="277" spans="1:10" x14ac:dyDescent="0.25">
      <c r="C277" s="8">
        <f t="shared" ref="C277" si="594">(D272^2)</f>
        <v>3.7355378922964655</v>
      </c>
      <c r="D277" s="1">
        <f t="shared" ref="D277" si="595">2*C272*D272</f>
        <v>-4.3503445821307931</v>
      </c>
      <c r="E277" s="1">
        <f t="shared" ref="E277:E278" si="596">-2</f>
        <v>-2</v>
      </c>
      <c r="F277" s="1">
        <f>0</f>
        <v>0</v>
      </c>
      <c r="G277" s="9">
        <f>0</f>
        <v>0</v>
      </c>
    </row>
    <row r="278" spans="1:10" x14ac:dyDescent="0.25">
      <c r="C278" s="10">
        <f t="shared" ref="C278" si="597">2*C272</f>
        <v>-2.2508527516285648</v>
      </c>
      <c r="D278" s="11">
        <f t="shared" ref="D278" si="598">-4*D272</f>
        <v>-7.7310158631801711</v>
      </c>
      <c r="E278" s="11">
        <f t="shared" si="596"/>
        <v>-2</v>
      </c>
      <c r="F278" s="11">
        <f>0</f>
        <v>0</v>
      </c>
      <c r="G278" s="12">
        <f>0</f>
        <v>0</v>
      </c>
    </row>
    <row r="279" spans="1:10" x14ac:dyDescent="0.25">
      <c r="B279" t="s">
        <v>21</v>
      </c>
      <c r="C279" s="1" cm="1">
        <f t="array" ref="C279:G279">-MMULT(C273:G273,C274:G278)</f>
        <v>-6.9572384958762538E-4</v>
      </c>
      <c r="D279" s="1">
        <v>1.8752530613160543E-3</v>
      </c>
      <c r="E279" s="1">
        <v>-1.3232859017188181E-3</v>
      </c>
      <c r="F279" s="1">
        <v>7.0210655514898199E-4</v>
      </c>
      <c r="G279" s="1">
        <v>1.7167499478200851E-3</v>
      </c>
    </row>
    <row r="280" spans="1:10" x14ac:dyDescent="0.25">
      <c r="B280" t="s">
        <v>13</v>
      </c>
      <c r="C280" s="1">
        <f t="shared" ref="C280" si="599">J273/SUMPRODUCT(_xlfn.ANCHORARRAY(C279),_xlfn.ANCHORARRAY(C279))</f>
        <v>3.4775347667155433E-2</v>
      </c>
    </row>
    <row r="281" spans="1:10" x14ac:dyDescent="0.25">
      <c r="A281" s="1" t="s">
        <v>4</v>
      </c>
      <c r="B281" t="s">
        <v>18</v>
      </c>
      <c r="C281" s="1" cm="1">
        <f t="array" ref="C281:G281">C272:G272+C280*C279:G279</f>
        <v>-1.1254505698530322</v>
      </c>
      <c r="D281" s="1">
        <v>1.932819178372214</v>
      </c>
      <c r="E281" s="1">
        <v>0.39770130486102939</v>
      </c>
      <c r="F281" s="1">
        <v>-0.6749757315525805</v>
      </c>
      <c r="G281" s="1">
        <v>-0.12015774116347995</v>
      </c>
    </row>
    <row r="282" spans="1:10" x14ac:dyDescent="0.25">
      <c r="A282" s="1">
        <v>32</v>
      </c>
      <c r="B282" t="s">
        <v>19</v>
      </c>
      <c r="C282" s="1">
        <f t="shared" ref="C282" si="600">2*C281-F281*(D281^2)-2*G281*C281</f>
        <v>2.0323593326493361E-4</v>
      </c>
      <c r="D282" s="1">
        <f t="shared" ref="D282" si="601">2*D281-2*F281*C281*D281+4*G281*D281</f>
        <v>1.2639075794129706E-4</v>
      </c>
      <c r="E282" s="1">
        <f t="shared" ref="E282" si="602">4*E281+2*F281+2*G281</f>
        <v>5.3827401199665892E-4</v>
      </c>
      <c r="F282" s="1">
        <f t="shared" ref="F282" si="603">C281*(D281^2)-2*E281+5</f>
        <v>1.5043261849800871E-4</v>
      </c>
      <c r="G282" s="1">
        <f t="shared" ref="G282" si="604">C281^2-2*(D281^2)-2*E281+7</f>
        <v>-3.4357710642485273E-4</v>
      </c>
      <c r="J282" s="1">
        <f t="shared" ref="J282" si="605">0.5*(C282*C282+D282*D282+E282*E282+F282*F282+G282*G282)</f>
        <v>2.4384679051073271E-7</v>
      </c>
    </row>
    <row r="283" spans="1:10" x14ac:dyDescent="0.25">
      <c r="C283" s="5">
        <f t="shared" ref="C283" si="606">2-2*G281</f>
        <v>2.24031548232696</v>
      </c>
      <c r="D283" s="6">
        <f t="shared" ref="D283" si="607">-2*F281*D281</f>
        <v>2.6092120777612853</v>
      </c>
      <c r="E283" s="6">
        <f>0</f>
        <v>0</v>
      </c>
      <c r="F283" s="6">
        <f t="shared" ref="F283" si="608">-(D281^2)</f>
        <v>-3.7357899762834403</v>
      </c>
      <c r="G283" s="7">
        <f t="shared" ref="G283" si="609">-2*C281</f>
        <v>2.2509011397060643</v>
      </c>
    </row>
    <row r="284" spans="1:10" x14ac:dyDescent="0.25">
      <c r="C284" s="8">
        <f t="shared" ref="C284" si="610">-2*F281*D281</f>
        <v>2.6092120777612853</v>
      </c>
      <c r="D284" s="1">
        <f t="shared" ref="D284" si="611">2-2*F281*C281+4*G281</f>
        <v>6.5391920442248175E-5</v>
      </c>
      <c r="E284" s="1">
        <f>0</f>
        <v>0</v>
      </c>
      <c r="F284" s="1">
        <f t="shared" ref="F284" si="612">-2*C281*D281</f>
        <v>4.3505848914437548</v>
      </c>
      <c r="G284" s="9">
        <f t="shared" ref="G284" si="613">4*D281</f>
        <v>7.7312767134888558</v>
      </c>
    </row>
    <row r="285" spans="1:10" x14ac:dyDescent="0.25">
      <c r="B285" t="s">
        <v>20</v>
      </c>
      <c r="C285" s="8">
        <f>0</f>
        <v>0</v>
      </c>
      <c r="D285" s="1">
        <f>0</f>
        <v>0</v>
      </c>
      <c r="E285" s="1">
        <f>4</f>
        <v>4</v>
      </c>
      <c r="F285" s="1">
        <f>2</f>
        <v>2</v>
      </c>
      <c r="G285" s="9">
        <f>2</f>
        <v>2</v>
      </c>
    </row>
    <row r="286" spans="1:10" x14ac:dyDescent="0.25">
      <c r="C286" s="8">
        <f t="shared" ref="C286" si="614">(D281^2)</f>
        <v>3.7357899762834403</v>
      </c>
      <c r="D286" s="1">
        <f t="shared" ref="D286" si="615">2*C281*D281</f>
        <v>-4.3505848914437548</v>
      </c>
      <c r="E286" s="1">
        <f t="shared" ref="E286:E287" si="616">-2</f>
        <v>-2</v>
      </c>
      <c r="F286" s="1">
        <f>0</f>
        <v>0</v>
      </c>
      <c r="G286" s="9">
        <f>0</f>
        <v>0</v>
      </c>
    </row>
    <row r="287" spans="1:10" x14ac:dyDescent="0.25">
      <c r="C287" s="10">
        <f t="shared" ref="C287" si="617">2*C281</f>
        <v>-2.2509011397060643</v>
      </c>
      <c r="D287" s="11">
        <f t="shared" ref="D287" si="618">-4*D281</f>
        <v>-7.7312767134888558</v>
      </c>
      <c r="E287" s="11">
        <f t="shared" si="616"/>
        <v>-2</v>
      </c>
      <c r="F287" s="11">
        <f>0</f>
        <v>0</v>
      </c>
      <c r="G287" s="12">
        <f>0</f>
        <v>0</v>
      </c>
    </row>
    <row r="288" spans="1:10" x14ac:dyDescent="0.25">
      <c r="B288" t="s">
        <v>21</v>
      </c>
      <c r="C288" s="1" cm="1">
        <f t="array" ref="C288:G288">-MMULT(C282:G282,C283:G287)</f>
        <v>-2.1204356687159797E-3</v>
      </c>
      <c r="D288" s="1">
        <v>-2.5321137216169267E-3</v>
      </c>
      <c r="E288" s="1">
        <v>-2.5393850238403237E-3</v>
      </c>
      <c r="F288" s="1">
        <v>-8.6717498359910046E-4</v>
      </c>
      <c r="G288" s="1">
        <v>-2.5111739414803392E-3</v>
      </c>
    </row>
    <row r="289" spans="1:10" x14ac:dyDescent="0.25">
      <c r="B289" t="s">
        <v>13</v>
      </c>
      <c r="C289" s="1">
        <f t="shared" ref="C289" si="619">J282/SUMPRODUCT(_xlfn.ANCHORARRAY(C288),_xlfn.ANCHORARRAY(C288))</f>
        <v>9.9878630244443004E-3</v>
      </c>
    </row>
    <row r="290" spans="1:10" x14ac:dyDescent="0.25">
      <c r="A290" s="1" t="s">
        <v>4</v>
      </c>
      <c r="B290" t="s">
        <v>18</v>
      </c>
      <c r="C290" s="1" cm="1">
        <f t="array" ref="C290:G290">C281:G281+C289*C288:G288</f>
        <v>-1.1254717484740435</v>
      </c>
      <c r="D290" s="1">
        <v>1.9327938879672002</v>
      </c>
      <c r="E290" s="1">
        <v>0.39767594183124494</v>
      </c>
      <c r="F290" s="1">
        <v>-0.67498439277753497</v>
      </c>
      <c r="G290" s="1">
        <v>-0.12018282242483801</v>
      </c>
    </row>
    <row r="291" spans="1:10" x14ac:dyDescent="0.25">
      <c r="A291" s="1">
        <v>33</v>
      </c>
      <c r="B291" t="s">
        <v>19</v>
      </c>
      <c r="C291" s="1">
        <f t="shared" ref="C291" si="620">2*C290-F290*(D290^2)-2*G290*C290</f>
        <v>6.5700710694116538E-5</v>
      </c>
      <c r="D291" s="1">
        <f t="shared" ref="D291" si="621">2*D290-2*F290*C290*D290+4*G290*D290</f>
        <v>-1.6045893159921665E-4</v>
      </c>
      <c r="E291" s="1">
        <f t="shared" ref="E291" si="622">4*E290+2*F290+2*G290</f>
        <v>3.6933692023380371E-4</v>
      </c>
      <c r="F291" s="1">
        <f t="shared" ref="F291" si="623">C290*(D290^2)-2*E290+5</f>
        <v>2.3206920257301533E-4</v>
      </c>
      <c r="G291" s="1">
        <f t="shared" ref="G291" si="624">C290^2-2*(D290^2)-2*E290+7</f>
        <v>-4.9653776001079564E-5</v>
      </c>
      <c r="J291" s="1">
        <f t="shared" ref="J291" si="625">0.5*(C291*C291+D291*D291+E291*E291+F291*F291+G291*G291)</f>
        <v>1.1139751250875289E-7</v>
      </c>
    </row>
    <row r="292" spans="1:10" x14ac:dyDescent="0.25">
      <c r="C292" s="5">
        <f t="shared" ref="C292" si="626">2-2*G290</f>
        <v>2.240365644849676</v>
      </c>
      <c r="D292" s="6">
        <f t="shared" ref="D292" si="627">-2*F290*D290</f>
        <v>2.6092114176673431</v>
      </c>
      <c r="E292" s="6">
        <f>0</f>
        <v>0</v>
      </c>
      <c r="F292" s="6">
        <f t="shared" ref="F292" si="628">-(D290^2)</f>
        <v>-3.7356922133633659</v>
      </c>
      <c r="G292" s="7">
        <f t="shared" ref="G292" si="629">-2*C290</f>
        <v>2.250943496948087</v>
      </c>
    </row>
    <row r="293" spans="1:10" x14ac:dyDescent="0.25">
      <c r="C293" s="8">
        <f t="shared" ref="C293" si="630">-2*F290*D290</f>
        <v>2.6092114176673431</v>
      </c>
      <c r="D293" s="1">
        <f t="shared" ref="D293" si="631">2-2*F290*C290+4*G290</f>
        <v>-8.3019163397757278E-5</v>
      </c>
      <c r="E293" s="1">
        <f>0</f>
        <v>0</v>
      </c>
      <c r="F293" s="1">
        <f t="shared" ref="F293" si="632">-2*C290*D290</f>
        <v>4.350609833060779</v>
      </c>
      <c r="G293" s="9">
        <f t="shared" ref="G293" si="633">4*D290</f>
        <v>7.7311755518688008</v>
      </c>
    </row>
    <row r="294" spans="1:10" x14ac:dyDescent="0.25">
      <c r="B294" t="s">
        <v>20</v>
      </c>
      <c r="C294" s="8">
        <f>0</f>
        <v>0</v>
      </c>
      <c r="D294" s="1">
        <f>0</f>
        <v>0</v>
      </c>
      <c r="E294" s="1">
        <f>4</f>
        <v>4</v>
      </c>
      <c r="F294" s="1">
        <f>2</f>
        <v>2</v>
      </c>
      <c r="G294" s="9">
        <f>2</f>
        <v>2</v>
      </c>
    </row>
    <row r="295" spans="1:10" x14ac:dyDescent="0.25">
      <c r="C295" s="8">
        <f t="shared" ref="C295" si="634">(D290^2)</f>
        <v>3.7356922133633659</v>
      </c>
      <c r="D295" s="1">
        <f t="shared" ref="D295" si="635">2*C290*D290</f>
        <v>-4.350609833060779</v>
      </c>
      <c r="E295" s="1">
        <f t="shared" ref="E295:E296" si="636">-2</f>
        <v>-2</v>
      </c>
      <c r="F295" s="1">
        <f>0</f>
        <v>0</v>
      </c>
      <c r="G295" s="9">
        <f>0</f>
        <v>0</v>
      </c>
    </row>
    <row r="296" spans="1:10" x14ac:dyDescent="0.25">
      <c r="C296" s="10">
        <f t="shared" ref="C296" si="637">2*C290</f>
        <v>-2.250943496948087</v>
      </c>
      <c r="D296" s="11">
        <f t="shared" ref="D296" si="638">-4*D290</f>
        <v>-7.7311755518688008</v>
      </c>
      <c r="E296" s="11">
        <f t="shared" si="636"/>
        <v>-2</v>
      </c>
      <c r="F296" s="11">
        <f>0</f>
        <v>0</v>
      </c>
      <c r="G296" s="12">
        <f>0</f>
        <v>0</v>
      </c>
    </row>
    <row r="297" spans="1:10" x14ac:dyDescent="0.25">
      <c r="B297" t="s">
        <v>21</v>
      </c>
      <c r="C297" s="1" cm="1">
        <f t="array" ref="C297:G297">-MMULT(C291:G291,C292:G296)</f>
        <v>-7.0722929588793305E-4</v>
      </c>
      <c r="D297" s="1">
        <v>4.5432012992900942E-4</v>
      </c>
      <c r="E297" s="1">
        <v>-1.1125168277913433E-3</v>
      </c>
      <c r="F297" s="1">
        <v>2.048579985028219E-4</v>
      </c>
      <c r="G297" s="1">
        <v>3.5397374110945532E-4</v>
      </c>
    </row>
    <row r="298" spans="1:10" x14ac:dyDescent="0.25">
      <c r="B298" t="s">
        <v>13</v>
      </c>
      <c r="C298" s="1">
        <f t="shared" ref="C298" si="639">J291/SUMPRODUCT(_xlfn.ANCHORARRAY(C297),_xlfn.ANCHORARRAY(C297))</f>
        <v>5.2756575869779498E-2</v>
      </c>
    </row>
    <row r="299" spans="1:10" x14ac:dyDescent="0.25">
      <c r="A299" s="1" t="s">
        <v>4</v>
      </c>
      <c r="B299" t="s">
        <v>18</v>
      </c>
      <c r="C299" s="1" cm="1">
        <f t="array" ref="C299:G299">C290:G290+C298*C297:G297</f>
        <v>-1.1255090594700494</v>
      </c>
      <c r="D299" s="1">
        <v>1.9328178563416039</v>
      </c>
      <c r="E299" s="1">
        <v>0.39761724925281317</v>
      </c>
      <c r="F299" s="1">
        <v>-0.67497358517099437</v>
      </c>
      <c r="G299" s="1">
        <v>-0.12016414798230926</v>
      </c>
    </row>
    <row r="300" spans="1:10" x14ac:dyDescent="0.25">
      <c r="A300" s="1">
        <v>34</v>
      </c>
      <c r="B300" t="s">
        <v>19</v>
      </c>
      <c r="C300" s="1">
        <f t="shared" ref="C300" si="640">2*C299-F299*(D299^2)-2*G299*C299</f>
        <v>4.6310996534792981E-5</v>
      </c>
      <c r="D300" s="1">
        <f t="shared" ref="D300" si="641">2*D299-2*F299*C299*D299+4*G299*D299</f>
        <v>-6.6415400402641822E-5</v>
      </c>
      <c r="E300" s="1">
        <f t="shared" ref="E300" si="642">4*E299+2*F299+2*G299</f>
        <v>1.935307046453949E-4</v>
      </c>
      <c r="F300" s="1">
        <f t="shared" ref="F300" si="643">C299*(D299^2)-2*E299+5</f>
        <v>1.0579081330241991E-4</v>
      </c>
      <c r="G300" s="1">
        <f t="shared" ref="G300" si="644">C299^2-2*(D299^2)-2*E299+7</f>
        <v>-3.3587142375779422E-5</v>
      </c>
      <c r="J300" s="1">
        <f t="shared" ref="J300" si="645">0.5*(C300*C300+D300*D300+E300*E300+F300*F300+G300*G300)</f>
        <v>2.816481988169513E-8</v>
      </c>
    </row>
    <row r="301" spans="1:10" x14ac:dyDescent="0.25">
      <c r="C301" s="5">
        <f t="shared" ref="C301" si="646">2-2*G299</f>
        <v>2.2403282959646185</v>
      </c>
      <c r="D301" s="6">
        <f t="shared" ref="D301" si="647">-2*F299*D299</f>
        <v>2.6092019959548165</v>
      </c>
      <c r="E301" s="6">
        <f>0</f>
        <v>0</v>
      </c>
      <c r="F301" s="6">
        <f t="shared" ref="F301" si="648">-(D299^2)</f>
        <v>-3.7357848657929527</v>
      </c>
      <c r="G301" s="7">
        <f t="shared" ref="G301" si="649">-2*C299</f>
        <v>2.2510181189400988</v>
      </c>
    </row>
    <row r="302" spans="1:10" x14ac:dyDescent="0.25">
      <c r="C302" s="8">
        <f t="shared" ref="C302" si="650">-2*F299*D299</f>
        <v>2.6092019959548165</v>
      </c>
      <c r="D302" s="1">
        <f t="shared" ref="D302" si="651">2-2*F299*C299+4*G299</f>
        <v>-3.4361955103423547E-5</v>
      </c>
      <c r="E302" s="1">
        <f>0</f>
        <v>0</v>
      </c>
      <c r="F302" s="1">
        <f t="shared" ref="F302" si="652">-2*C299*D299</f>
        <v>4.350808015235911</v>
      </c>
      <c r="G302" s="9">
        <f t="shared" ref="G302" si="653">4*D299</f>
        <v>7.7312714253664154</v>
      </c>
    </row>
    <row r="303" spans="1:10" x14ac:dyDescent="0.25">
      <c r="B303" t="s">
        <v>20</v>
      </c>
      <c r="C303" s="8">
        <f>0</f>
        <v>0</v>
      </c>
      <c r="D303" s="1">
        <f>0</f>
        <v>0</v>
      </c>
      <c r="E303" s="1">
        <f>4</f>
        <v>4</v>
      </c>
      <c r="F303" s="1">
        <f>2</f>
        <v>2</v>
      </c>
      <c r="G303" s="9">
        <f>2</f>
        <v>2</v>
      </c>
    </row>
    <row r="304" spans="1:10" x14ac:dyDescent="0.25">
      <c r="C304" s="8">
        <f t="shared" ref="C304" si="654">(D299^2)</f>
        <v>3.7357848657929527</v>
      </c>
      <c r="D304" s="1">
        <f t="shared" ref="D304" si="655">2*C299*D299</f>
        <v>-4.350808015235911</v>
      </c>
      <c r="E304" s="1">
        <f t="shared" ref="E304:E305" si="656">-2</f>
        <v>-2</v>
      </c>
      <c r="F304" s="1">
        <f>0</f>
        <v>0</v>
      </c>
      <c r="G304" s="9">
        <f>0</f>
        <v>0</v>
      </c>
    </row>
    <row r="305" spans="1:10" x14ac:dyDescent="0.25">
      <c r="C305" s="10">
        <f t="shared" ref="C305" si="657">2*C299</f>
        <v>-2.2510181189400988</v>
      </c>
      <c r="D305" s="11">
        <f t="shared" ref="D305" si="658">-4*D299</f>
        <v>-7.7312714253664154</v>
      </c>
      <c r="E305" s="11">
        <f t="shared" si="656"/>
        <v>-2</v>
      </c>
      <c r="F305" s="11">
        <f>0</f>
        <v>0</v>
      </c>
      <c r="G305" s="12">
        <f>0</f>
        <v>0</v>
      </c>
    </row>
    <row r="306" spans="1:10" x14ac:dyDescent="0.25">
      <c r="B306" t="s">
        <v>21</v>
      </c>
      <c r="C306" s="1" cm="1">
        <f t="array" ref="C306:G306">-MMULT(C300:G300,C301:G305)</f>
        <v>-4.0127762598491306E-4</v>
      </c>
      <c r="D306" s="1">
        <v>7.9767177588672186E-5</v>
      </c>
      <c r="E306" s="1">
        <v>-6.2971547672829864E-4</v>
      </c>
      <c r="F306" s="1">
        <v>7.4907167090596059E-5</v>
      </c>
      <c r="G306" s="1">
        <v>2.2167185740432928E-5</v>
      </c>
    </row>
    <row r="307" spans="1:10" x14ac:dyDescent="0.25">
      <c r="B307" t="s">
        <v>13</v>
      </c>
      <c r="C307" s="1">
        <f t="shared" ref="C307" si="659">J300/SUMPRODUCT(_xlfn.ANCHORARRAY(C306),_xlfn.ANCHORARRAY(C306))</f>
        <v>4.9409313489999558E-2</v>
      </c>
    </row>
    <row r="308" spans="1:10" x14ac:dyDescent="0.25">
      <c r="A308" s="1" t="s">
        <v>4</v>
      </c>
      <c r="B308" t="s">
        <v>18</v>
      </c>
      <c r="C308" s="1" cm="1">
        <f t="array" ref="C308:G308">C299:G299+C307*C306:G306</f>
        <v>-1.1255288863220683</v>
      </c>
      <c r="D308" s="1">
        <v>1.9328217975830875</v>
      </c>
      <c r="E308" s="1">
        <v>0.39758613544341398</v>
      </c>
      <c r="F308" s="1">
        <v>-0.67496988405929292</v>
      </c>
      <c r="G308" s="1">
        <v>-0.12016305271687983</v>
      </c>
    </row>
    <row r="309" spans="1:10" x14ac:dyDescent="0.25">
      <c r="A309" s="1">
        <v>35</v>
      </c>
      <c r="B309" t="s">
        <v>19</v>
      </c>
      <c r="C309" s="1">
        <f t="shared" ref="C309" si="660">2*C308-F308*(D308^2)-2*G308*C308</f>
        <v>8.1473685686894726E-7</v>
      </c>
      <c r="D309" s="1">
        <f t="shared" ref="D309" si="661">2*D308-2*F308*C308*D308+4*G308*D308</f>
        <v>-9.3576948638096624E-5</v>
      </c>
      <c r="E309" s="1">
        <f t="shared" ref="E309" si="662">4*E308+2*F308+2*G308</f>
        <v>7.8668221310418396E-5</v>
      </c>
      <c r="F309" s="1">
        <f t="shared" ref="F309" si="663">C308*(D308^2)-2*E308+5</f>
        <v>7.6801673802862069E-5</v>
      </c>
      <c r="G309" s="1">
        <f t="shared" ref="G309" si="664">C308^2-2*(D308^2)-2*E308+7</f>
        <v>4.2800633933026688E-5</v>
      </c>
      <c r="J309" s="1">
        <f t="shared" ref="J309" si="665">0.5*(C309*C309+D309*D309+E309*E309+F309*F309+G309*G309)</f>
        <v>1.1338194760349032E-8</v>
      </c>
    </row>
    <row r="310" spans="1:10" x14ac:dyDescent="0.25">
      <c r="C310" s="5">
        <f t="shared" ref="C310" si="666">2-2*G308</f>
        <v>2.2403261054337595</v>
      </c>
      <c r="D310" s="6">
        <f t="shared" ref="D310" si="667">-2*F308*D308</f>
        <v>2.6091930092438615</v>
      </c>
      <c r="E310" s="6">
        <f>0</f>
        <v>0</v>
      </c>
      <c r="F310" s="6">
        <f t="shared" ref="F310" si="668">-(D308^2)</f>
        <v>-3.7358001012123174</v>
      </c>
      <c r="G310" s="7">
        <f t="shared" ref="G310" si="669">-2*C308</f>
        <v>2.2510577726441365</v>
      </c>
    </row>
    <row r="311" spans="1:10" x14ac:dyDescent="0.25">
      <c r="C311" s="8">
        <f t="shared" ref="C311" si="670">-2*F308*D308</f>
        <v>2.6091930092438615</v>
      </c>
      <c r="D311" s="1">
        <f t="shared" ref="D311" si="671">2-2*F308*C308+4*G308</f>
        <v>-4.8414679902242241E-5</v>
      </c>
      <c r="E311" s="1">
        <f>0</f>
        <v>0</v>
      </c>
      <c r="F311" s="1">
        <f t="shared" ref="F311" si="672">-2*C308*D308</f>
        <v>4.3508935305854211</v>
      </c>
      <c r="G311" s="9">
        <f t="shared" ref="G311" si="673">4*D308</f>
        <v>7.7312871903323499</v>
      </c>
    </row>
    <row r="312" spans="1:10" x14ac:dyDescent="0.25">
      <c r="B312" t="s">
        <v>20</v>
      </c>
      <c r="C312" s="8">
        <f>0</f>
        <v>0</v>
      </c>
      <c r="D312" s="1">
        <f>0</f>
        <v>0</v>
      </c>
      <c r="E312" s="1">
        <f>4</f>
        <v>4</v>
      </c>
      <c r="F312" s="1">
        <f>2</f>
        <v>2</v>
      </c>
      <c r="G312" s="9">
        <f>2</f>
        <v>2</v>
      </c>
    </row>
    <row r="313" spans="1:10" x14ac:dyDescent="0.25">
      <c r="C313" s="8">
        <f t="shared" ref="C313" si="674">(D308^2)</f>
        <v>3.7358001012123174</v>
      </c>
      <c r="D313" s="1">
        <f t="shared" ref="D313" si="675">2*C308*D308</f>
        <v>-4.3508935305854211</v>
      </c>
      <c r="E313" s="1">
        <f t="shared" ref="E313:E314" si="676">-2</f>
        <v>-2</v>
      </c>
      <c r="F313" s="1">
        <f>0</f>
        <v>0</v>
      </c>
      <c r="G313" s="9">
        <f>0</f>
        <v>0</v>
      </c>
    </row>
    <row r="314" spans="1:10" x14ac:dyDescent="0.25">
      <c r="C314" s="10">
        <f t="shared" ref="C314" si="677">2*C308</f>
        <v>-2.2510577726441365</v>
      </c>
      <c r="D314" s="11">
        <f t="shared" ref="D314" si="678">-4*D308</f>
        <v>-7.7312871903323499</v>
      </c>
      <c r="E314" s="11">
        <f t="shared" si="676"/>
        <v>-2</v>
      </c>
      <c r="F314" s="11">
        <f>0</f>
        <v>0</v>
      </c>
      <c r="G314" s="12">
        <f>0</f>
        <v>0</v>
      </c>
    </row>
    <row r="315" spans="1:10" x14ac:dyDescent="0.25">
      <c r="B315" t="s">
        <v>21</v>
      </c>
      <c r="C315" s="1" cm="1">
        <f t="array" ref="C315:G315">-MMULT(C309:G309,C310:G314)</f>
        <v>5.1766042886419681E-5</v>
      </c>
      <c r="D315" s="1">
        <v>6.6292956234218739E-4</v>
      </c>
      <c r="E315" s="1">
        <v>-7.5468269769896068E-5</v>
      </c>
      <c r="F315" s="1">
        <v>2.5285059185293444E-4</v>
      </c>
      <c r="G315" s="1">
        <v>5.6429980196095336E-4</v>
      </c>
    </row>
    <row r="316" spans="1:10" x14ac:dyDescent="0.25">
      <c r="B316" t="s">
        <v>13</v>
      </c>
      <c r="C316" s="1">
        <f t="shared" ref="C316" si="679">J309/SUMPRODUCT(_xlfn.ANCHORARRAY(C315),_xlfn.ANCHORARRAY(C315))</f>
        <v>1.3656880797092187E-2</v>
      </c>
    </row>
    <row r="317" spans="1:10" x14ac:dyDescent="0.25">
      <c r="A317" s="1" t="s">
        <v>4</v>
      </c>
      <c r="B317" t="s">
        <v>18</v>
      </c>
      <c r="C317" s="1" cm="1">
        <f t="array" ref="C317:G317">C308:G308+C316*C315:G315</f>
        <v>-1.1255281793593912</v>
      </c>
      <c r="D317" s="1">
        <v>1.9328308511330972</v>
      </c>
      <c r="E317" s="1">
        <v>0.39758510478224979</v>
      </c>
      <c r="F317" s="1">
        <v>-0.67496643090890052</v>
      </c>
      <c r="G317" s="1">
        <v>-0.12015534614175062</v>
      </c>
    </row>
    <row r="318" spans="1:10" x14ac:dyDescent="0.25">
      <c r="A318" s="1">
        <v>36</v>
      </c>
      <c r="B318" t="s">
        <v>19</v>
      </c>
      <c r="C318" s="1">
        <f t="shared" ref="C318" si="680">2*C317-F317*(D317^2)-2*G317*C317</f>
        <v>3.0468613026857216E-5</v>
      </c>
      <c r="D318" s="1">
        <f t="shared" ref="D318" si="681">2*D317-2*F317*C317*D317+4*G317*D317</f>
        <v>-1.7126400941536168E-5</v>
      </c>
      <c r="E318" s="1">
        <f t="shared" ref="E318" si="682">4*E317+2*F317+2*G317</f>
        <v>9.6865027696874106E-5</v>
      </c>
      <c r="F318" s="1">
        <f t="shared" ref="F318" si="683">C317*(D317^2)-2*E317+5</f>
        <v>4.2112967691743108E-5</v>
      </c>
      <c r="G318" s="1">
        <f t="shared" ref="G318" si="684">C317^2-2*(D317^2)-2*E317+7</f>
        <v>-2.6725216219602999E-5</v>
      </c>
      <c r="J318" s="1">
        <f t="shared" ref="J318" si="685">0.5*(C318*C318+D318*D318+E318*E318+F318*F318+G318*G318)</f>
        <v>6.5461114047485712E-9</v>
      </c>
    </row>
    <row r="319" spans="1:10" x14ac:dyDescent="0.25">
      <c r="C319" s="5">
        <f t="shared" ref="C319" si="686">2-2*G317</f>
        <v>2.2403106922835012</v>
      </c>
      <c r="D319" s="6">
        <f t="shared" ref="D319" si="687">-2*F317*D317</f>
        <v>2.6091918822798381</v>
      </c>
      <c r="E319" s="6">
        <f>0</f>
        <v>0</v>
      </c>
      <c r="F319" s="6">
        <f t="shared" ref="F319" si="688">-(D317^2)</f>
        <v>-3.7358350990918927</v>
      </c>
      <c r="G319" s="7">
        <f t="shared" ref="G319" si="689">-2*C317</f>
        <v>2.2510563587187824</v>
      </c>
    </row>
    <row r="320" spans="1:10" x14ac:dyDescent="0.25">
      <c r="C320" s="8">
        <f t="shared" ref="C320" si="690">-2*F317*D317</f>
        <v>2.6091918822798381</v>
      </c>
      <c r="D320" s="1">
        <f t="shared" ref="D320" si="691">2-2*F317*C317+4*G317</f>
        <v>-8.8607862046008457E-6</v>
      </c>
      <c r="E320" s="1">
        <f>0</f>
        <v>0</v>
      </c>
      <c r="F320" s="1">
        <f t="shared" ref="F320" si="692">-2*C317*D317</f>
        <v>4.3509111777709943</v>
      </c>
      <c r="G320" s="9">
        <f t="shared" ref="G320" si="693">4*D317</f>
        <v>7.7313234045323886</v>
      </c>
    </row>
    <row r="321" spans="1:10" x14ac:dyDescent="0.25">
      <c r="B321" t="s">
        <v>20</v>
      </c>
      <c r="C321" s="8">
        <f>0</f>
        <v>0</v>
      </c>
      <c r="D321" s="1">
        <f>0</f>
        <v>0</v>
      </c>
      <c r="E321" s="1">
        <f>4</f>
        <v>4</v>
      </c>
      <c r="F321" s="1">
        <f>2</f>
        <v>2</v>
      </c>
      <c r="G321" s="9">
        <f>2</f>
        <v>2</v>
      </c>
    </row>
    <row r="322" spans="1:10" x14ac:dyDescent="0.25">
      <c r="C322" s="8">
        <f t="shared" ref="C322" si="694">(D317^2)</f>
        <v>3.7358350990918927</v>
      </c>
      <c r="D322" s="1">
        <f t="shared" ref="D322" si="695">2*C317*D317</f>
        <v>-4.3509111777709943</v>
      </c>
      <c r="E322" s="1">
        <f t="shared" ref="E322:E323" si="696">-2</f>
        <v>-2</v>
      </c>
      <c r="F322" s="1">
        <f>0</f>
        <v>0</v>
      </c>
      <c r="G322" s="9">
        <f>0</f>
        <v>0</v>
      </c>
    </row>
    <row r="323" spans="1:10" x14ac:dyDescent="0.25">
      <c r="C323" s="10">
        <f t="shared" ref="C323" si="697">2*C317</f>
        <v>-2.2510563587187824</v>
      </c>
      <c r="D323" s="11">
        <f t="shared" ref="D323" si="698">-4*D317</f>
        <v>-7.7313234045323886</v>
      </c>
      <c r="E323" s="11">
        <f t="shared" si="696"/>
        <v>-2</v>
      </c>
      <c r="F323" s="11">
        <f>0</f>
        <v>0</v>
      </c>
      <c r="G323" s="12">
        <f>0</f>
        <v>0</v>
      </c>
    </row>
    <row r="324" spans="1:10" x14ac:dyDescent="0.25">
      <c r="B324" t="s">
        <v>21</v>
      </c>
      <c r="C324" s="1" cm="1">
        <f t="array" ref="C324:G324">-MMULT(C318:G318,C319:G323)</f>
        <v>-2.4106016397279912E-4</v>
      </c>
      <c r="D324" s="1">
        <v>-1.028901173180702E-4</v>
      </c>
      <c r="E324" s="1">
        <v>-3.5668460784321621E-4</v>
      </c>
      <c r="F324" s="1">
        <v>-5.3888921358491329E-6</v>
      </c>
      <c r="G324" s="1">
        <v>-1.2990687605449295E-4</v>
      </c>
    </row>
    <row r="325" spans="1:10" x14ac:dyDescent="0.25">
      <c r="B325" t="s">
        <v>13</v>
      </c>
      <c r="C325" s="1">
        <f t="shared" ref="C325" si="699">J318/SUMPRODUCT(_xlfn.ANCHORARRAY(C324),_xlfn.ANCHORARRAY(C324))</f>
        <v>3.0758170143541631E-2</v>
      </c>
    </row>
    <row r="326" spans="1:10" x14ac:dyDescent="0.25">
      <c r="A326" s="1" t="s">
        <v>4</v>
      </c>
      <c r="B326" t="s">
        <v>18</v>
      </c>
      <c r="C326" s="1" cm="1">
        <f t="array" ref="C326:G326">C317:G317+C325*C324:G324</f>
        <v>-1.1255355939289295</v>
      </c>
      <c r="D326" s="1">
        <v>1.9328276864213627</v>
      </c>
      <c r="E326" s="1">
        <v>0.39757413381639417</v>
      </c>
      <c r="F326" s="1">
        <v>-0.67496659666136172</v>
      </c>
      <c r="G326" s="1">
        <v>-0.12015934183954712</v>
      </c>
    </row>
    <row r="327" spans="1:10" x14ac:dyDescent="0.25">
      <c r="A327" s="1">
        <v>37</v>
      </c>
      <c r="B327" t="s">
        <v>19</v>
      </c>
      <c r="C327" s="1">
        <f t="shared" ref="C327" si="700">2*C326-F326*(D326^2)-2*G326*C326</f>
        <v>-2.7750381457747331E-6</v>
      </c>
      <c r="D327" s="1">
        <f t="shared" ref="D327" si="701">2*D326-2*F326*C326*D326+4*G326*D326</f>
        <v>-6.8085534990602881E-5</v>
      </c>
      <c r="E327" s="1">
        <f t="shared" ref="E327" si="702">4*E326+2*F326+2*G326</f>
        <v>4.4658263759017602E-5</v>
      </c>
      <c r="F327" s="1">
        <f t="shared" ref="F327" si="703">C326*(D326^2)-2*E326+5</f>
        <v>5.0124749371605049E-5</v>
      </c>
      <c r="G327" s="1">
        <f t="shared" ref="G327" si="704">C326^2-2*(D326^2)-2*E326+7</f>
        <v>3.6374774244229968E-5</v>
      </c>
      <c r="J327" s="1">
        <f t="shared" ref="J327" si="705">0.5*(C327*C327+D327*D327+E327*E327+F327*F327+G327*G327)</f>
        <v>5.236658067261008E-9</v>
      </c>
    </row>
    <row r="328" spans="1:10" x14ac:dyDescent="0.25">
      <c r="C328" s="5">
        <f t="shared" ref="C328" si="706">2-2*G326</f>
        <v>2.240318683679094</v>
      </c>
      <c r="D328" s="6">
        <f t="shared" ref="D328" si="707">-2*F326*D326</f>
        <v>2.6091882508733617</v>
      </c>
      <c r="E328" s="6">
        <f>0</f>
        <v>0</v>
      </c>
      <c r="F328" s="6">
        <f t="shared" ref="F328" si="708">-(D326^2)</f>
        <v>-3.7358228653969578</v>
      </c>
      <c r="G328" s="7">
        <f t="shared" ref="G328" si="709">-2*C326</f>
        <v>2.2510711878578591</v>
      </c>
    </row>
    <row r="329" spans="1:10" x14ac:dyDescent="0.25">
      <c r="C329" s="8">
        <f t="shared" ref="C329" si="710">-2*F326*D326</f>
        <v>2.6091882508733617</v>
      </c>
      <c r="D329" s="1">
        <f t="shared" ref="D329" si="711">2-2*F326*C326+4*G326</f>
        <v>-3.5225869056521031E-5</v>
      </c>
      <c r="E329" s="1">
        <f>0</f>
        <v>0</v>
      </c>
      <c r="F329" s="1">
        <f t="shared" ref="F329" si="712">-2*C326*D326</f>
        <v>4.3509327159970947</v>
      </c>
      <c r="G329" s="9">
        <f t="shared" ref="G329" si="713">4*D326</f>
        <v>7.7313107456854508</v>
      </c>
    </row>
    <row r="330" spans="1:10" x14ac:dyDescent="0.25">
      <c r="B330" t="s">
        <v>20</v>
      </c>
      <c r="C330" s="8">
        <f>0</f>
        <v>0</v>
      </c>
      <c r="D330" s="1">
        <f>0</f>
        <v>0</v>
      </c>
      <c r="E330" s="1">
        <f>4</f>
        <v>4</v>
      </c>
      <c r="F330" s="1">
        <f>2</f>
        <v>2</v>
      </c>
      <c r="G330" s="9">
        <f>2</f>
        <v>2</v>
      </c>
    </row>
    <row r="331" spans="1:10" x14ac:dyDescent="0.25">
      <c r="C331" s="8">
        <f t="shared" ref="C331" si="714">(D326^2)</f>
        <v>3.7358228653969578</v>
      </c>
      <c r="D331" s="1">
        <f t="shared" ref="D331" si="715">2*C326*D326</f>
        <v>-4.3509327159970947</v>
      </c>
      <c r="E331" s="1">
        <f t="shared" ref="E331:E332" si="716">-2</f>
        <v>-2</v>
      </c>
      <c r="F331" s="1">
        <f>0</f>
        <v>0</v>
      </c>
      <c r="G331" s="9">
        <f>0</f>
        <v>0</v>
      </c>
    </row>
    <row r="332" spans="1:10" x14ac:dyDescent="0.25">
      <c r="C332" s="10">
        <f t="shared" ref="C332" si="717">2*C326</f>
        <v>-2.2510711878578591</v>
      </c>
      <c r="D332" s="11">
        <f t="shared" ref="D332" si="718">-4*D326</f>
        <v>-7.7313107456854508</v>
      </c>
      <c r="E332" s="11">
        <f t="shared" si="716"/>
        <v>-2</v>
      </c>
      <c r="F332" s="11">
        <f>0</f>
        <v>0</v>
      </c>
      <c r="G332" s="12">
        <f>0</f>
        <v>0</v>
      </c>
    </row>
    <row r="333" spans="1:10" x14ac:dyDescent="0.25">
      <c r="B333" t="s">
        <v>21</v>
      </c>
      <c r="C333" s="1" cm="1">
        <f t="array" ref="C333:G333">-MMULT(C327:G327,C328:G332)</f>
        <v>7.848996919909579E-5</v>
      </c>
      <c r="D333" s="1">
        <v>5.0655229346190935E-4</v>
      </c>
      <c r="E333" s="1">
        <v>-5.6340078044003761E-6</v>
      </c>
      <c r="F333" s="1">
        <v>1.965520032014098E-4</v>
      </c>
      <c r="G333" s="1">
        <v>4.4332070919571559E-4</v>
      </c>
    </row>
    <row r="334" spans="1:10" x14ac:dyDescent="0.25">
      <c r="B334" t="s">
        <v>13</v>
      </c>
      <c r="C334" s="1">
        <f t="shared" ref="C334" si="719">J327/SUMPRODUCT(_xlfn.ANCHORARRAY(C333),_xlfn.ANCHORARRAY(C333))</f>
        <v>1.0516357810097875E-2</v>
      </c>
    </row>
    <row r="335" spans="1:10" x14ac:dyDescent="0.25">
      <c r="A335" s="1" t="s">
        <v>4</v>
      </c>
      <c r="B335" t="s">
        <v>18</v>
      </c>
      <c r="C335" s="1" cm="1">
        <f t="array" ref="C335:G335">C326:G326+C334*C333:G333</f>
        <v>-1.125534768500329</v>
      </c>
      <c r="D335" s="1">
        <v>1.9328330135065304</v>
      </c>
      <c r="E335" s="1">
        <v>0.39757407456715221</v>
      </c>
      <c r="F335" s="1">
        <v>-0.67496452965016773</v>
      </c>
      <c r="G335" s="1">
        <v>-0.12015467972034459</v>
      </c>
    </row>
    <row r="336" spans="1:10" x14ac:dyDescent="0.25">
      <c r="A336" s="1">
        <v>38</v>
      </c>
      <c r="B336" t="s">
        <v>19</v>
      </c>
      <c r="C336" s="1">
        <f t="shared" ref="C336" si="720">2*C335-F335*(D335^2)-2*G335*C335</f>
        <v>1.5746296422813888E-5</v>
      </c>
      <c r="D336" s="1">
        <f t="shared" ref="D336" si="721">2*D335-2*F335*C335*D335+4*G335*D335</f>
        <v>-2.089418164996637E-5</v>
      </c>
      <c r="E336" s="1">
        <f t="shared" ref="E336" si="722">4*E335+2*F335+2*G335</f>
        <v>5.7879527584209223E-5</v>
      </c>
      <c r="F336" s="1">
        <f t="shared" ref="F336" si="723">C335*(D335^2)-2*E335+5</f>
        <v>3.0149098815712705E-5</v>
      </c>
      <c r="G336" s="1">
        <f t="shared" ref="G336" si="724">C335^2-2*(D335^2)-2*E335+7</f>
        <v>-6.5502326860311655E-6</v>
      </c>
      <c r="J336" s="1">
        <f t="shared" ref="J336" si="725">0.5*(C336*C336+D336*D336+E336*E336+F336*F336+G336*G336)</f>
        <v>2.493213049434455E-9</v>
      </c>
    </row>
    <row r="337" spans="1:10" x14ac:dyDescent="0.25">
      <c r="C337" s="5">
        <f t="shared" ref="C337" si="726">2-2*G335</f>
        <v>2.2403093594406891</v>
      </c>
      <c r="D337" s="6">
        <f t="shared" ref="D337" si="727">-2*F335*D335</f>
        <v>2.6091874517075033</v>
      </c>
      <c r="E337" s="6">
        <f>0</f>
        <v>0</v>
      </c>
      <c r="F337" s="6">
        <f t="shared" ref="F337" si="728">-(D335^2)</f>
        <v>-3.7358434581007356</v>
      </c>
      <c r="G337" s="7">
        <f t="shared" ref="G337" si="729">-2*C335</f>
        <v>2.2510695370006579</v>
      </c>
    </row>
    <row r="338" spans="1:10" x14ac:dyDescent="0.25">
      <c r="C338" s="8">
        <f t="shared" ref="C338" si="730">-2*F335*D335</f>
        <v>2.6091874517075033</v>
      </c>
      <c r="D338" s="1">
        <f t="shared" ref="D338" si="731">2-2*F335*C335+4*G335</f>
        <v>-1.0810132848371179E-5</v>
      </c>
      <c r="E338" s="1">
        <f>0</f>
        <v>0</v>
      </c>
      <c r="F338" s="1">
        <f t="shared" ref="F338" si="732">-2*C335*D335</f>
        <v>4.350941516813732</v>
      </c>
      <c r="G338" s="9">
        <f t="shared" ref="G338" si="733">4*D335</f>
        <v>7.7313320540261214</v>
      </c>
    </row>
    <row r="339" spans="1:10" x14ac:dyDescent="0.25">
      <c r="B339" t="s">
        <v>20</v>
      </c>
      <c r="C339" s="8">
        <f>0</f>
        <v>0</v>
      </c>
      <c r="D339" s="1">
        <f>0</f>
        <v>0</v>
      </c>
      <c r="E339" s="1">
        <f>4</f>
        <v>4</v>
      </c>
      <c r="F339" s="1">
        <f>2</f>
        <v>2</v>
      </c>
      <c r="G339" s="9">
        <f>2</f>
        <v>2</v>
      </c>
    </row>
    <row r="340" spans="1:10" x14ac:dyDescent="0.25">
      <c r="C340" s="8">
        <f t="shared" ref="C340" si="734">(D335^2)</f>
        <v>3.7358434581007356</v>
      </c>
      <c r="D340" s="1">
        <f t="shared" ref="D340" si="735">2*C335*D335</f>
        <v>-4.350941516813732</v>
      </c>
      <c r="E340" s="1">
        <f t="shared" ref="E340:E341" si="736">-2</f>
        <v>-2</v>
      </c>
      <c r="F340" s="1">
        <f>0</f>
        <v>0</v>
      </c>
      <c r="G340" s="9">
        <f>0</f>
        <v>0</v>
      </c>
    </row>
    <row r="341" spans="1:10" x14ac:dyDescent="0.25">
      <c r="C341" s="10">
        <f t="shared" ref="C341" si="737">2*C335</f>
        <v>-2.2510695370006579</v>
      </c>
      <c r="D341" s="11">
        <f t="shared" ref="D341" si="738">-4*D335</f>
        <v>-7.7313320540261214</v>
      </c>
      <c r="E341" s="11">
        <f t="shared" si="736"/>
        <v>-2</v>
      </c>
      <c r="F341" s="11">
        <f>0</f>
        <v>0</v>
      </c>
      <c r="G341" s="12">
        <f>0</f>
        <v>0</v>
      </c>
    </row>
    <row r="342" spans="1:10" x14ac:dyDescent="0.25">
      <c r="B342" t="s">
        <v>21</v>
      </c>
      <c r="C342" s="1" cm="1">
        <f t="array" ref="C342:G342">-MMULT(C336:G336,C337:G341)</f>
        <v>-1.0813708151587167E-4</v>
      </c>
      <c r="D342" s="1">
        <v>3.9449676898809609E-5</v>
      </c>
      <c r="E342" s="1">
        <v>-1.8432037807747381E-4</v>
      </c>
      <c r="F342" s="1">
        <v>3.3976005712752172E-5</v>
      </c>
      <c r="G342" s="1">
        <v>1.033479296663219E-5</v>
      </c>
    </row>
    <row r="343" spans="1:10" x14ac:dyDescent="0.25">
      <c r="B343" t="s">
        <v>13</v>
      </c>
      <c r="C343" s="1">
        <f t="shared" ref="C343" si="739">J336/SUMPRODUCT(_xlfn.ANCHORARRAY(C342),_xlfn.ANCHORARRAY(C342))</f>
        <v>5.142226926474977E-2</v>
      </c>
    </row>
    <row r="344" spans="1:10" x14ac:dyDescent="0.25">
      <c r="A344" s="1" t="s">
        <v>4</v>
      </c>
      <c r="B344" t="s">
        <v>18</v>
      </c>
      <c r="C344" s="1" cm="1">
        <f t="array" ref="C344:G344">C335:G335+C343*C342:G342</f>
        <v>-1.1255403291544521</v>
      </c>
      <c r="D344" s="1">
        <v>1.9328350420984381</v>
      </c>
      <c r="E344" s="1">
        <v>0.39756459639503972</v>
      </c>
      <c r="F344" s="1">
        <v>-0.67496278252685338</v>
      </c>
      <c r="G344" s="1">
        <v>-0.12015414828183786</v>
      </c>
    </row>
    <row r="345" spans="1:10" x14ac:dyDescent="0.25">
      <c r="A345" s="1">
        <v>39</v>
      </c>
      <c r="B345" t="s">
        <v>19</v>
      </c>
      <c r="C345" s="1">
        <f t="shared" ref="C345" si="740">2*C344-F344*(D344^2)-2*G344*C344</f>
        <v>3.2510083121106703E-6</v>
      </c>
      <c r="D345" s="1">
        <f t="shared" ref="D345" si="741">2*D344-2*F344*C344*D344+4*G344*D344</f>
        <v>-2.3692598996261083E-5</v>
      </c>
      <c r="E345" s="1">
        <f t="shared" ref="E345" si="742">4*E344+2*F344+2*G344</f>
        <v>2.4523962776384911E-5</v>
      </c>
      <c r="F345" s="1">
        <f t="shared" ref="F345" si="743">C344*(D344^2)-2*E344+5</f>
        <v>1.950537672268382E-5</v>
      </c>
      <c r="G345" s="1">
        <f t="shared" ref="G345" si="744">C344^2-2*(D344^2)-2*E344+7</f>
        <v>9.2398356912326562E-6</v>
      </c>
      <c r="J345" s="1">
        <f t="shared" ref="J345" si="745">0.5*(C345*C345+D345*D345+E345*E345+F345*F345+G345*G345)</f>
        <v>8.195836685976748E-10</v>
      </c>
    </row>
    <row r="346" spans="1:10" x14ac:dyDescent="0.25">
      <c r="C346" s="5">
        <f t="shared" ref="C346" si="746">2-2*G344</f>
        <v>2.2403082965636756</v>
      </c>
      <c r="D346" s="6">
        <f t="shared" ref="D346" si="747">-2*F344*D344</f>
        <v>2.6091834363603392</v>
      </c>
      <c r="E346" s="6">
        <f>0</f>
        <v>0</v>
      </c>
      <c r="F346" s="6">
        <f t="shared" ref="F346" si="748">-(D344^2)</f>
        <v>-3.735851299963671</v>
      </c>
      <c r="G346" s="7">
        <f t="shared" ref="G346" si="749">-2*C344</f>
        <v>2.2510806583089042</v>
      </c>
    </row>
    <row r="347" spans="1:10" x14ac:dyDescent="0.25">
      <c r="C347" s="8">
        <f t="shared" ref="C347" si="750">-2*F344*D344</f>
        <v>2.6091834363603392</v>
      </c>
      <c r="D347" s="1">
        <f t="shared" ref="D347" si="751">2-2*F344*C344+4*G344</f>
        <v>-1.2257951910232823E-5</v>
      </c>
      <c r="E347" s="1">
        <f>0</f>
        <v>0</v>
      </c>
      <c r="F347" s="1">
        <f t="shared" ref="F347" si="752">-2*C344*D344</f>
        <v>4.3509675789694704</v>
      </c>
      <c r="G347" s="9">
        <f t="shared" ref="G347" si="753">4*D344</f>
        <v>7.7313401683937526</v>
      </c>
    </row>
    <row r="348" spans="1:10" x14ac:dyDescent="0.25">
      <c r="B348" t="s">
        <v>20</v>
      </c>
      <c r="C348" s="8">
        <f>0</f>
        <v>0</v>
      </c>
      <c r="D348" s="1">
        <f>0</f>
        <v>0</v>
      </c>
      <c r="E348" s="1">
        <f>4</f>
        <v>4</v>
      </c>
      <c r="F348" s="1">
        <f>2</f>
        <v>2</v>
      </c>
      <c r="G348" s="9">
        <f>2</f>
        <v>2</v>
      </c>
    </row>
    <row r="349" spans="1:10" x14ac:dyDescent="0.25">
      <c r="C349" s="8">
        <f t="shared" ref="C349" si="754">(D344^2)</f>
        <v>3.735851299963671</v>
      </c>
      <c r="D349" s="1">
        <f t="shared" ref="D349" si="755">2*C344*D344</f>
        <v>-4.3509675789694704</v>
      </c>
      <c r="E349" s="1">
        <f t="shared" ref="E349:E350" si="756">-2</f>
        <v>-2</v>
      </c>
      <c r="F349" s="1">
        <f>0</f>
        <v>0</v>
      </c>
      <c r="G349" s="9">
        <f>0</f>
        <v>0</v>
      </c>
    </row>
    <row r="350" spans="1:10" x14ac:dyDescent="0.25">
      <c r="C350" s="10">
        <f t="shared" ref="C350" si="757">2*C344</f>
        <v>-2.2510806583089042</v>
      </c>
      <c r="D350" s="11">
        <f t="shared" ref="D350" si="758">-4*D344</f>
        <v>-7.7313401683937526</v>
      </c>
      <c r="E350" s="11">
        <f t="shared" si="756"/>
        <v>-2</v>
      </c>
      <c r="F350" s="11">
        <f>0</f>
        <v>0</v>
      </c>
      <c r="G350" s="12">
        <f>0</f>
        <v>0</v>
      </c>
    </row>
    <row r="351" spans="1:10" x14ac:dyDescent="0.25">
      <c r="B351" t="s">
        <v>21</v>
      </c>
      <c r="C351" s="1" cm="1">
        <f t="array" ref="C351:G351">-MMULT(C345:G345,C346:G350)</f>
        <v>2.4655043963196514E-6</v>
      </c>
      <c r="D351" s="1">
        <v>1.4782080710280029E-4</v>
      </c>
      <c r="E351" s="1">
        <v>-4.0605426277706691E-5</v>
      </c>
      <c r="F351" s="1">
        <v>6.6183088170478107E-5</v>
      </c>
      <c r="G351" s="1">
        <v>1.2680933482927517E-4</v>
      </c>
    </row>
    <row r="352" spans="1:10" x14ac:dyDescent="0.25">
      <c r="B352" t="s">
        <v>13</v>
      </c>
      <c r="C352" s="1">
        <f t="shared" ref="C352" si="759">J345/SUMPRODUCT(_xlfn.ANCHORARRAY(C351),_xlfn.ANCHORARRAY(C351))</f>
        <v>1.8641018348313953E-2</v>
      </c>
    </row>
    <row r="353" spans="1:10" x14ac:dyDescent="0.25">
      <c r="A353" s="1" t="s">
        <v>4</v>
      </c>
      <c r="B353" t="s">
        <v>18</v>
      </c>
      <c r="C353" s="1" cm="1">
        <f t="array" ref="C353:G353">C344:G344+C352*C351:G351</f>
        <v>-1.1255402831949395</v>
      </c>
      <c r="D353" s="1">
        <v>1.9328377976288156</v>
      </c>
      <c r="E353" s="1">
        <v>0.39756383946854346</v>
      </c>
      <c r="F353" s="1">
        <v>-0.67496154880669246</v>
      </c>
      <c r="G353" s="1">
        <v>-0.12015178442670058</v>
      </c>
    </row>
    <row r="354" spans="1:10" x14ac:dyDescent="0.25">
      <c r="A354" s="1">
        <v>40</v>
      </c>
      <c r="B354" t="s">
        <v>19</v>
      </c>
      <c r="C354" s="1">
        <f t="shared" ref="C354" si="760">2*C353-F353*(D353^2)-2*G353*C353</f>
        <v>1.1255881286753588E-5</v>
      </c>
      <c r="D354" s="1">
        <f t="shared" ref="D354" si="761">2*D353-2*F353*C353*D353+4*G353*D353</f>
        <v>7.0962281606412603E-8</v>
      </c>
      <c r="E354" s="1">
        <f t="shared" ref="E354" si="762">4*E353+2*F353+2*G353</f>
        <v>2.8691407387759771E-5</v>
      </c>
      <c r="F354" s="1">
        <f t="shared" ref="F354" si="763">C353*(D353^2)-2*E353+5</f>
        <v>9.2016962280894177E-6</v>
      </c>
      <c r="G354" s="1">
        <f t="shared" ref="G354" si="764">C353^2-2*(D353^2)-2*E353+7</f>
        <v>-1.0653727763099141E-5</v>
      </c>
      <c r="J354" s="1">
        <f t="shared" ref="J354" si="765">0.5*(C354*C354+D354*D354+E354*E354+F354*F354+G354*G354)</f>
        <v>5.7403494290078036E-10</v>
      </c>
    </row>
    <row r="355" spans="1:10" x14ac:dyDescent="0.25">
      <c r="C355" s="5">
        <f t="shared" ref="C355" si="766">2-2*G353</f>
        <v>2.2403035688534012</v>
      </c>
      <c r="D355" s="6">
        <f t="shared" ref="D355" si="767">-2*F353*D353</f>
        <v>2.6091823869593234</v>
      </c>
      <c r="E355" s="6">
        <f>0</f>
        <v>0</v>
      </c>
      <c r="F355" s="6">
        <f t="shared" ref="F355" si="768">-(D353^2)</f>
        <v>-3.7358619519426104</v>
      </c>
      <c r="G355" s="7">
        <f t="shared" ref="G355" si="769">-2*C353</f>
        <v>2.251080566389879</v>
      </c>
    </row>
    <row r="356" spans="1:10" x14ac:dyDescent="0.25">
      <c r="C356" s="8">
        <f t="shared" ref="C356" si="770">-2*F353*D353</f>
        <v>2.6091823869593234</v>
      </c>
      <c r="D356" s="1">
        <f t="shared" ref="D356" si="771">2-2*F353*C353+4*G353</f>
        <v>3.6714038587071229E-8</v>
      </c>
      <c r="E356" s="1">
        <f>0</f>
        <v>0</v>
      </c>
      <c r="F356" s="1">
        <f t="shared" ref="F356" si="772">-2*C353*D353</f>
        <v>4.3509736042260405</v>
      </c>
      <c r="G356" s="9">
        <f t="shared" ref="G356" si="773">4*D353</f>
        <v>7.7313511905152623</v>
      </c>
    </row>
    <row r="357" spans="1:10" x14ac:dyDescent="0.25">
      <c r="B357" t="s">
        <v>20</v>
      </c>
      <c r="C357" s="8">
        <f>0</f>
        <v>0</v>
      </c>
      <c r="D357" s="1">
        <f>0</f>
        <v>0</v>
      </c>
      <c r="E357" s="1">
        <f>4</f>
        <v>4</v>
      </c>
      <c r="F357" s="1">
        <f>2</f>
        <v>2</v>
      </c>
      <c r="G357" s="9">
        <f>2</f>
        <v>2</v>
      </c>
    </row>
    <row r="358" spans="1:10" x14ac:dyDescent="0.25">
      <c r="C358" s="8">
        <f t="shared" ref="C358" si="774">(D353^2)</f>
        <v>3.7358619519426104</v>
      </c>
      <c r="D358" s="1">
        <f t="shared" ref="D358" si="775">2*C353*D353</f>
        <v>-4.3509736042260405</v>
      </c>
      <c r="E358" s="1">
        <f t="shared" ref="E358:E359" si="776">-2</f>
        <v>-2</v>
      </c>
      <c r="F358" s="1">
        <f>0</f>
        <v>0</v>
      </c>
      <c r="G358" s="9">
        <f>0</f>
        <v>0</v>
      </c>
    </row>
    <row r="359" spans="1:10" x14ac:dyDescent="0.25">
      <c r="C359" s="10">
        <f t="shared" ref="C359" si="777">2*C353</f>
        <v>-2.251080566389879</v>
      </c>
      <c r="D359" s="11">
        <f t="shared" ref="D359" si="778">-4*D353</f>
        <v>-7.7313511905152623</v>
      </c>
      <c r="E359" s="11">
        <f t="shared" si="776"/>
        <v>-2</v>
      </c>
      <c r="F359" s="11">
        <f>0</f>
        <v>0</v>
      </c>
      <c r="G359" s="12">
        <f>0</f>
        <v>0</v>
      </c>
    </row>
    <row r="360" spans="1:10" x14ac:dyDescent="0.25">
      <c r="B360" t="s">
        <v>21</v>
      </c>
      <c r="C360" s="1" cm="1">
        <f t="array" ref="C360:G360">-MMULT(C354:G354,C355:G359)</f>
        <v>-8.3760410911584053E-5</v>
      </c>
      <c r="D360" s="1">
        <v>-7.1700020627846498E-5</v>
      </c>
      <c r="E360" s="1">
        <v>-1.1766969262105853E-4</v>
      </c>
      <c r="F360" s="1">
        <v>-1.5641151154919136E-5</v>
      </c>
      <c r="G360" s="1">
        <v>-8.3269344718101468E-5</v>
      </c>
    </row>
    <row r="361" spans="1:10" x14ac:dyDescent="0.25">
      <c r="B361" t="s">
        <v>13</v>
      </c>
      <c r="C361" s="1">
        <f t="shared" ref="C361" si="779">J354/SUMPRODUCT(_xlfn.ANCHORARRAY(C360),_xlfn.ANCHORARRAY(C360))</f>
        <v>1.7299961020418472E-2</v>
      </c>
    </row>
    <row r="362" spans="1:10" x14ac:dyDescent="0.25">
      <c r="A362" s="1" t="s">
        <v>4</v>
      </c>
      <c r="B362" t="s">
        <v>18</v>
      </c>
      <c r="C362" s="1" cm="1">
        <f t="array" ref="C362:G362">C353:G353+C361*C360:G360</f>
        <v>-1.1255417322467833</v>
      </c>
      <c r="D362" s="1">
        <v>1.9328365572212536</v>
      </c>
      <c r="E362" s="1">
        <v>0.39756180378744782</v>
      </c>
      <c r="F362" s="1">
        <v>-0.67496181939799771</v>
      </c>
      <c r="G362" s="1">
        <v>-0.1201532249831184</v>
      </c>
    </row>
    <row r="363" spans="1:10" x14ac:dyDescent="0.25">
      <c r="A363" s="1">
        <v>41</v>
      </c>
      <c r="B363" t="s">
        <v>19</v>
      </c>
      <c r="C363" s="1">
        <f t="shared" ref="C363" si="780">2*C362-F362*(D362^2)-2*G362*C362</f>
        <v>2.5411944772346651E-6</v>
      </c>
      <c r="D363" s="1">
        <f t="shared" ref="D363" si="781">2*D362-2*F362*C362*D362+4*G362*D362</f>
        <v>-1.6024652702006925E-5</v>
      </c>
      <c r="E363" s="1">
        <f t="shared" ref="E363" si="782">4*E362+2*F362+2*G362</f>
        <v>1.7126387559074363E-5</v>
      </c>
      <c r="F363" s="1">
        <f t="shared" ref="F363" si="783">C362*(D362^2)-2*E362+5</f>
        <v>1.3256586546717131E-5</v>
      </c>
      <c r="G363" s="1">
        <f t="shared" ref="G363" si="784">C362^2-2*(D362^2)-2*E362+7</f>
        <v>6.269592377705635E-6</v>
      </c>
      <c r="J363" s="1">
        <f t="shared" ref="J363" si="785">0.5*(C363*C363+D363*D363+E363*E363+F363*F363+G363*G363)</f>
        <v>3.8580259493393456E-10</v>
      </c>
    </row>
    <row r="364" spans="1:10" x14ac:dyDescent="0.25">
      <c r="C364" s="5">
        <f t="shared" ref="C364" si="786">2-2*G362</f>
        <v>2.2403064499662366</v>
      </c>
      <c r="D364" s="6">
        <f t="shared" ref="D364" si="787">-2*F362*D362</f>
        <v>2.6091817585220389</v>
      </c>
      <c r="E364" s="6">
        <f>0</f>
        <v>0</v>
      </c>
      <c r="F364" s="6">
        <f t="shared" ref="F364" si="788">-(D362^2)</f>
        <v>-3.7358571569309085</v>
      </c>
      <c r="G364" s="7">
        <f t="shared" ref="G364" si="789">-2*C362</f>
        <v>2.2510834644935667</v>
      </c>
    </row>
    <row r="365" spans="1:10" x14ac:dyDescent="0.25">
      <c r="C365" s="8">
        <f t="shared" ref="C365" si="790">-2*F362*D362</f>
        <v>2.6091817585220389</v>
      </c>
      <c r="D365" s="1">
        <f t="shared" ref="D365" si="791">2-2*F362*C362+4*G362</f>
        <v>-8.2907437993773314E-6</v>
      </c>
      <c r="E365" s="1">
        <f>0</f>
        <v>0</v>
      </c>
      <c r="F365" s="1">
        <f t="shared" ref="F365" si="792">-2*C362*D362</f>
        <v>4.3509764135294375</v>
      </c>
      <c r="G365" s="9">
        <f t="shared" ref="G365" si="793">4*D362</f>
        <v>7.7313462288850143</v>
      </c>
    </row>
    <row r="366" spans="1:10" x14ac:dyDescent="0.25">
      <c r="B366" t="s">
        <v>20</v>
      </c>
      <c r="C366" s="8">
        <f>0</f>
        <v>0</v>
      </c>
      <c r="D366" s="1">
        <f>0</f>
        <v>0</v>
      </c>
      <c r="E366" s="1">
        <f>4</f>
        <v>4</v>
      </c>
      <c r="F366" s="1">
        <f>2</f>
        <v>2</v>
      </c>
      <c r="G366" s="9">
        <f>2</f>
        <v>2</v>
      </c>
    </row>
    <row r="367" spans="1:10" x14ac:dyDescent="0.25">
      <c r="C367" s="8">
        <f t="shared" ref="C367" si="794">(D362^2)</f>
        <v>3.7358571569309085</v>
      </c>
      <c r="D367" s="1">
        <f t="shared" ref="D367" si="795">2*C362*D362</f>
        <v>-4.3509764135294375</v>
      </c>
      <c r="E367" s="1">
        <f t="shared" ref="E367:E368" si="796">-2</f>
        <v>-2</v>
      </c>
      <c r="F367" s="1">
        <f>0</f>
        <v>0</v>
      </c>
      <c r="G367" s="9">
        <f>0</f>
        <v>0</v>
      </c>
    </row>
    <row r="368" spans="1:10" x14ac:dyDescent="0.25">
      <c r="C368" s="10">
        <f t="shared" ref="C368" si="797">2*C362</f>
        <v>-2.2510834644935667</v>
      </c>
      <c r="D368" s="11">
        <f t="shared" ref="D368" si="798">-4*D362</f>
        <v>-7.7313462288850143</v>
      </c>
      <c r="E368" s="11">
        <f t="shared" si="796"/>
        <v>-2</v>
      </c>
      <c r="F368" s="11">
        <f>0</f>
        <v>0</v>
      </c>
      <c r="G368" s="12">
        <f>0</f>
        <v>0</v>
      </c>
    </row>
    <row r="369" spans="1:10" x14ac:dyDescent="0.25">
      <c r="B369" t="s">
        <v>21</v>
      </c>
      <c r="C369" s="1" cm="1">
        <f t="array" ref="C369:G369">-MMULT(C363:G363,C364:G368)</f>
        <v>7.0683914230083863E-7</v>
      </c>
      <c r="D369" s="1">
        <v>9.952091364355092E-5</v>
      </c>
      <c r="E369" s="1">
        <v>-2.9453192387451921E-5</v>
      </c>
      <c r="F369" s="1">
        <v>4.4963650398214598E-5</v>
      </c>
      <c r="G369" s="1">
        <v>8.3918922250939237E-5</v>
      </c>
    </row>
    <row r="370" spans="1:10" x14ac:dyDescent="0.25">
      <c r="B370" t="s">
        <v>13</v>
      </c>
      <c r="C370" s="1">
        <f t="shared" ref="C370" si="799">J363/SUMPRODUCT(_xlfn.ANCHORARRAY(C369),_xlfn.ANCHORARRAY(C369))</f>
        <v>1.9449108917242986E-2</v>
      </c>
    </row>
    <row r="371" spans="1:10" x14ac:dyDescent="0.25">
      <c r="A371" s="1" t="s">
        <v>4</v>
      </c>
      <c r="B371" t="s">
        <v>18</v>
      </c>
      <c r="C371" s="1" cm="1">
        <f t="array" ref="C371:G371">C362:G362+C370*C369:G369</f>
        <v>-1.1255417184993919</v>
      </c>
      <c r="D371" s="1">
        <v>1.9328384928143425</v>
      </c>
      <c r="E371" s="1">
        <v>0.39756123094910112</v>
      </c>
      <c r="F371" s="1">
        <v>-0.67496094489506375</v>
      </c>
      <c r="G371" s="1">
        <v>-0.12015159283485932</v>
      </c>
    </row>
    <row r="372" spans="1:10" x14ac:dyDescent="0.25">
      <c r="A372" s="1">
        <v>42</v>
      </c>
      <c r="B372" t="s">
        <v>19</v>
      </c>
      <c r="C372" s="1">
        <f t="shared" ref="C372" si="800">2*C371-F371*(D371^2)-2*G371*C371</f>
        <v>8.0293868798819723E-6</v>
      </c>
      <c r="D372" s="1">
        <f t="shared" ref="D372" si="801">2*D371-2*F371*C371*D371+4*G371*D371</f>
        <v>4.3486205725251637E-7</v>
      </c>
      <c r="E372" s="1">
        <f t="shared" ref="E372" si="802">4*E371+2*F371+2*G371</f>
        <v>1.9848336558325741E-5</v>
      </c>
      <c r="F372" s="1">
        <f t="shared" ref="F372" si="803">C371*(D371^2)-2*E371+5</f>
        <v>6.0318975405593278E-6</v>
      </c>
      <c r="G372" s="1">
        <f t="shared" ref="G372" si="804">C371^2-2*(D371^2)-2*E371+7</f>
        <v>-7.5804252759326118E-6</v>
      </c>
      <c r="J372" s="1">
        <f t="shared" ref="J372" si="805">0.5*(C372*C372+D372*D372+E372*E372+F372*F372+G372*G372)</f>
        <v>2.7623162905601622E-10</v>
      </c>
    </row>
    <row r="373" spans="1:10" x14ac:dyDescent="0.25">
      <c r="C373" s="5">
        <f t="shared" ref="C373" si="806">2-2*G371</f>
        <v>2.2403031856697186</v>
      </c>
      <c r="D373" s="6">
        <f t="shared" ref="D373" si="807">-2*F371*D371</f>
        <v>2.6091809908790391</v>
      </c>
      <c r="E373" s="6">
        <f>0</f>
        <v>0</v>
      </c>
      <c r="F373" s="6">
        <f t="shared" ref="F373" si="808">-(D371^2)</f>
        <v>-3.7358646393048192</v>
      </c>
      <c r="G373" s="7">
        <f t="shared" ref="G373" si="809">-2*C371</f>
        <v>2.2510834369987838</v>
      </c>
    </row>
    <row r="374" spans="1:10" x14ac:dyDescent="0.25">
      <c r="C374" s="8">
        <f t="shared" ref="C374" si="810">-2*F371*D371</f>
        <v>2.6091809908790391</v>
      </c>
      <c r="D374" s="1">
        <f t="shared" ref="D374" si="811">2-2*F371*C371+4*G371</f>
        <v>2.2498623586386657E-7</v>
      </c>
      <c r="E374" s="1">
        <f>0</f>
        <v>0</v>
      </c>
      <c r="F374" s="1">
        <f t="shared" ref="F374" si="812">-2*C371*D371</f>
        <v>4.350980717568059</v>
      </c>
      <c r="G374" s="9">
        <f t="shared" ref="G374" si="813">4*D371</f>
        <v>7.73135397125737</v>
      </c>
    </row>
    <row r="375" spans="1:10" x14ac:dyDescent="0.25">
      <c r="B375" t="s">
        <v>20</v>
      </c>
      <c r="C375" s="8">
        <f>0</f>
        <v>0</v>
      </c>
      <c r="D375" s="1">
        <f>0</f>
        <v>0</v>
      </c>
      <c r="E375" s="1">
        <f>4</f>
        <v>4</v>
      </c>
      <c r="F375" s="1">
        <f>2</f>
        <v>2</v>
      </c>
      <c r="G375" s="9">
        <f>2</f>
        <v>2</v>
      </c>
    </row>
    <row r="376" spans="1:10" x14ac:dyDescent="0.25">
      <c r="C376" s="8">
        <f t="shared" ref="C376" si="814">(D371^2)</f>
        <v>3.7358646393048192</v>
      </c>
      <c r="D376" s="1">
        <f t="shared" ref="D376" si="815">2*C371*D371</f>
        <v>-4.350980717568059</v>
      </c>
      <c r="E376" s="1">
        <f t="shared" ref="E376:E377" si="816">-2</f>
        <v>-2</v>
      </c>
      <c r="F376" s="1">
        <f>0</f>
        <v>0</v>
      </c>
      <c r="G376" s="9">
        <f>0</f>
        <v>0</v>
      </c>
    </row>
    <row r="377" spans="1:10" x14ac:dyDescent="0.25">
      <c r="C377" s="10">
        <f t="shared" ref="C377" si="817">2*C371</f>
        <v>-2.2510834369987838</v>
      </c>
      <c r="D377" s="11">
        <f t="shared" ref="D377" si="818">-4*D371</f>
        <v>-7.73135397125737</v>
      </c>
      <c r="E377" s="11">
        <f t="shared" si="816"/>
        <v>-2</v>
      </c>
      <c r="F377" s="11">
        <f>0</f>
        <v>0</v>
      </c>
      <c r="G377" s="12">
        <f>0</f>
        <v>0</v>
      </c>
    </row>
    <row r="378" spans="1:10" x14ac:dyDescent="0.25">
      <c r="B378" t="s">
        <v>21</v>
      </c>
      <c r="C378" s="1" cm="1">
        <f t="array" ref="C378:G378">-MMULT(C372:G372,C373:G377)</f>
        <v>-5.8721417333156174E-5</v>
      </c>
      <c r="D378" s="1">
        <v>-5.3312404884821085E-5</v>
      </c>
      <c r="E378" s="1">
        <v>-8.2490401704049532E-5</v>
      </c>
      <c r="F378" s="1">
        <v>-1.1592047022710046E-5</v>
      </c>
      <c r="G378" s="1">
        <v>-6.1133565424497532E-5</v>
      </c>
    </row>
    <row r="379" spans="1:10" x14ac:dyDescent="0.25">
      <c r="B379" t="s">
        <v>13</v>
      </c>
      <c r="C379" s="1">
        <f t="shared" ref="C379" si="819">J372/SUMPRODUCT(_xlfn.ANCHORARRAY(C378),_xlfn.ANCHORARRAY(C378))</f>
        <v>1.6280741389575599E-2</v>
      </c>
    </row>
    <row r="380" spans="1:10" x14ac:dyDescent="0.25">
      <c r="A380" s="1" t="s">
        <v>4</v>
      </c>
      <c r="B380" t="s">
        <v>18</v>
      </c>
      <c r="C380" s="1" cm="1">
        <f t="array" ref="C380:G380">C371:G371+C379*C378:G378</f>
        <v>-1.1255426745276016</v>
      </c>
      <c r="D380" s="1">
        <v>1.9328376248488657</v>
      </c>
      <c r="E380" s="1">
        <v>0.39755988794420383</v>
      </c>
      <c r="F380" s="1">
        <v>-0.67496113362218346</v>
      </c>
      <c r="G380" s="1">
        <v>-0.12015258813462822</v>
      </c>
    </row>
    <row r="381" spans="1:10" x14ac:dyDescent="0.25">
      <c r="A381" s="1">
        <v>43</v>
      </c>
      <c r="B381" t="s">
        <v>19</v>
      </c>
      <c r="C381" s="1">
        <f t="shared" ref="C381" si="820">2*C380-F380*(D380^2)-2*G380*C380</f>
        <v>2.0874689340422137E-6</v>
      </c>
      <c r="D381" s="1">
        <f t="shared" ref="D381" si="821">2*D380-2*F380*C380*D380+4*G380*D380</f>
        <v>-1.057574740237488E-5</v>
      </c>
      <c r="E381" s="1">
        <f t="shared" ref="E381" si="822">4*E380+2*F380+2*G380</f>
        <v>1.210826319195113E-5</v>
      </c>
      <c r="F381" s="1">
        <f t="shared" ref="F381" si="823">C380*(D380^2)-2*E380+5</f>
        <v>8.922818765633167E-6</v>
      </c>
      <c r="G381" s="1">
        <f t="shared" ref="G381" si="824">C380^2-2*(D380^2)-2*E380+7</f>
        <v>3.9682315300382243E-6</v>
      </c>
      <c r="J381" s="1">
        <f t="shared" ref="J381" si="825">0.5*(C381*C381+D381*D381+E381*E381+F381*F381+G381*G381)</f>
        <v>1.7908877669765689E-10</v>
      </c>
    </row>
    <row r="382" spans="1:10" x14ac:dyDescent="0.25">
      <c r="C382" s="5">
        <f t="shared" ref="C382" si="826">2-2*G380</f>
        <v>2.2403051762692563</v>
      </c>
      <c r="D382" s="6">
        <f t="shared" ref="D382" si="827">-2*F380*D380</f>
        <v>2.6091805487511981</v>
      </c>
      <c r="E382" s="6">
        <f>0</f>
        <v>0</v>
      </c>
      <c r="F382" s="6">
        <f t="shared" ref="F382" si="828">-(D380^2)</f>
        <v>-3.7358612840314045</v>
      </c>
      <c r="G382" s="7">
        <f t="shared" ref="G382" si="829">-2*C380</f>
        <v>2.2510853490552032</v>
      </c>
    </row>
    <row r="383" spans="1:10" x14ac:dyDescent="0.25">
      <c r="C383" s="8">
        <f t="shared" ref="C383" si="830">-2*F380*D380</f>
        <v>2.6091805487511981</v>
      </c>
      <c r="D383" s="1">
        <f t="shared" ref="D383" si="831">2-2*F380*C380+4*G380</f>
        <v>-5.4716171014601578E-6</v>
      </c>
      <c r="E383" s="1">
        <f>0</f>
        <v>0</v>
      </c>
      <c r="F383" s="1">
        <f t="shared" ref="F383" si="832">-2*C380*D380</f>
        <v>4.3509824593999387</v>
      </c>
      <c r="G383" s="9">
        <f t="shared" ref="G383" si="833">4*D380</f>
        <v>7.7313504993954627</v>
      </c>
    </row>
    <row r="384" spans="1:10" x14ac:dyDescent="0.25">
      <c r="B384" t="s">
        <v>20</v>
      </c>
      <c r="C384" s="8">
        <f>0</f>
        <v>0</v>
      </c>
      <c r="D384" s="1">
        <f>0</f>
        <v>0</v>
      </c>
      <c r="E384" s="1">
        <f>4</f>
        <v>4</v>
      </c>
      <c r="F384" s="1">
        <f>2</f>
        <v>2</v>
      </c>
      <c r="G384" s="9">
        <f>2</f>
        <v>2</v>
      </c>
    </row>
    <row r="385" spans="1:10" x14ac:dyDescent="0.25">
      <c r="C385" s="8">
        <f t="shared" ref="C385" si="834">(D380^2)</f>
        <v>3.7358612840314045</v>
      </c>
      <c r="D385" s="1">
        <f t="shared" ref="D385" si="835">2*C380*D380</f>
        <v>-4.3509824593999387</v>
      </c>
      <c r="E385" s="1">
        <f t="shared" ref="E385:E386" si="836">-2</f>
        <v>-2</v>
      </c>
      <c r="F385" s="1">
        <f>0</f>
        <v>0</v>
      </c>
      <c r="G385" s="9">
        <f>0</f>
        <v>0</v>
      </c>
    </row>
    <row r="386" spans="1:10" x14ac:dyDescent="0.25">
      <c r="C386" s="10">
        <f t="shared" ref="C386" si="837">2*C380</f>
        <v>-2.2510853490552032</v>
      </c>
      <c r="D386" s="11">
        <f t="shared" ref="D386" si="838">-4*D380</f>
        <v>-7.7313504993954627</v>
      </c>
      <c r="E386" s="11">
        <f t="shared" si="836"/>
        <v>-2</v>
      </c>
      <c r="F386" s="11">
        <f>0</f>
        <v>0</v>
      </c>
      <c r="G386" s="12">
        <f>0</f>
        <v>0</v>
      </c>
    </row>
    <row r="387" spans="1:10" x14ac:dyDescent="0.25">
      <c r="B387" t="s">
        <v>21</v>
      </c>
      <c r="C387" s="1" cm="1">
        <f t="array" ref="C387:G387">-MMULT(C381:G381,C382:G386)</f>
        <v>-1.4841183594833705E-6</v>
      </c>
      <c r="D387" s="1">
        <v>6.4056175553886679E-5</v>
      </c>
      <c r="E387" s="1">
        <v>-2.2650952176461736E-5</v>
      </c>
      <c r="F387" s="1">
        <v>2.9596859431181921E-5</v>
      </c>
      <c r="G387" s="1">
        <v>5.2849212842898737E-5</v>
      </c>
    </row>
    <row r="388" spans="1:10" x14ac:dyDescent="0.25">
      <c r="B388" t="s">
        <v>13</v>
      </c>
      <c r="C388" s="1">
        <f t="shared" ref="C388" si="839">J381/SUMPRODUCT(_xlfn.ANCHORARRAY(C387),_xlfn.ANCHORARRAY(C387))</f>
        <v>2.1609570006995496E-2</v>
      </c>
    </row>
    <row r="389" spans="1:10" x14ac:dyDescent="0.25">
      <c r="A389" s="1" t="s">
        <v>4</v>
      </c>
      <c r="B389" t="s">
        <v>18</v>
      </c>
      <c r="C389" s="1" cm="1">
        <f t="array" ref="C389:G389">C380:G380+C388*C387:G387</f>
        <v>-1.1255427065987611</v>
      </c>
      <c r="D389" s="1">
        <v>1.9328390090752756</v>
      </c>
      <c r="E389" s="1">
        <v>0.39755939846686705</v>
      </c>
      <c r="F389" s="1">
        <v>-0.6749604940467776</v>
      </c>
      <c r="G389" s="1">
        <v>-0.12015144608586348</v>
      </c>
    </row>
    <row r="390" spans="1:10" x14ac:dyDescent="0.25">
      <c r="A390" s="1">
        <v>44</v>
      </c>
      <c r="B390" t="s">
        <v>19</v>
      </c>
      <c r="C390" s="1">
        <f t="shared" ref="C390" si="840">2*C389-F389*(D389^2)-2*G389*C389</f>
        <v>5.8087985624899474E-6</v>
      </c>
      <c r="D390" s="1">
        <f t="shared" ref="D390" si="841">2*D389-2*F389*C389*D389+4*G389*D389</f>
        <v>9.5293457380574154E-7</v>
      </c>
      <c r="E390" s="1">
        <f t="shared" ref="E390" si="842">4*E389+2*F389+2*G389</f>
        <v>1.3713602186049556E-5</v>
      </c>
      <c r="F390" s="1">
        <f t="shared" ref="F390" si="843">C389*(D389^2)-2*E389+5</f>
        <v>3.7592128787622414E-6</v>
      </c>
      <c r="G390" s="1">
        <f t="shared" ref="G390" si="844">C389^2-2*(D389^2)-2*E389+7</f>
        <v>-5.6825622554157462E-6</v>
      </c>
      <c r="J390" s="1">
        <f t="shared" ref="J390" si="845">0.5*(C390*C390+D390*D390+E390*E390+F390*F390+G390*G390)</f>
        <v>1.3456815260664519E-10</v>
      </c>
    </row>
    <row r="391" spans="1:10" x14ac:dyDescent="0.25">
      <c r="C391" s="5">
        <f t="shared" ref="C391" si="846">2-2*G389</f>
        <v>2.240302892171727</v>
      </c>
      <c r="D391" s="6">
        <f t="shared" ref="D391" si="847">-2*F389*D389</f>
        <v>2.6091799449566642</v>
      </c>
      <c r="E391" s="6">
        <f>0</f>
        <v>0</v>
      </c>
      <c r="F391" s="6">
        <f t="shared" ref="F391" si="848">-(D389^2)</f>
        <v>-3.7358666350030934</v>
      </c>
      <c r="G391" s="7">
        <f t="shared" ref="G391" si="849">-2*C389</f>
        <v>2.2510854131975222</v>
      </c>
    </row>
    <row r="392" spans="1:10" x14ac:dyDescent="0.25">
      <c r="C392" s="8">
        <f t="shared" ref="C392" si="850">-2*F389*D389</f>
        <v>2.6091799449566642</v>
      </c>
      <c r="D392" s="1">
        <f t="shared" ref="D392" si="851">2-2*F389*C389+4*G389</f>
        <v>4.9302325200173414E-7</v>
      </c>
      <c r="E392" s="1">
        <f>0</f>
        <v>0</v>
      </c>
      <c r="F392" s="1">
        <f t="shared" ref="F392" si="852">-2*C389*D389</f>
        <v>4.3509856993885059</v>
      </c>
      <c r="G392" s="9">
        <f t="shared" ref="G392" si="853">4*D389</f>
        <v>7.7313560363011025</v>
      </c>
    </row>
    <row r="393" spans="1:10" x14ac:dyDescent="0.25">
      <c r="B393" t="s">
        <v>20</v>
      </c>
      <c r="C393" s="8">
        <f>0</f>
        <v>0</v>
      </c>
      <c r="D393" s="1">
        <f>0</f>
        <v>0</v>
      </c>
      <c r="E393" s="1">
        <f>4</f>
        <v>4</v>
      </c>
      <c r="F393" s="1">
        <f>2</f>
        <v>2</v>
      </c>
      <c r="G393" s="9">
        <f>2</f>
        <v>2</v>
      </c>
    </row>
    <row r="394" spans="1:10" x14ac:dyDescent="0.25">
      <c r="C394" s="8">
        <f t="shared" ref="C394" si="854">(D389^2)</f>
        <v>3.7358666350030934</v>
      </c>
      <c r="D394" s="1">
        <f t="shared" ref="D394" si="855">2*C389*D389</f>
        <v>-4.3509856993885059</v>
      </c>
      <c r="E394" s="1">
        <f t="shared" ref="E394:E395" si="856">-2</f>
        <v>-2</v>
      </c>
      <c r="F394" s="1">
        <f>0</f>
        <v>0</v>
      </c>
      <c r="G394" s="9">
        <f>0</f>
        <v>0</v>
      </c>
    </row>
    <row r="395" spans="1:10" x14ac:dyDescent="0.25">
      <c r="C395" s="10">
        <f t="shared" ref="C395" si="857">2*C389</f>
        <v>-2.2510854131975222</v>
      </c>
      <c r="D395" s="11">
        <f t="shared" ref="D395" si="858">-4*D389</f>
        <v>-7.7313560363011025</v>
      </c>
      <c r="E395" s="11">
        <f t="shared" si="856"/>
        <v>-2</v>
      </c>
      <c r="F395" s="11">
        <f>0</f>
        <v>0</v>
      </c>
      <c r="G395" s="12">
        <f>0</f>
        <v>0</v>
      </c>
    </row>
    <row r="396" spans="1:10" x14ac:dyDescent="0.25">
      <c r="B396" t="s">
        <v>21</v>
      </c>
      <c r="C396" s="1" cm="1">
        <f t="array" ref="C396:G396">-MMULT(C390:G390,C391:G395)</f>
        <v>-4.2335696968813955E-5</v>
      </c>
      <c r="D396" s="1">
        <v>-4.2733831701974502E-5</v>
      </c>
      <c r="E396" s="1">
        <v>-5.8701107497505234E-5</v>
      </c>
      <c r="F396" s="1">
        <v>-9.8725123361206478E-6</v>
      </c>
      <c r="G396" s="1">
        <v>-4.7870782553716008E-5</v>
      </c>
    </row>
    <row r="397" spans="1:10" x14ac:dyDescent="0.25">
      <c r="B397" t="s">
        <v>13</v>
      </c>
      <c r="C397" s="1">
        <f t="shared" ref="C397" si="859">J390/SUMPRODUCT(_xlfn.ANCHORARRAY(C396),_xlfn.ANCHORARRAY(C396))</f>
        <v>1.4234909727720652E-2</v>
      </c>
    </row>
    <row r="398" spans="1:10" x14ac:dyDescent="0.25">
      <c r="A398" s="1" t="s">
        <v>4</v>
      </c>
      <c r="B398" t="s">
        <v>18</v>
      </c>
      <c r="C398" s="1" cm="1">
        <f t="array" ref="C398:G398">C389:G389+C397*C396:G396</f>
        <v>-1.1255433092435858</v>
      </c>
      <c r="D398" s="1">
        <v>1.932838400763039</v>
      </c>
      <c r="E398" s="1">
        <v>0.39755856286190089</v>
      </c>
      <c r="F398" s="1">
        <v>-0.67496063458109945</v>
      </c>
      <c r="G398" s="1">
        <v>-0.12015212752213172</v>
      </c>
    </row>
    <row r="399" spans="1:10" x14ac:dyDescent="0.25">
      <c r="A399" s="1">
        <v>45</v>
      </c>
      <c r="B399" t="s">
        <v>19</v>
      </c>
      <c r="C399" s="1">
        <f t="shared" ref="C399" si="860">2*C398-F398*(D398^2)-2*G398*C398</f>
        <v>1.8625408693684342E-6</v>
      </c>
      <c r="D399" s="1">
        <f t="shared" ref="D399" si="861">2*D398-2*F398*C398*D398+4*G398*D398</f>
        <v>-6.4993617292508077E-6</v>
      </c>
      <c r="E399" s="1">
        <f t="shared" ref="E399" si="862">4*E398+2*F398+2*G398</f>
        <v>8.7272411412042672E-6</v>
      </c>
      <c r="F399" s="1">
        <f t="shared" ref="F399" si="863">C398*(D398^2)-2*E398+5</f>
        <v>5.8257809607553668E-6</v>
      </c>
      <c r="G399" s="1">
        <f t="shared" ref="G399" si="864">C398^2-2*(D398^2)-2*E398+7</f>
        <v>2.0483307565655196E-6</v>
      </c>
      <c r="J399" s="1">
        <f t="shared" ref="J399" si="865">0.5*(C399*C399+D399*D399+E399*E399+F399*F399+G399*G399)</f>
        <v>8.0005441002719061E-11</v>
      </c>
    </row>
    <row r="400" spans="1:10" x14ac:dyDescent="0.25">
      <c r="C400" s="5">
        <f t="shared" ref="C400" si="866">2-2*G398</f>
        <v>2.2403042550442636</v>
      </c>
      <c r="D400" s="6">
        <f t="shared" ref="D400" si="867">-2*F398*D398</f>
        <v>2.6091796670434766</v>
      </c>
      <c r="E400" s="6">
        <f>0</f>
        <v>0</v>
      </c>
      <c r="F400" s="6">
        <f t="shared" ref="F400" si="868">-(D398^2)</f>
        <v>-3.7358642834642222</v>
      </c>
      <c r="G400" s="7">
        <f t="shared" ref="G400" si="869">-2*C398</f>
        <v>2.2510866184871716</v>
      </c>
    </row>
    <row r="401" spans="1:10" x14ac:dyDescent="0.25">
      <c r="C401" s="8">
        <f t="shared" ref="C401" si="870">-2*F398*D398</f>
        <v>2.6091796670434766</v>
      </c>
      <c r="D401" s="1">
        <f t="shared" ref="D401" si="871">2-2*F398*C398+4*G398</f>
        <v>-3.362599649614495E-6</v>
      </c>
      <c r="E401" s="1">
        <f>0</f>
        <v>0</v>
      </c>
      <c r="F401" s="1">
        <f t="shared" ref="F401" si="872">-2*C398*D398</f>
        <v>4.3509866596558222</v>
      </c>
      <c r="G401" s="9">
        <f t="shared" ref="G401" si="873">4*D398</f>
        <v>7.7313536030521561</v>
      </c>
    </row>
    <row r="402" spans="1:10" x14ac:dyDescent="0.25">
      <c r="B402" t="s">
        <v>20</v>
      </c>
      <c r="C402" s="8">
        <f>0</f>
        <v>0</v>
      </c>
      <c r="D402" s="1">
        <f>0</f>
        <v>0</v>
      </c>
      <c r="E402" s="1">
        <f>4</f>
        <v>4</v>
      </c>
      <c r="F402" s="1">
        <f>2</f>
        <v>2</v>
      </c>
      <c r="G402" s="9">
        <f>2</f>
        <v>2</v>
      </c>
    </row>
    <row r="403" spans="1:10" x14ac:dyDescent="0.25">
      <c r="C403" s="8">
        <f t="shared" ref="C403" si="874">(D398^2)</f>
        <v>3.7358642834642222</v>
      </c>
      <c r="D403" s="1">
        <f t="shared" ref="D403" si="875">2*C398*D398</f>
        <v>-4.3509866596558222</v>
      </c>
      <c r="E403" s="1">
        <f t="shared" ref="E403:E404" si="876">-2</f>
        <v>-2</v>
      </c>
      <c r="F403" s="1">
        <f>0</f>
        <v>0</v>
      </c>
      <c r="G403" s="9">
        <f>0</f>
        <v>0</v>
      </c>
    </row>
    <row r="404" spans="1:10" x14ac:dyDescent="0.25">
      <c r="C404" s="10">
        <f t="shared" ref="C404" si="877">2*C398</f>
        <v>-2.2510866184871716</v>
      </c>
      <c r="D404" s="11">
        <f t="shared" ref="D404" si="878">-4*D398</f>
        <v>-7.7313536030521561</v>
      </c>
      <c r="E404" s="11">
        <f t="shared" si="876"/>
        <v>-2</v>
      </c>
      <c r="F404" s="11">
        <f>0</f>
        <v>0</v>
      </c>
      <c r="G404" s="12">
        <f>0</f>
        <v>0</v>
      </c>
    </row>
    <row r="405" spans="1:10" x14ac:dyDescent="0.25">
      <c r="B405" t="s">
        <v>21</v>
      </c>
      <c r="C405" s="1" cm="1">
        <f t="array" ref="C405:G405">-MMULT(C399:G399,C400:G404)</f>
        <v>-4.3680128203497177E-6</v>
      </c>
      <c r="D405" s="1">
        <v>3.6324538997193788E-5</v>
      </c>
      <c r="E405" s="1">
        <v>-1.9160741130175296E-5</v>
      </c>
      <c r="F405" s="1">
        <v>1.7782353808205261E-5</v>
      </c>
      <c r="G405" s="1">
        <v>2.8601640613153242E-5</v>
      </c>
    </row>
    <row r="406" spans="1:10" x14ac:dyDescent="0.25">
      <c r="B406" t="s">
        <v>13</v>
      </c>
      <c r="C406" s="1">
        <f t="shared" ref="C406" si="879">J399/SUMPRODUCT(_xlfn.ANCHORARRAY(C405),_xlfn.ANCHORARRAY(C405))</f>
        <v>2.8171409809281636E-2</v>
      </c>
    </row>
    <row r="407" spans="1:10" x14ac:dyDescent="0.25">
      <c r="A407" s="1" t="s">
        <v>4</v>
      </c>
      <c r="B407" t="s">
        <v>18</v>
      </c>
      <c r="C407" s="1" cm="1">
        <f t="array" ref="C407:G407">C398:G398+C406*C405:G405</f>
        <v>-1.1255434322966651</v>
      </c>
      <c r="D407" s="1">
        <v>1.9328394240765132</v>
      </c>
      <c r="E407" s="1">
        <v>0.39755802307681026</v>
      </c>
      <c r="F407" s="1">
        <v>-0.67496013362712293</v>
      </c>
      <c r="G407" s="1">
        <v>-0.12015132177359279</v>
      </c>
    </row>
    <row r="408" spans="1:10" x14ac:dyDescent="0.25">
      <c r="A408" s="1">
        <v>46</v>
      </c>
      <c r="B408" t="s">
        <v>19</v>
      </c>
      <c r="C408" s="1">
        <f t="shared" ref="C408" si="880">2*C407-F407*(D407^2)-2*G407*C407</f>
        <v>4.199185850761733E-6</v>
      </c>
      <c r="D408" s="1">
        <f t="shared" ref="D408" si="881">2*D407-2*F407*C407*D407+4*G407*D407</f>
        <v>1.5887426962901685E-6</v>
      </c>
      <c r="E408" s="1">
        <f t="shared" ref="E408" si="882">4*E407+2*F407+2*G407</f>
        <v>9.1815058096134106E-6</v>
      </c>
      <c r="F408" s="1">
        <f t="shared" ref="F408" si="883">C407*(D407^2)-2*E407+5</f>
        <v>1.9932165971070503E-6</v>
      </c>
      <c r="G408" s="1">
        <f t="shared" ref="G408" si="884">C407^2-2*(D407^2)-2*E407+7</f>
        <v>-4.5066963183515441E-6</v>
      </c>
      <c r="J408" s="1">
        <f t="shared" ref="J408" si="885">0.5*(C408*C408+D408*D408+E408*E408+F408*F408+G408*G408)</f>
        <v>6.4370269102522045E-11</v>
      </c>
    </row>
    <row r="409" spans="1:10" x14ac:dyDescent="0.25">
      <c r="C409" s="5">
        <f t="shared" ref="C409" si="886">2-2*G407</f>
        <v>2.2403026435471856</v>
      </c>
      <c r="D409" s="6">
        <f t="shared" ref="D409" si="887">-2*F407*D407</f>
        <v>2.6091791119089094</v>
      </c>
      <c r="E409" s="6">
        <f>0</f>
        <v>0</v>
      </c>
      <c r="F409" s="6">
        <f t="shared" ref="F409" si="888">-(D407^2)</f>
        <v>-3.7358682392644273</v>
      </c>
      <c r="G409" s="7">
        <f t="shared" ref="G409" si="889">-2*C407</f>
        <v>2.2510868645933302</v>
      </c>
    </row>
    <row r="410" spans="1:10" x14ac:dyDescent="0.25">
      <c r="C410" s="8">
        <f t="shared" ref="C410" si="890">-2*F407*D407</f>
        <v>2.6091791119089094</v>
      </c>
      <c r="D410" s="1">
        <f t="shared" ref="D410" si="891">2-2*F407*C407+4*G407</f>
        <v>8.2197345346868289E-7</v>
      </c>
      <c r="E410" s="1">
        <f>0</f>
        <v>0</v>
      </c>
      <c r="F410" s="1">
        <f t="shared" ref="F410" si="892">-2*C407*D407</f>
        <v>4.350989438906776</v>
      </c>
      <c r="G410" s="9">
        <f t="shared" ref="G410" si="893">4*D407</f>
        <v>7.7313576963060529</v>
      </c>
    </row>
    <row r="411" spans="1:10" x14ac:dyDescent="0.25">
      <c r="B411" t="s">
        <v>20</v>
      </c>
      <c r="C411" s="8">
        <f>0</f>
        <v>0</v>
      </c>
      <c r="D411" s="1">
        <f>0</f>
        <v>0</v>
      </c>
      <c r="E411" s="1">
        <f>4</f>
        <v>4</v>
      </c>
      <c r="F411" s="1">
        <f>2</f>
        <v>2</v>
      </c>
      <c r="G411" s="9">
        <f>2</f>
        <v>2</v>
      </c>
    </row>
    <row r="412" spans="1:10" x14ac:dyDescent="0.25">
      <c r="C412" s="8">
        <f t="shared" ref="C412" si="894">(D407^2)</f>
        <v>3.7358682392644273</v>
      </c>
      <c r="D412" s="1">
        <f t="shared" ref="D412" si="895">2*C407*D407</f>
        <v>-4.350989438906776</v>
      </c>
      <c r="E412" s="1">
        <f t="shared" ref="E412:E413" si="896">-2</f>
        <v>-2</v>
      </c>
      <c r="F412" s="1">
        <f>0</f>
        <v>0</v>
      </c>
      <c r="G412" s="9">
        <f>0</f>
        <v>0</v>
      </c>
    </row>
    <row r="413" spans="1:10" x14ac:dyDescent="0.25">
      <c r="C413" s="10">
        <f t="shared" ref="C413" si="897">2*C407</f>
        <v>-2.2510868645933302</v>
      </c>
      <c r="D413" s="11">
        <f t="shared" ref="D413" si="898">-4*D407</f>
        <v>-7.7313576963060529</v>
      </c>
      <c r="E413" s="11">
        <f t="shared" si="896"/>
        <v>-2</v>
      </c>
      <c r="F413" s="11">
        <f>0</f>
        <v>0</v>
      </c>
      <c r="G413" s="12">
        <f>0</f>
        <v>0</v>
      </c>
    </row>
    <row r="414" spans="1:10" x14ac:dyDescent="0.25">
      <c r="B414" t="s">
        <v>21</v>
      </c>
      <c r="C414" s="1" cm="1">
        <f t="array" ref="C414:G414">-MMULT(C408:G408,C409:G413)</f>
        <v>-3.1144120883624825E-5</v>
      </c>
      <c r="D414" s="1">
        <v>-3.7126846217070161E-5</v>
      </c>
      <c r="E414" s="1">
        <v>-4.175298268094263E-5</v>
      </c>
      <c r="F414" s="1">
        <v>-9.5880092612962862E-6</v>
      </c>
      <c r="G414" s="1">
        <v>-4.0098881802275751E-5</v>
      </c>
    </row>
    <row r="415" spans="1:10" x14ac:dyDescent="0.25">
      <c r="B415" t="s">
        <v>13</v>
      </c>
      <c r="C415" s="1">
        <f t="shared" ref="C415" si="899">J408/SUMPRODUCT(_xlfn.ANCHORARRAY(C414),_xlfn.ANCHORARRAY(C414))</f>
        <v>1.1114571030289976E-2</v>
      </c>
    </row>
    <row r="416" spans="1:10" x14ac:dyDescent="0.25">
      <c r="A416" s="1" t="s">
        <v>4</v>
      </c>
      <c r="B416" t="s">
        <v>18</v>
      </c>
      <c r="C416" s="1" cm="1">
        <f t="array" ref="C416:G416">C407:G407+C415*C414:G414</f>
        <v>-1.1255437784502089</v>
      </c>
      <c r="D416" s="1">
        <v>1.9328390114275438</v>
      </c>
      <c r="E416" s="1">
        <v>0.39755755901031853</v>
      </c>
      <c r="F416" s="1">
        <v>-0.67496024019373291</v>
      </c>
      <c r="G416" s="1">
        <v>-0.12015176745546281</v>
      </c>
    </row>
    <row r="417" spans="1:10" x14ac:dyDescent="0.25">
      <c r="A417" s="1">
        <v>47</v>
      </c>
      <c r="B417" t="s">
        <v>19</v>
      </c>
      <c r="C417" s="1">
        <f t="shared" ref="C417" si="900">2*C416-F416*(D416^2)-2*G416*C416</f>
        <v>1.7418719261419469E-6</v>
      </c>
      <c r="D417" s="1">
        <f t="shared" ref="D417" si="901">2*D416-2*F416*C416*D416+4*G416*D416</f>
        <v>-3.2238295042397169E-6</v>
      </c>
      <c r="E417" s="1">
        <f t="shared" ref="E417" si="902">4*E416+2*F416+2*G416</f>
        <v>6.2207428826732691E-6</v>
      </c>
      <c r="F417" s="1">
        <f t="shared" ref="F417" si="903">C416*(D416^2)-2*E416+5</f>
        <v>3.4235972190543862E-6</v>
      </c>
      <c r="G417" s="1">
        <f t="shared" ref="G417" si="904">C416^2-2*(D416^2)-2*E416+7</f>
        <v>3.9099492710192862E-7</v>
      </c>
      <c r="J417" s="1">
        <f t="shared" ref="J417" si="905">0.5*(C417*C417+D417*D417+E417*E417+F417*F417+G417*G417)</f>
        <v>3.1999365721577231E-11</v>
      </c>
    </row>
    <row r="418" spans="1:10" x14ac:dyDescent="0.25">
      <c r="C418" s="5">
        <f t="shared" ref="C418" si="906">2-2*G416</f>
        <v>2.2403035349109257</v>
      </c>
      <c r="D418" s="6">
        <f t="shared" ref="D418" si="907">-2*F416*D416</f>
        <v>2.6091789668179044</v>
      </c>
      <c r="E418" s="6">
        <f>0</f>
        <v>0</v>
      </c>
      <c r="F418" s="6">
        <f t="shared" ref="F418" si="908">-(D416^2)</f>
        <v>-3.7358666440962045</v>
      </c>
      <c r="G418" s="7">
        <f t="shared" ref="G418" si="909">-2*C416</f>
        <v>2.2510875569004178</v>
      </c>
    </row>
    <row r="419" spans="1:10" x14ac:dyDescent="0.25">
      <c r="C419" s="8">
        <f t="shared" ref="C419" si="910">-2*F416*D416</f>
        <v>2.6091789668179044</v>
      </c>
      <c r="D419" s="1">
        <f t="shared" ref="D419" si="911">2-2*F416*C416+4*G416</f>
        <v>-1.6679244805861693E-6</v>
      </c>
      <c r="E419" s="1">
        <f>0</f>
        <v>0</v>
      </c>
      <c r="F419" s="1">
        <f t="shared" ref="F419" si="912">-2*C416*D416</f>
        <v>4.3509898481162486</v>
      </c>
      <c r="G419" s="9">
        <f t="shared" ref="G419" si="913">4*D416</f>
        <v>7.7313560457101751</v>
      </c>
    </row>
    <row r="420" spans="1:10" x14ac:dyDescent="0.25">
      <c r="B420" t="s">
        <v>20</v>
      </c>
      <c r="C420" s="8">
        <f>0</f>
        <v>0</v>
      </c>
      <c r="D420" s="1">
        <f>0</f>
        <v>0</v>
      </c>
      <c r="E420" s="1">
        <f>4</f>
        <v>4</v>
      </c>
      <c r="F420" s="1">
        <f>2</f>
        <v>2</v>
      </c>
      <c r="G420" s="9">
        <f>2</f>
        <v>2</v>
      </c>
    </row>
    <row r="421" spans="1:10" x14ac:dyDescent="0.25">
      <c r="C421" s="8">
        <f t="shared" ref="C421" si="914">(D416^2)</f>
        <v>3.7358666440962045</v>
      </c>
      <c r="D421" s="1">
        <f t="shared" ref="D421" si="915">2*C416*D416</f>
        <v>-4.3509898481162486</v>
      </c>
      <c r="E421" s="1">
        <f t="shared" ref="E421:E422" si="916">-2</f>
        <v>-2</v>
      </c>
      <c r="F421" s="1">
        <f>0</f>
        <v>0</v>
      </c>
      <c r="G421" s="9">
        <f>0</f>
        <v>0</v>
      </c>
    </row>
    <row r="422" spans="1:10" x14ac:dyDescent="0.25">
      <c r="C422" s="10">
        <f t="shared" ref="C422" si="917">2*C416</f>
        <v>-2.2510875569004178</v>
      </c>
      <c r="D422" s="11">
        <f t="shared" ref="D422" si="918">-4*D416</f>
        <v>-7.7313560457101751</v>
      </c>
      <c r="E422" s="11">
        <f t="shared" si="916"/>
        <v>-2</v>
      </c>
      <c r="F422" s="11">
        <f>0</f>
        <v>0</v>
      </c>
      <c r="G422" s="12">
        <f>0</f>
        <v>0</v>
      </c>
    </row>
    <row r="423" spans="1:10" x14ac:dyDescent="0.25">
      <c r="B423" t="s">
        <v>21</v>
      </c>
      <c r="C423" s="1" cm="1">
        <f t="array" ref="C423:G423">-MMULT(C417:G417,C418:G422)</f>
        <v>-7.4007125367041155E-6</v>
      </c>
      <c r="D423" s="1">
        <v>1.3374096767951851E-5</v>
      </c>
      <c r="E423" s="1">
        <v>-1.7253787238380447E-5</v>
      </c>
      <c r="F423" s="1">
        <v>8.0927649068194157E-6</v>
      </c>
      <c r="G423" s="1">
        <v>8.5619817439437335E-6</v>
      </c>
    </row>
    <row r="424" spans="1:10" x14ac:dyDescent="0.25">
      <c r="B424" t="s">
        <v>13</v>
      </c>
      <c r="C424" s="1">
        <f t="shared" ref="C424" si="919">J417/SUMPRODUCT(_xlfn.ANCHORARRAY(C423),_xlfn.ANCHORARRAY(C423))</f>
        <v>4.7750942347748772E-2</v>
      </c>
    </row>
    <row r="425" spans="1:10" x14ac:dyDescent="0.25">
      <c r="A425" s="1" t="s">
        <v>4</v>
      </c>
      <c r="B425" t="s">
        <v>18</v>
      </c>
      <c r="C425" s="1" cm="1">
        <f t="array" ref="C425:G425">C416:G416+C424*C423:G423</f>
        <v>-1.1255441318412065</v>
      </c>
      <c r="D425" s="1">
        <v>1.9328396500532674</v>
      </c>
      <c r="E425" s="1">
        <v>0.39755673512571882</v>
      </c>
      <c r="F425" s="1">
        <v>-0.67495985375658241</v>
      </c>
      <c r="G425" s="1">
        <v>-0.12015135861276617</v>
      </c>
    </row>
    <row r="426" spans="1:10" x14ac:dyDescent="0.25">
      <c r="A426" s="1">
        <v>48</v>
      </c>
      <c r="B426" t="s">
        <v>19</v>
      </c>
      <c r="C426" s="1">
        <f t="shared" ref="C426" si="920">2*C425-F425*(D425^2)-2*G425*C425</f>
        <v>2.0931202881491195E-6</v>
      </c>
      <c r="D426" s="1">
        <f t="shared" ref="D426" si="921">2*D425-2*F425*C425*D425+4*G425*D425</f>
        <v>6.9640346878063752E-7</v>
      </c>
      <c r="E426" s="1">
        <f t="shared" ref="E426" si="922">4*E425+2*F425+2*G425</f>
        <v>4.515764178120163E-6</v>
      </c>
      <c r="F426" s="1">
        <f t="shared" ref="F426" si="923">C425*(D425^2)-2*E425+5</f>
        <v>9.7248940633676284E-7</v>
      </c>
      <c r="G426" s="1">
        <f t="shared" ref="G426" si="924">C425^2-2*(D425^2)-2*E425+7</f>
        <v>-2.1031653369973924E-6</v>
      </c>
      <c r="J426" s="1">
        <f t="shared" ref="J426" si="925">0.5*(C426*C426+D426*D426+E426*E426+F426*F426+G426*G426)</f>
        <v>1.5313648262284509E-11</v>
      </c>
    </row>
    <row r="427" spans="1:10" x14ac:dyDescent="0.25">
      <c r="C427" s="5">
        <f t="shared" ref="C427" si="926">2-2*G425</f>
        <v>2.2403027172255325</v>
      </c>
      <c r="D427" s="6">
        <f t="shared" ref="D427" si="927">-2*F425*D425</f>
        <v>2.6091783350697546</v>
      </c>
      <c r="E427" s="6">
        <f>0</f>
        <v>0</v>
      </c>
      <c r="F427" s="6">
        <f t="shared" ref="F427" si="928">-(D425^2)</f>
        <v>-3.7358691128180372</v>
      </c>
      <c r="G427" s="7">
        <f t="shared" ref="G427" si="929">-2*C425</f>
        <v>2.251088263682413</v>
      </c>
    </row>
    <row r="428" spans="1:10" x14ac:dyDescent="0.25">
      <c r="C428" s="8">
        <f t="shared" ref="C428" si="930">-2*F425*D425</f>
        <v>2.6091783350697546</v>
      </c>
      <c r="D428" s="1">
        <f t="shared" ref="D428" si="931">2-2*F425*C425+4*G425</f>
        <v>3.6030069477943627E-7</v>
      </c>
      <c r="E428" s="1">
        <f>0</f>
        <v>0</v>
      </c>
      <c r="F428" s="1">
        <f t="shared" ref="F428" si="932">-2*C425*D425</f>
        <v>4.3509926518149324</v>
      </c>
      <c r="G428" s="9">
        <f t="shared" ref="G428" si="933">4*D425</f>
        <v>7.7313586002130696</v>
      </c>
    </row>
    <row r="429" spans="1:10" x14ac:dyDescent="0.25">
      <c r="B429" t="s">
        <v>20</v>
      </c>
      <c r="C429" s="8">
        <f>0</f>
        <v>0</v>
      </c>
      <c r="D429" s="1">
        <f>0</f>
        <v>0</v>
      </c>
      <c r="E429" s="1">
        <f>4</f>
        <v>4</v>
      </c>
      <c r="F429" s="1">
        <f>2</f>
        <v>2</v>
      </c>
      <c r="G429" s="9">
        <f>2</f>
        <v>2</v>
      </c>
    </row>
    <row r="430" spans="1:10" x14ac:dyDescent="0.25">
      <c r="C430" s="8">
        <f t="shared" ref="C430" si="934">(D425^2)</f>
        <v>3.7358691128180372</v>
      </c>
      <c r="D430" s="1">
        <f t="shared" ref="D430" si="935">2*C425*D425</f>
        <v>-4.3509926518149324</v>
      </c>
      <c r="E430" s="1">
        <f t="shared" ref="E430:E431" si="936">-2</f>
        <v>-2</v>
      </c>
      <c r="F430" s="1">
        <f>0</f>
        <v>0</v>
      </c>
      <c r="G430" s="9">
        <f>0</f>
        <v>0</v>
      </c>
    </row>
    <row r="431" spans="1:10" x14ac:dyDescent="0.25">
      <c r="C431" s="10">
        <f t="shared" ref="C431" si="937">2*C425</f>
        <v>-2.251088263682413</v>
      </c>
      <c r="D431" s="11">
        <f t="shared" ref="D431" si="938">-4*D425</f>
        <v>-7.7313586002130696</v>
      </c>
      <c r="E431" s="11">
        <f t="shared" si="936"/>
        <v>-2</v>
      </c>
      <c r="F431" s="11">
        <f>0</f>
        <v>0</v>
      </c>
      <c r="G431" s="12">
        <f>0</f>
        <v>0</v>
      </c>
    </row>
    <row r="432" spans="1:10" x14ac:dyDescent="0.25">
      <c r="B432" t="s">
        <v>21</v>
      </c>
      <c r="C432" s="1" cm="1">
        <f t="array" ref="C432:G432">-MMULT(C426:G426,C427:G431)</f>
        <v>-1.4873767854604988E-5</v>
      </c>
      <c r="D432" s="1">
        <v>-1.7490355514373986E-5</v>
      </c>
      <c r="E432" s="1">
        <v>-2.0324408573801911E-5</v>
      </c>
      <c r="F432" s="1">
        <v>-4.241951297694224E-6</v>
      </c>
      <c r="G432" s="1">
        <v>-1.9127471818943756E-5</v>
      </c>
    </row>
    <row r="433" spans="1:10" x14ac:dyDescent="0.25">
      <c r="B433" t="s">
        <v>13</v>
      </c>
      <c r="C433" s="1">
        <f t="shared" ref="C433" si="939">J426/SUMPRODUCT(_xlfn.ANCHORARRAY(C432),_xlfn.ANCHORARRAY(C432))</f>
        <v>1.1565523315764834E-2</v>
      </c>
    </row>
    <row r="434" spans="1:10" x14ac:dyDescent="0.25">
      <c r="A434" s="1" t="s">
        <v>4</v>
      </c>
      <c r="B434" t="s">
        <v>18</v>
      </c>
      <c r="C434" s="1" cm="1">
        <f t="array" ref="C434:G434">C425:G425+C433*C432:G432</f>
        <v>-1.1255443038641153</v>
      </c>
      <c r="D434" s="1">
        <v>1.932839447768153</v>
      </c>
      <c r="E434" s="1">
        <v>0.39755650006329757</v>
      </c>
      <c r="F434" s="1">
        <v>-0.67495990281696905</v>
      </c>
      <c r="G434" s="1">
        <v>-0.12015157983198746</v>
      </c>
    </row>
    <row r="435" spans="1:10" x14ac:dyDescent="0.25">
      <c r="A435" s="1">
        <v>49</v>
      </c>
      <c r="B435" t="s">
        <v>19</v>
      </c>
      <c r="C435" s="1">
        <f t="shared" ref="C435" si="940">2*C434-F434*(D434^2)-2*G434*C434</f>
        <v>8.6523806319682706E-7</v>
      </c>
      <c r="D435" s="1">
        <f t="shared" ref="D435" si="941">2*D434-2*F434*C434*D434+4*G434*D434</f>
        <v>-1.676221345725537E-6</v>
      </c>
      <c r="E435" s="1">
        <f t="shared" ref="E435" si="942">4*E434+2*F434+2*G434</f>
        <v>3.0349552772590549E-6</v>
      </c>
      <c r="F435" s="1">
        <f t="shared" ref="F435" si="943">C434*(D434^2)-2*E434+5</f>
        <v>1.6801003113187107E-6</v>
      </c>
      <c r="G435" s="1">
        <f t="shared" ref="G435" si="944">C434^2-2*(D434^2)-2*E434+7</f>
        <v>3.1813696299565208E-7</v>
      </c>
      <c r="J435" s="1">
        <f t="shared" ref="J435" si="945">0.5*(C435*C435+D435*D435+E435*E435+F435*F435+G435*G435)</f>
        <v>7.8466283120752192E-12</v>
      </c>
    </row>
    <row r="436" spans="1:10" x14ac:dyDescent="0.25">
      <c r="C436" s="5">
        <f t="shared" ref="C436" si="946">2-2*G434</f>
        <v>2.2403031596639749</v>
      </c>
      <c r="D436" s="6">
        <f t="shared" ref="D436" si="947">-2*F434*D434</f>
        <v>2.6091782516527933</v>
      </c>
      <c r="E436" s="6">
        <f>0</f>
        <v>0</v>
      </c>
      <c r="F436" s="6">
        <f t="shared" ref="F436" si="948">-(D434^2)</f>
        <v>-3.7358683308486986</v>
      </c>
      <c r="G436" s="7">
        <f t="shared" ref="G436" si="949">-2*C434</f>
        <v>2.2510886077282306</v>
      </c>
    </row>
    <row r="437" spans="1:10" x14ac:dyDescent="0.25">
      <c r="C437" s="8">
        <f t="shared" ref="C437" si="950">-2*F434*D434</f>
        <v>2.6091782516527933</v>
      </c>
      <c r="D437" s="1">
        <f t="shared" ref="D437" si="951">2-2*F434*C434+4*G434</f>
        <v>-8.6723258252430213E-7</v>
      </c>
      <c r="E437" s="1">
        <f>0</f>
        <v>0</v>
      </c>
      <c r="F437" s="1">
        <f t="shared" ref="F437" si="952">-2*C434*D434</f>
        <v>4.3509928614386135</v>
      </c>
      <c r="G437" s="9">
        <f t="shared" ref="G437" si="953">4*D434</f>
        <v>7.7313577910726119</v>
      </c>
    </row>
    <row r="438" spans="1:10" x14ac:dyDescent="0.25">
      <c r="B438" t="s">
        <v>20</v>
      </c>
      <c r="C438" s="8">
        <f>0</f>
        <v>0</v>
      </c>
      <c r="D438" s="1">
        <f>0</f>
        <v>0</v>
      </c>
      <c r="E438" s="1">
        <f>4</f>
        <v>4</v>
      </c>
      <c r="F438" s="1">
        <f>2</f>
        <v>2</v>
      </c>
      <c r="G438" s="9">
        <f>2</f>
        <v>2</v>
      </c>
    </row>
    <row r="439" spans="1:10" x14ac:dyDescent="0.25">
      <c r="C439" s="8">
        <f t="shared" ref="C439" si="954">(D434^2)</f>
        <v>3.7358683308486986</v>
      </c>
      <c r="D439" s="1">
        <f t="shared" ref="D439" si="955">2*C434*D434</f>
        <v>-4.3509928614386135</v>
      </c>
      <c r="E439" s="1">
        <f t="shared" ref="E439:E440" si="956">-2</f>
        <v>-2</v>
      </c>
      <c r="F439" s="1">
        <f>0</f>
        <v>0</v>
      </c>
      <c r="G439" s="9">
        <f>0</f>
        <v>0</v>
      </c>
    </row>
    <row r="440" spans="1:10" x14ac:dyDescent="0.25">
      <c r="C440" s="10">
        <f t="shared" ref="C440" si="957">2*C434</f>
        <v>-2.2510886077282306</v>
      </c>
      <c r="D440" s="11">
        <f t="shared" ref="D440" si="958">-4*D434</f>
        <v>-7.7313577910726119</v>
      </c>
      <c r="E440" s="11">
        <f t="shared" si="956"/>
        <v>-2</v>
      </c>
      <c r="F440" s="11">
        <f>0</f>
        <v>0</v>
      </c>
      <c r="G440" s="12">
        <f>0</f>
        <v>0</v>
      </c>
    </row>
    <row r="441" spans="1:10" x14ac:dyDescent="0.25">
      <c r="B441" t="s">
        <v>21</v>
      </c>
      <c r="C441" s="1" cm="1">
        <f t="array" ref="C441:G441">-MMULT(C435:G435,C436:G440)</f>
        <v>-3.1253143392259808E-6</v>
      </c>
      <c r="D441" s="1">
        <v>7.5121733578640037E-6</v>
      </c>
      <c r="E441" s="1">
        <v>-8.1433465604074939E-6</v>
      </c>
      <c r="F441" s="1">
        <v>4.4557320338666197E-6</v>
      </c>
      <c r="G441" s="1">
        <v>4.9418288592840225E-6</v>
      </c>
    </row>
    <row r="442" spans="1:10" x14ac:dyDescent="0.25">
      <c r="B442" t="s">
        <v>13</v>
      </c>
      <c r="C442" s="1">
        <f t="shared" ref="C442" si="959">J435/SUMPRODUCT(_xlfn.ANCHORARRAY(C441),_xlfn.ANCHORARRAY(C441))</f>
        <v>4.4383979645802658E-2</v>
      </c>
    </row>
    <row r="443" spans="1:10" x14ac:dyDescent="0.25">
      <c r="A443" s="1" t="s">
        <v>4</v>
      </c>
      <c r="B443" t="s">
        <v>18</v>
      </c>
      <c r="C443" s="1" cm="1">
        <f t="array" ref="C443:G443">C434:G434+C442*C441:G441</f>
        <v>-1.1255444425780032</v>
      </c>
      <c r="D443" s="1">
        <v>1.9328397811883025</v>
      </c>
      <c r="E443" s="1">
        <v>0.39755613862916961</v>
      </c>
      <c r="F443" s="1">
        <v>-0.67495970505384917</v>
      </c>
      <c r="G443" s="1">
        <v>-0.12015136049395596</v>
      </c>
    </row>
    <row r="444" spans="1:10" x14ac:dyDescent="0.25">
      <c r="A444" s="1">
        <v>50</v>
      </c>
      <c r="B444" t="s">
        <v>19</v>
      </c>
      <c r="C444" s="1">
        <f t="shared" ref="C444" si="960">2*C443-F443*(D443^2)-2*G443*C443</f>
        <v>1.1793617530897471E-6</v>
      </c>
      <c r="D444" s="1">
        <f t="shared" ref="D444" si="961">2*D443-2*F443*C443*D443+4*G443*D443</f>
        <v>5.1809631151922275E-7</v>
      </c>
      <c r="E444" s="1">
        <f t="shared" ref="E444" si="962">4*E443+2*F443+2*G443</f>
        <v>2.4234210681817192E-6</v>
      </c>
      <c r="F444" s="1">
        <f t="shared" ref="F444" si="963">C443*(D443^2)-2*E443+5</f>
        <v>4.3404275285041649E-7</v>
      </c>
      <c r="G444" s="1">
        <f t="shared" ref="G444" si="964">C443^2-2*(D443^2)-2*E443+7</f>
        <v>-1.2245282015044268E-6</v>
      </c>
      <c r="J444" s="1">
        <f t="shared" ref="J444" si="965">0.5*(C444*C444+D444*D444+E444*E444+F444*F444+G444*G444)</f>
        <v>4.6100750169747014E-12</v>
      </c>
    </row>
    <row r="445" spans="1:10" x14ac:dyDescent="0.25">
      <c r="C445" s="5">
        <f t="shared" ref="C445" si="966">2-2*G443</f>
        <v>2.2403027209879118</v>
      </c>
      <c r="D445" s="6">
        <f t="shared" ref="D445" si="967">-2*F443*D443</f>
        <v>2.6091779372544059</v>
      </c>
      <c r="E445" s="6">
        <f>0</f>
        <v>0</v>
      </c>
      <c r="F445" s="6">
        <f t="shared" ref="F445" si="968">-(D443^2)</f>
        <v>-3.7358696197440451</v>
      </c>
      <c r="G445" s="7">
        <f t="shared" ref="G445" si="969">-2*C443</f>
        <v>2.2510888851560065</v>
      </c>
    </row>
    <row r="446" spans="1:10" x14ac:dyDescent="0.25">
      <c r="C446" s="8">
        <f t="shared" ref="C446" si="970">-2*F443*D443</f>
        <v>2.6091779372544059</v>
      </c>
      <c r="D446" s="1">
        <f t="shared" ref="D446" si="971">2-2*F443*C443+4*G443</f>
        <v>2.6804927993895333E-7</v>
      </c>
      <c r="E446" s="1">
        <f>0</f>
        <v>0</v>
      </c>
      <c r="F446" s="1">
        <f t="shared" ref="F446" si="972">-2*C443*D443</f>
        <v>4.3509941482203551</v>
      </c>
      <c r="G446" s="9">
        <f t="shared" ref="G446" si="973">4*D443</f>
        <v>7.7313591247532099</v>
      </c>
    </row>
    <row r="447" spans="1:10" x14ac:dyDescent="0.25">
      <c r="B447" t="s">
        <v>20</v>
      </c>
      <c r="C447" s="8">
        <f>0</f>
        <v>0</v>
      </c>
      <c r="D447" s="1">
        <f>0</f>
        <v>0</v>
      </c>
      <c r="E447" s="1">
        <f>4</f>
        <v>4</v>
      </c>
      <c r="F447" s="1">
        <f>2</f>
        <v>2</v>
      </c>
      <c r="G447" s="9">
        <f>2</f>
        <v>2</v>
      </c>
    </row>
    <row r="448" spans="1:10" x14ac:dyDescent="0.25">
      <c r="C448" s="8">
        <f t="shared" ref="C448" si="974">(D443^2)</f>
        <v>3.7358696197440451</v>
      </c>
      <c r="D448" s="1">
        <f t="shared" ref="D448" si="975">2*C443*D443</f>
        <v>-4.3509941482203551</v>
      </c>
      <c r="E448" s="1">
        <f t="shared" ref="E448:E449" si="976">-2</f>
        <v>-2</v>
      </c>
      <c r="F448" s="1">
        <f>0</f>
        <v>0</v>
      </c>
      <c r="G448" s="9">
        <f>0</f>
        <v>0</v>
      </c>
    </row>
    <row r="449" spans="1:10" x14ac:dyDescent="0.25">
      <c r="C449" s="10">
        <f t="shared" ref="C449" si="977">2*C443</f>
        <v>-2.2510888851560065</v>
      </c>
      <c r="D449" s="11">
        <f t="shared" ref="D449" si="978">-4*D443</f>
        <v>-7.7313591247532099</v>
      </c>
      <c r="E449" s="11">
        <f t="shared" si="976"/>
        <v>-2</v>
      </c>
      <c r="F449" s="11">
        <f>0</f>
        <v>0</v>
      </c>
      <c r="G449" s="12">
        <f>0</f>
        <v>0</v>
      </c>
    </row>
    <row r="450" spans="1:10" x14ac:dyDescent="0.25">
      <c r="B450" t="s">
        <v>21</v>
      </c>
      <c r="C450" s="1" cm="1">
        <f t="array" ref="C450:G450">-MMULT(C444:G444,C445:G449)</f>
        <v>-8.3719817678755094E-6</v>
      </c>
      <c r="D450" s="1">
        <v>-1.065591461156806E-5</v>
      </c>
      <c r="E450" s="1">
        <v>-1.1274655170034897E-5</v>
      </c>
      <c r="F450" s="1">
        <v>-2.6951344119420631E-6</v>
      </c>
      <c r="G450" s="1">
        <v>-1.1507278915886996E-5</v>
      </c>
    </row>
    <row r="451" spans="1:10" x14ac:dyDescent="0.25">
      <c r="B451" t="s">
        <v>13</v>
      </c>
      <c r="C451" s="1">
        <f t="shared" ref="C451" si="979">J444/SUMPRODUCT(_xlfn.ANCHORARRAY(C450),_xlfn.ANCHORARRAY(C450))</f>
        <v>1.0234657110547206E-2</v>
      </c>
    </row>
    <row r="452" spans="1:10" x14ac:dyDescent="0.25">
      <c r="A452" s="1" t="s">
        <v>4</v>
      </c>
      <c r="B452" t="s">
        <v>18</v>
      </c>
      <c r="C452" s="1" cm="1">
        <f t="array" ref="C452:G452">C443:G443+C451*C450:G450</f>
        <v>-1.125544528262366</v>
      </c>
      <c r="D452" s="1">
        <v>1.9328396721286702</v>
      </c>
      <c r="E452" s="1">
        <v>0.39755602323693989</v>
      </c>
      <c r="F452" s="1">
        <v>-0.67495973263762576</v>
      </c>
      <c r="G452" s="1">
        <v>-0.12015147826700993</v>
      </c>
    </row>
    <row r="453" spans="1:10" x14ac:dyDescent="0.25">
      <c r="A453" s="1">
        <v>51</v>
      </c>
      <c r="B453" t="s">
        <v>19</v>
      </c>
      <c r="C453" s="1">
        <f t="shared" ref="C453" si="980">2*C452-F452*(D452^2)-2*G452*C452</f>
        <v>5.4077861233459146E-7</v>
      </c>
      <c r="D453" s="1">
        <f t="shared" ref="D453" si="981">2*D452-2*F452*C452*D452+4*G452*D452</f>
        <v>-7.3603203076810786E-7</v>
      </c>
      <c r="E453" s="1">
        <f t="shared" ref="E453" si="982">4*E452+2*F452+2*G452</f>
        <v>1.6711384881740177E-6</v>
      </c>
      <c r="F453" s="1">
        <f t="shared" ref="F453" si="983">C452*(D452^2)-2*E452+5</f>
        <v>8.1923944961204143E-7</v>
      </c>
      <c r="G453" s="1">
        <f t="shared" ref="G453" si="984">C452^2-2*(D452^2)-2*E452+7</f>
        <v>4.2318541559893674E-8</v>
      </c>
      <c r="J453" s="1">
        <f t="shared" ref="J453" si="985">0.5*(C453*C453+D453*D453+E453*E453+F453*F453+G453*G453)</f>
        <v>2.1499163196460449E-12</v>
      </c>
    </row>
    <row r="454" spans="1:10" x14ac:dyDescent="0.25">
      <c r="C454" s="5">
        <f t="shared" ref="C454" si="986">2-2*G452</f>
        <v>2.2403029565340198</v>
      </c>
      <c r="D454" s="6">
        <f t="shared" ref="D454" si="987">-2*F452*D452</f>
        <v>2.609177896662727</v>
      </c>
      <c r="E454" s="6">
        <f>0</f>
        <v>0</v>
      </c>
      <c r="F454" s="6">
        <f t="shared" ref="F454" si="988">-(D452^2)</f>
        <v>-3.7358691981544654</v>
      </c>
      <c r="G454" s="7">
        <f t="shared" ref="G454" si="989">-2*C452</f>
        <v>2.2510890565247319</v>
      </c>
    </row>
    <row r="455" spans="1:10" x14ac:dyDescent="0.25">
      <c r="C455" s="8">
        <f t="shared" ref="C455" si="990">-2*F452*D452</f>
        <v>2.609177896662727</v>
      </c>
      <c r="D455" s="1">
        <f t="shared" ref="D455" si="991">2-2*F452*C452+4*G452</f>
        <v>-3.8080345804436533E-7</v>
      </c>
      <c r="E455" s="1">
        <f>0</f>
        <v>0</v>
      </c>
      <c r="F455" s="1">
        <f t="shared" ref="F455" si="992">-2*C452*D452</f>
        <v>4.3509942339457002</v>
      </c>
      <c r="G455" s="9">
        <f t="shared" ref="G455" si="993">4*D452</f>
        <v>7.731358688514681</v>
      </c>
    </row>
    <row r="456" spans="1:10" x14ac:dyDescent="0.25">
      <c r="B456" t="s">
        <v>20</v>
      </c>
      <c r="C456" s="8">
        <f>0</f>
        <v>0</v>
      </c>
      <c r="D456" s="1">
        <f>0</f>
        <v>0</v>
      </c>
      <c r="E456" s="1">
        <f>4</f>
        <v>4</v>
      </c>
      <c r="F456" s="1">
        <f>2</f>
        <v>2</v>
      </c>
      <c r="G456" s="9">
        <f>2</f>
        <v>2</v>
      </c>
    </row>
    <row r="457" spans="1:10" x14ac:dyDescent="0.25">
      <c r="C457" s="8">
        <f t="shared" ref="C457" si="994">(D452^2)</f>
        <v>3.7358691981544654</v>
      </c>
      <c r="D457" s="1">
        <f t="shared" ref="D457" si="995">2*C452*D452</f>
        <v>-4.3509942339457002</v>
      </c>
      <c r="E457" s="1">
        <f t="shared" ref="E457:E458" si="996">-2</f>
        <v>-2</v>
      </c>
      <c r="F457" s="1">
        <f>0</f>
        <v>0</v>
      </c>
      <c r="G457" s="9">
        <f>0</f>
        <v>0</v>
      </c>
    </row>
    <row r="458" spans="1:10" x14ac:dyDescent="0.25">
      <c r="C458" s="10">
        <f t="shared" ref="C458" si="997">2*C452</f>
        <v>-2.2510890565247319</v>
      </c>
      <c r="D458" s="11">
        <f t="shared" ref="D458" si="998">-4*D452</f>
        <v>-7.731358688514681</v>
      </c>
      <c r="E458" s="11">
        <f t="shared" si="996"/>
        <v>-2</v>
      </c>
      <c r="F458" s="11">
        <f>0</f>
        <v>0</v>
      </c>
      <c r="G458" s="12">
        <f>0</f>
        <v>0</v>
      </c>
    </row>
    <row r="459" spans="1:10" x14ac:dyDescent="0.25">
      <c r="B459" t="s">
        <v>21</v>
      </c>
      <c r="C459" s="1" cm="1">
        <f t="array" ref="C459:G459">-MMULT(C453:G453,C454:G458)</f>
        <v>-2.2563780380527014E-6</v>
      </c>
      <c r="D459" s="1">
        <v>2.4806980628822951E-6</v>
      </c>
      <c r="E459" s="1">
        <v>-4.9614379703522005E-6</v>
      </c>
      <c r="F459" s="1">
        <v>1.8804723063648613E-6</v>
      </c>
      <c r="G459" s="1">
        <v>1.1309098435270509E-6</v>
      </c>
    </row>
    <row r="460" spans="1:10" x14ac:dyDescent="0.25">
      <c r="B460" t="s">
        <v>13</v>
      </c>
      <c r="C460" s="1">
        <f t="shared" ref="C460" si="999">J453/SUMPRODUCT(_xlfn.ANCHORARRAY(C459),_xlfn.ANCHORARRAY(C459))</f>
        <v>5.2854528206738464E-2</v>
      </c>
    </row>
    <row r="461" spans="1:10" x14ac:dyDescent="0.25">
      <c r="A461" s="1" t="s">
        <v>4</v>
      </c>
      <c r="B461" t="s">
        <v>18</v>
      </c>
      <c r="C461" s="1" cm="1">
        <f t="array" ref="C461:G461">C452:G452+C460*C459:G459</f>
        <v>-1.1255446475221627</v>
      </c>
      <c r="D461" s="1">
        <v>1.932839803244796</v>
      </c>
      <c r="E461" s="1">
        <v>0.39755576100247675</v>
      </c>
      <c r="F461" s="1">
        <v>-0.67495963324614916</v>
      </c>
      <c r="G461" s="1">
        <v>-0.12015141849330371</v>
      </c>
    </row>
    <row r="462" spans="1:10" x14ac:dyDescent="0.25">
      <c r="A462" s="1">
        <v>52</v>
      </c>
      <c r="B462" t="s">
        <v>19</v>
      </c>
      <c r="C462" s="1">
        <f t="shared" ref="C462" si="1000">2*C461-F461*(D461^2)-2*G461*C461</f>
        <v>3.7894818938344343E-7</v>
      </c>
      <c r="D462" s="1">
        <f t="shared" ref="D462" si="1001">2*D461-2*F461*C461*D461+4*G461*D461</f>
        <v>-1.526183165401207E-7</v>
      </c>
      <c r="E462" s="1">
        <f t="shared" ref="E462" si="1002">4*E461+2*F461+2*G461</f>
        <v>9.4053100124780187E-7</v>
      </c>
      <c r="F462" s="1">
        <f t="shared" ref="F462" si="1003">C461*(D461^2)-2*E461+5</f>
        <v>3.2768378765979378E-7</v>
      </c>
      <c r="G462" s="1">
        <f t="shared" ref="G462" si="1004">C461^2-2*(D461^2)-2*E461+7</f>
        <v>-1.7845392719095798E-7</v>
      </c>
      <c r="J462" s="1">
        <f t="shared" ref="J462" si="1005">0.5*(C462*C462+D462*D462+E462*E462+F462*F462+G462*G462)</f>
        <v>5.9535755695683391E-13</v>
      </c>
    </row>
    <row r="463" spans="1:10" x14ac:dyDescent="0.25">
      <c r="C463" s="5">
        <f t="shared" ref="C463" si="1006">2-2*G461</f>
        <v>2.2403028369866074</v>
      </c>
      <c r="D463" s="6">
        <f t="shared" ref="D463" si="1007">-2*F461*D461</f>
        <v>2.6091776894433334</v>
      </c>
      <c r="E463" s="6">
        <f>0</f>
        <v>0</v>
      </c>
      <c r="F463" s="6">
        <f t="shared" ref="F463" si="1008">-(D461^2)</f>
        <v>-3.7358697050073815</v>
      </c>
      <c r="G463" s="7">
        <f t="shared" ref="G463" si="1009">-2*C461</f>
        <v>2.2510892950443253</v>
      </c>
    </row>
    <row r="464" spans="1:10" x14ac:dyDescent="0.25">
      <c r="C464" s="8">
        <f t="shared" ref="C464" si="1010">-2*F461*D461</f>
        <v>2.6091776894433334</v>
      </c>
      <c r="D464" s="1">
        <f t="shared" ref="D464" si="1011">2-2*F461*C461+4*G461</f>
        <v>-7.8960665228500204E-8</v>
      </c>
      <c r="E464" s="1">
        <f>0</f>
        <v>0</v>
      </c>
      <c r="F464" s="1">
        <f t="shared" ref="F464" si="1012">-2*C461*D461</f>
        <v>4.3509949901199398</v>
      </c>
      <c r="G464" s="9">
        <f t="shared" ref="G464" si="1013">4*D461</f>
        <v>7.7313592129791839</v>
      </c>
    </row>
    <row r="465" spans="1:10" x14ac:dyDescent="0.25">
      <c r="B465" t="s">
        <v>20</v>
      </c>
      <c r="C465" s="8">
        <f>0</f>
        <v>0</v>
      </c>
      <c r="D465" s="1">
        <f>0</f>
        <v>0</v>
      </c>
      <c r="E465" s="1">
        <f>4</f>
        <v>4</v>
      </c>
      <c r="F465" s="1">
        <f>2</f>
        <v>2</v>
      </c>
      <c r="G465" s="9">
        <f>2</f>
        <v>2</v>
      </c>
    </row>
    <row r="466" spans="1:10" x14ac:dyDescent="0.25">
      <c r="C466" s="8">
        <f t="shared" ref="C466" si="1014">(D461^2)</f>
        <v>3.7358697050073815</v>
      </c>
      <c r="D466" s="1">
        <f t="shared" ref="D466" si="1015">2*C461*D461</f>
        <v>-4.3509949901199398</v>
      </c>
      <c r="E466" s="1">
        <f t="shared" ref="E466:E467" si="1016">-2</f>
        <v>-2</v>
      </c>
      <c r="F466" s="1">
        <f>0</f>
        <v>0</v>
      </c>
      <c r="G466" s="9">
        <f>0</f>
        <v>0</v>
      </c>
    </row>
    <row r="467" spans="1:10" x14ac:dyDescent="0.25">
      <c r="C467" s="10">
        <f t="shared" ref="C467" si="1017">2*C461</f>
        <v>-2.2510892950443253</v>
      </c>
      <c r="D467" s="11">
        <f t="shared" ref="D467" si="1018">-4*D461</f>
        <v>-7.7313592129791839</v>
      </c>
      <c r="E467" s="11">
        <f t="shared" si="1016"/>
        <v>-2</v>
      </c>
      <c r="F467" s="11">
        <f>0</f>
        <v>0</v>
      </c>
      <c r="G467" s="12">
        <f>0</f>
        <v>0</v>
      </c>
    </row>
    <row r="468" spans="1:10" x14ac:dyDescent="0.25">
      <c r="B468" t="s">
        <v>21</v>
      </c>
      <c r="C468" s="1" cm="1">
        <f t="array" ref="C468:G468">-MMULT(C462:G462,C463:G467)</f>
        <v>-2.0766500575282635E-6</v>
      </c>
      <c r="D468" s="1">
        <v>-9.4268406887391217E-7</v>
      </c>
      <c r="E468" s="1">
        <v>-3.4636642840535359E-6</v>
      </c>
      <c r="F468" s="1">
        <v>1.9868058865600647E-7</v>
      </c>
      <c r="G468" s="1">
        <v>-1.5541611873412673E-6</v>
      </c>
    </row>
    <row r="469" spans="1:10" x14ac:dyDescent="0.25">
      <c r="B469" t="s">
        <v>13</v>
      </c>
      <c r="C469" s="1">
        <f t="shared" ref="C469" si="1019">J462/SUMPRODUCT(_xlfn.ANCHORARRAY(C468),_xlfn.ANCHORARRAY(C468))</f>
        <v>3.0293485019786397E-2</v>
      </c>
    </row>
    <row r="470" spans="1:10" x14ac:dyDescent="0.25">
      <c r="A470" s="1" t="s">
        <v>4</v>
      </c>
      <c r="B470" t="s">
        <v>18</v>
      </c>
      <c r="C470" s="1" cm="1">
        <f t="array" ref="C470:G470">C461:G461+C469*C468:G468</f>
        <v>-1.12554471043113</v>
      </c>
      <c r="D470" s="1">
        <v>1.9328397746876103</v>
      </c>
      <c r="E470" s="1">
        <v>0.39755565607601462</v>
      </c>
      <c r="F470" s="1">
        <v>-0.67495962722742175</v>
      </c>
      <c r="G470" s="1">
        <v>-0.12015146557426236</v>
      </c>
    </row>
    <row r="471" spans="1:10" x14ac:dyDescent="0.25">
      <c r="A471" s="1">
        <v>53</v>
      </c>
      <c r="B471" t="s">
        <v>19</v>
      </c>
      <c r="C471" s="1">
        <f t="shared" ref="C471" si="1020">2*C470-F470*(D470^2)-2*G470*C470</f>
        <v>3.5033651646365627E-8</v>
      </c>
      <c r="D471" s="1">
        <f t="shared" ref="D471" si="1021">2*D470-2*F470*C470*D470+4*G470*D470</f>
        <v>-6.5457133036073145E-7</v>
      </c>
      <c r="E471" s="1">
        <f t="shared" ref="E471" si="1022">4*E470+2*F470+2*G470</f>
        <v>4.3870069024731784E-7</v>
      </c>
      <c r="F471" s="1">
        <f t="shared" ref="F471" si="1023">C470*(D470^2)-2*E470+5</f>
        <v>4.2676918443618206E-7</v>
      </c>
      <c r="G471" s="1">
        <f t="shared" ref="G471" si="1024">C470^2-2*(D470^2)-2*E470+7</f>
        <v>3.9379856353605192E-7</v>
      </c>
      <c r="J471" s="1">
        <f t="shared" ref="J471" si="1025">0.5*(C471*C471+D471*D471+E471*E471+F471*F471+G471*G471)</f>
        <v>4.7967926216437592E-13</v>
      </c>
    </row>
    <row r="472" spans="1:10" x14ac:dyDescent="0.25">
      <c r="C472" s="5">
        <f t="shared" ref="C472" si="1026">2-2*G470</f>
        <v>2.2403029311485247</v>
      </c>
      <c r="D472" s="6">
        <f t="shared" ref="D472" si="1027">-2*F470*D470</f>
        <v>2.6091776276269667</v>
      </c>
      <c r="E472" s="6">
        <f>0</f>
        <v>0</v>
      </c>
      <c r="F472" s="6">
        <f t="shared" ref="F472" si="1028">-(D470^2)</f>
        <v>-3.735869594614452</v>
      </c>
      <c r="G472" s="7">
        <f t="shared" ref="G472" si="1029">-2*C470</f>
        <v>2.25108942086226</v>
      </c>
    </row>
    <row r="473" spans="1:10" x14ac:dyDescent="0.25">
      <c r="C473" s="8">
        <f t="shared" ref="C473" si="1030">-2*F470*D470</f>
        <v>2.6091776276269667</v>
      </c>
      <c r="D473" s="1">
        <f t="shared" ref="D473" si="1031">2-2*F470*C470+4*G470</f>
        <v>-3.3865783327646781E-7</v>
      </c>
      <c r="E473" s="1">
        <f>0</f>
        <v>0</v>
      </c>
      <c r="F473" s="1">
        <f t="shared" ref="F473" si="1032">-2*C470*D470</f>
        <v>4.3509951690210737</v>
      </c>
      <c r="G473" s="9">
        <f t="shared" ref="G473" si="1033">4*D470</f>
        <v>7.731359098750441</v>
      </c>
    </row>
    <row r="474" spans="1:10" x14ac:dyDescent="0.25">
      <c r="B474" t="s">
        <v>20</v>
      </c>
      <c r="C474" s="8">
        <f>0</f>
        <v>0</v>
      </c>
      <c r="D474" s="1">
        <f>0</f>
        <v>0</v>
      </c>
      <c r="E474" s="1">
        <f>4</f>
        <v>4</v>
      </c>
      <c r="F474" s="1">
        <f>2</f>
        <v>2</v>
      </c>
      <c r="G474" s="9">
        <f>2</f>
        <v>2</v>
      </c>
    </row>
    <row r="475" spans="1:10" x14ac:dyDescent="0.25">
      <c r="C475" s="8">
        <f t="shared" ref="C475" si="1034">(D470^2)</f>
        <v>3.735869594614452</v>
      </c>
      <c r="D475" s="1">
        <f t="shared" ref="D475" si="1035">2*C470*D470</f>
        <v>-4.3509951690210737</v>
      </c>
      <c r="E475" s="1">
        <f t="shared" ref="E475:E476" si="1036">-2</f>
        <v>-2</v>
      </c>
      <c r="F475" s="1">
        <f>0</f>
        <v>0</v>
      </c>
      <c r="G475" s="9">
        <f>0</f>
        <v>0</v>
      </c>
    </row>
    <row r="476" spans="1:10" x14ac:dyDescent="0.25">
      <c r="C476" s="10">
        <f t="shared" ref="C476" si="1037">2*C470</f>
        <v>-2.25108942086226</v>
      </c>
      <c r="D476" s="11">
        <f t="shared" ref="D476" si="1038">-4*D470</f>
        <v>-7.731359098750441</v>
      </c>
      <c r="E476" s="11">
        <f t="shared" si="1036"/>
        <v>-2</v>
      </c>
      <c r="F476" s="11">
        <f>0</f>
        <v>0</v>
      </c>
      <c r="G476" s="12">
        <f>0</f>
        <v>0</v>
      </c>
    </row>
    <row r="477" spans="1:10" x14ac:dyDescent="0.25">
      <c r="B477" t="s">
        <v>21</v>
      </c>
      <c r="C477" s="1" cm="1">
        <f t="array" ref="C477:G477">-MMULT(C471:G471,C472:G476)</f>
        <v>9.2152863866427267E-7</v>
      </c>
      <c r="D477" s="1">
        <v>4.8100595252727179E-6</v>
      </c>
      <c r="E477" s="1">
        <v>-1.136672650448034E-7</v>
      </c>
      <c r="F477" s="1">
        <v>2.1015164696585762E-6</v>
      </c>
      <c r="G477" s="1">
        <v>4.1044607476756785E-6</v>
      </c>
    </row>
    <row r="478" spans="1:10" x14ac:dyDescent="0.25">
      <c r="B478" t="s">
        <v>13</v>
      </c>
      <c r="C478" s="1">
        <f t="shared" ref="C478" si="1039">J471/SUMPRODUCT(_xlfn.ANCHORARRAY(C477),_xlfn.ANCHORARRAY(C477))</f>
        <v>1.0597888318514839E-2</v>
      </c>
    </row>
    <row r="479" spans="1:10" x14ac:dyDescent="0.25">
      <c r="A479" s="1" t="s">
        <v>4</v>
      </c>
      <c r="B479" t="s">
        <v>18</v>
      </c>
      <c r="C479" s="1" cm="1">
        <f t="array" ref="C479:G479">C470:G470+C478*C477:G477</f>
        <v>-1.1255447006648724</v>
      </c>
      <c r="D479" s="1">
        <v>1.932839825664084</v>
      </c>
      <c r="E479" s="1">
        <v>0.39755565487138161</v>
      </c>
      <c r="F479" s="1">
        <v>-0.67495960495578489</v>
      </c>
      <c r="G479" s="1">
        <v>-0.12015142207564575</v>
      </c>
    </row>
    <row r="480" spans="1:10" x14ac:dyDescent="0.25">
      <c r="A480" s="1">
        <v>54</v>
      </c>
      <c r="B480" t="s">
        <v>19</v>
      </c>
      <c r="C480" s="1">
        <f t="shared" ref="C480" si="1040">2*C479-F479*(D479^2)-2*G479*C479</f>
        <v>2.046350430218169E-7</v>
      </c>
      <c r="D480" s="1">
        <f t="shared" ref="D480" si="1041">2*D479-2*F479*C479*D479+4*G479*D479</f>
        <v>-1.9588222566202518E-7</v>
      </c>
      <c r="E480" s="1">
        <f t="shared" ref="E480" si="1042">4*E479+2*F479+2*G479</f>
        <v>5.65422665188553E-7</v>
      </c>
      <c r="F480" s="1">
        <f t="shared" ref="F480" si="1043">C479*(D479^2)-2*E479+5</f>
        <v>2.4386552333055533E-7</v>
      </c>
      <c r="G480" s="1">
        <f t="shared" ref="G480" si="1044">C479^2-2*(D479^2)-2*E479+7</f>
        <v>-1.9894319081004141E-8</v>
      </c>
      <c r="J480" s="1">
        <f t="shared" ref="J480" si="1045">0.5*(C480*C480+D480*D480+E480*E480+F480*F480+G480*G480)</f>
        <v>2.299071574363792E-13</v>
      </c>
    </row>
    <row r="481" spans="1:10" x14ac:dyDescent="0.25">
      <c r="C481" s="5">
        <f t="shared" ref="C481" si="1046">2-2*G479</f>
        <v>2.2403028441512913</v>
      </c>
      <c r="D481" s="6">
        <f t="shared" ref="D481" si="1047">-2*F479*D479</f>
        <v>2.6091776103460766</v>
      </c>
      <c r="E481" s="6">
        <f>0</f>
        <v>0</v>
      </c>
      <c r="F481" s="6">
        <f t="shared" ref="F481" si="1048">-(D479^2)</f>
        <v>-3.7358697916731667</v>
      </c>
      <c r="G481" s="7">
        <f t="shared" ref="G481" si="1049">-2*C479</f>
        <v>2.2510894013297449</v>
      </c>
    </row>
    <row r="482" spans="1:10" x14ac:dyDescent="0.25">
      <c r="C482" s="8">
        <f t="shared" ref="C482" si="1050">-2*F479*D479</f>
        <v>2.6091776103460766</v>
      </c>
      <c r="D482" s="1">
        <f t="shared" ref="D482" si="1051">2-2*F479*C479+4*G479</f>
        <v>-1.0134426198238344E-7</v>
      </c>
      <c r="E482" s="1">
        <f>0</f>
        <v>0</v>
      </c>
      <c r="F482" s="1">
        <f t="shared" ref="F482" si="1052">-2*C479*D479</f>
        <v>4.3509952460204513</v>
      </c>
      <c r="G482" s="9">
        <f t="shared" ref="G482" si="1053">4*D479</f>
        <v>7.7313593026563359</v>
      </c>
    </row>
    <row r="483" spans="1:10" x14ac:dyDescent="0.25">
      <c r="B483" t="s">
        <v>20</v>
      </c>
      <c r="C483" s="8">
        <f>0</f>
        <v>0</v>
      </c>
      <c r="D483" s="1">
        <f>0</f>
        <v>0</v>
      </c>
      <c r="E483" s="1">
        <f>4</f>
        <v>4</v>
      </c>
      <c r="F483" s="1">
        <f>2</f>
        <v>2</v>
      </c>
      <c r="G483" s="9">
        <f>2</f>
        <v>2</v>
      </c>
    </row>
    <row r="484" spans="1:10" x14ac:dyDescent="0.25">
      <c r="C484" s="8">
        <f t="shared" ref="C484" si="1054">(D479^2)</f>
        <v>3.7358697916731667</v>
      </c>
      <c r="D484" s="1">
        <f t="shared" ref="D484" si="1055">2*C479*D479</f>
        <v>-4.3509952460204513</v>
      </c>
      <c r="E484" s="1">
        <f t="shared" ref="E484:E485" si="1056">-2</f>
        <v>-2</v>
      </c>
      <c r="F484" s="1">
        <f>0</f>
        <v>0</v>
      </c>
      <c r="G484" s="9">
        <f>0</f>
        <v>0</v>
      </c>
    </row>
    <row r="485" spans="1:10" x14ac:dyDescent="0.25">
      <c r="C485" s="10">
        <f t="shared" ref="C485" si="1057">2*C479</f>
        <v>-2.2510894013297449</v>
      </c>
      <c r="D485" s="11">
        <f t="shared" ref="D485" si="1058">-4*D479</f>
        <v>-7.7313593026563359</v>
      </c>
      <c r="E485" s="11">
        <f t="shared" si="1056"/>
        <v>-2</v>
      </c>
      <c r="F485" s="11">
        <f>0</f>
        <v>0</v>
      </c>
      <c r="G485" s="12">
        <f>0</f>
        <v>0</v>
      </c>
    </row>
    <row r="486" spans="1:10" x14ac:dyDescent="0.25">
      <c r="B486" t="s">
        <v>21</v>
      </c>
      <c r="C486" s="1" cm="1">
        <f t="array" ref="C486:G486">-MMULT(C480:G480,C481:G485)</f>
        <v>-9.0318668410379454E-7</v>
      </c>
      <c r="D486" s="1">
        <v>3.7331841138633042E-7</v>
      </c>
      <c r="E486" s="1">
        <v>-1.8137482522551096E-6</v>
      </c>
      <c r="F486" s="1">
        <v>4.8592717780121533E-7</v>
      </c>
      <c r="G486" s="1">
        <v>-7.7061239267048284E-8</v>
      </c>
    </row>
    <row r="487" spans="1:10" x14ac:dyDescent="0.25">
      <c r="B487" t="s">
        <v>13</v>
      </c>
      <c r="C487" s="1">
        <f t="shared" ref="C487" si="1059">J480/SUMPRODUCT(_xlfn.ANCHORARRAY(C486),_xlfn.ANCHORARRAY(C486))</f>
        <v>5.1240109638121076E-2</v>
      </c>
    </row>
    <row r="488" spans="1:10" x14ac:dyDescent="0.25">
      <c r="A488" s="1" t="s">
        <v>4</v>
      </c>
      <c r="B488" t="s">
        <v>18</v>
      </c>
      <c r="C488" s="1" cm="1">
        <f t="array" ref="C488:G488">C479:G479+C487*C486:G486</f>
        <v>-1.1255447469442572</v>
      </c>
      <c r="D488" s="1">
        <v>1.9328398447929602</v>
      </c>
      <c r="E488" s="1">
        <v>0.3975555619347223</v>
      </c>
      <c r="F488" s="1">
        <v>-0.67495958005682299</v>
      </c>
      <c r="G488" s="1">
        <v>-0.12015142602427209</v>
      </c>
    </row>
    <row r="489" spans="1:10" x14ac:dyDescent="0.25">
      <c r="A489" s="1">
        <v>55</v>
      </c>
      <c r="B489" t="s">
        <v>19</v>
      </c>
      <c r="C489" s="1">
        <f t="shared" ref="C489" si="1060">2*C488-F488*(D488^2)-2*G488*C488</f>
        <v>4.8957848886033162E-8</v>
      </c>
      <c r="D489" s="1">
        <f t="shared" ref="D489" si="1061">2*D488-2*F488*C488*D488+4*G488*D488</f>
        <v>-2.3882634225813604E-7</v>
      </c>
      <c r="E489" s="1">
        <f t="shared" ref="E489" si="1062">4*E488+2*F488+2*G488</f>
        <v>2.3557669903695455E-7</v>
      </c>
      <c r="F489" s="1">
        <f t="shared" ref="F489" si="1063">C488*(D488^2)-2*E488+5</f>
        <v>1.7361543225291598E-7</v>
      </c>
      <c r="G489" s="1">
        <f t="shared" ref="G489" si="1064">C488^2-2*(D488^2)-2*E488+7</f>
        <v>1.2226581791452418E-7</v>
      </c>
      <c r="J489" s="1">
        <f t="shared" ref="J489" si="1065">0.5*(C489*C489+D489*D489+E489*E489+F489*F489+G489*G489)</f>
        <v>8.0011261199885146E-14</v>
      </c>
    </row>
    <row r="490" spans="1:10" x14ac:dyDescent="0.25">
      <c r="C490" s="5">
        <f t="shared" ref="C490" si="1066">2-2*G488</f>
        <v>2.2403028520485444</v>
      </c>
      <c r="D490" s="6">
        <f t="shared" ref="D490" si="1067">-2*F488*D488</f>
        <v>2.6091775399171029</v>
      </c>
      <c r="E490" s="6">
        <f>0</f>
        <v>0</v>
      </c>
      <c r="F490" s="6">
        <f t="shared" ref="F490" si="1068">-(D488^2)</f>
        <v>-3.7358698656192746</v>
      </c>
      <c r="G490" s="7">
        <f t="shared" ref="G490" si="1069">-2*C488</f>
        <v>2.2510894938885144</v>
      </c>
    </row>
    <row r="491" spans="1:10" x14ac:dyDescent="0.25">
      <c r="C491" s="8">
        <f t="shared" ref="C491" si="1070">-2*F488*D488</f>
        <v>2.6091775399171029</v>
      </c>
      <c r="D491" s="1">
        <f t="shared" ref="D491" si="1071">2-2*F488*C488+4*G488</f>
        <v>-1.2356240630673199E-7</v>
      </c>
      <c r="E491" s="1">
        <f>0</f>
        <v>0</v>
      </c>
      <c r="F491" s="1">
        <f t="shared" ref="F491" si="1072">-2*C488*D488</f>
        <v>4.35099546798254</v>
      </c>
      <c r="G491" s="9">
        <f t="shared" ref="G491" si="1073">4*D488</f>
        <v>7.7313593791718409</v>
      </c>
    </row>
    <row r="492" spans="1:10" x14ac:dyDescent="0.25">
      <c r="B492" t="s">
        <v>20</v>
      </c>
      <c r="C492" s="8">
        <f>0</f>
        <v>0</v>
      </c>
      <c r="D492" s="1">
        <f>0</f>
        <v>0</v>
      </c>
      <c r="E492" s="1">
        <f>4</f>
        <v>4</v>
      </c>
      <c r="F492" s="1">
        <f>2</f>
        <v>2</v>
      </c>
      <c r="G492" s="9">
        <f>2</f>
        <v>2</v>
      </c>
    </row>
    <row r="493" spans="1:10" x14ac:dyDescent="0.25">
      <c r="C493" s="8">
        <f t="shared" ref="C493" si="1074">(D488^2)</f>
        <v>3.7358698656192746</v>
      </c>
      <c r="D493" s="1">
        <f t="shared" ref="D493" si="1075">2*C488*D488</f>
        <v>-4.35099546798254</v>
      </c>
      <c r="E493" s="1">
        <f t="shared" ref="E493:E494" si="1076">-2</f>
        <v>-2</v>
      </c>
      <c r="F493" s="1">
        <f>0</f>
        <v>0</v>
      </c>
      <c r="G493" s="9">
        <f>0</f>
        <v>0</v>
      </c>
    </row>
    <row r="494" spans="1:10" x14ac:dyDescent="0.25">
      <c r="C494" s="10">
        <f t="shared" ref="C494" si="1077">2*C488</f>
        <v>-2.2510894938885144</v>
      </c>
      <c r="D494" s="11">
        <f t="shared" ref="D494" si="1078">-4*D488</f>
        <v>-7.7313593791718409</v>
      </c>
      <c r="E494" s="11">
        <f t="shared" si="1076"/>
        <v>-2</v>
      </c>
      <c r="F494" s="11">
        <f>0</f>
        <v>0</v>
      </c>
      <c r="G494" s="12">
        <f>0</f>
        <v>0</v>
      </c>
    </row>
    <row r="495" spans="1:10" x14ac:dyDescent="0.25">
      <c r="B495" t="s">
        <v>21</v>
      </c>
      <c r="C495" s="1" cm="1">
        <f t="array" ref="C495:G495">-MMULT(C489:G489,C490:G494)</f>
        <v>1.4008655627987962E-7</v>
      </c>
      <c r="D495" s="1">
        <v>1.5729411877637893E-6</v>
      </c>
      <c r="E495" s="1">
        <v>-3.5054429581293789E-7</v>
      </c>
      <c r="F495" s="1">
        <v>7.5087908706496121E-7</v>
      </c>
      <c r="G495" s="1">
        <v>1.2650903838661042E-6</v>
      </c>
    </row>
    <row r="496" spans="1:10" x14ac:dyDescent="0.25">
      <c r="B496" t="s">
        <v>13</v>
      </c>
      <c r="C496" s="1">
        <f t="shared" ref="C496" si="1079">J489/SUMPRODUCT(_xlfn.ANCHORARRAY(C495),_xlfn.ANCHORARRAY(C495))</f>
        <v>1.6735527373143513E-2</v>
      </c>
    </row>
    <row r="497" spans="1:10" x14ac:dyDescent="0.25">
      <c r="A497" s="1" t="s">
        <v>4</v>
      </c>
      <c r="B497" t="s">
        <v>18</v>
      </c>
      <c r="C497" s="1" cm="1">
        <f t="array" ref="C497:G497">C488:G488+C496*C495:G495</f>
        <v>-1.1255447445998348</v>
      </c>
      <c r="D497" s="1">
        <v>1.9328398711169605</v>
      </c>
      <c r="E497" s="1">
        <v>0.39755555606817866</v>
      </c>
      <c r="F497" s="1">
        <v>-0.67495956749046548</v>
      </c>
      <c r="G497" s="1">
        <v>-0.12015140485231735</v>
      </c>
    </row>
    <row r="498" spans="1:10" x14ac:dyDescent="0.25">
      <c r="A498" s="1">
        <v>56</v>
      </c>
      <c r="B498" t="s">
        <v>19</v>
      </c>
      <c r="C498" s="1">
        <f t="shared" ref="C498" si="1080">2*C497-F497*(D497^2)-2*G497*C497</f>
        <v>1.2360774331865443E-7</v>
      </c>
      <c r="D498" s="1">
        <f t="shared" ref="D498" si="1081">2*D497-2*F497*C497*D497+4*G497*D497</f>
        <v>-1.4345172383301019E-8</v>
      </c>
      <c r="E498" s="1">
        <f t="shared" ref="E498" si="1082">4*E497+2*F497+2*G497</f>
        <v>2.7958714898801418E-7</v>
      </c>
      <c r="F498" s="1">
        <f t="shared" ref="F498" si="1083">C497*(D497^2)-2*E497+5</f>
        <v>7.957137082570398E-8</v>
      </c>
      <c r="G498" s="1">
        <f t="shared" ref="G498" si="1084">C497^2-2*(D497^2)-2*E497+7</f>
        <v>-7.4798907512274582E-8</v>
      </c>
      <c r="J498" s="1">
        <f t="shared" ref="J498" si="1085">0.5*(C498*C498+D498*D498+E498*E498+F498*F498+G498*G498)</f>
        <v>5.2790055839197266E-14</v>
      </c>
    </row>
    <row r="499" spans="1:10" x14ac:dyDescent="0.25">
      <c r="C499" s="5">
        <f t="shared" ref="C499" si="1086">2-2*G497</f>
        <v>2.2403028097046347</v>
      </c>
      <c r="D499" s="6">
        <f t="shared" ref="D499" si="1087">-2*F497*D497</f>
        <v>2.6091775268748614</v>
      </c>
      <c r="E499" s="6">
        <f>0</f>
        <v>0</v>
      </c>
      <c r="F499" s="6">
        <f t="shared" ref="F499" si="1088">-(D497^2)</f>
        <v>-3.7358699673794287</v>
      </c>
      <c r="G499" s="7">
        <f t="shared" ref="G499" si="1089">-2*C497</f>
        <v>2.2510894891996696</v>
      </c>
    </row>
    <row r="500" spans="1:10" x14ac:dyDescent="0.25">
      <c r="C500" s="8">
        <f t="shared" ref="C500" si="1090">-2*F497*D497</f>
        <v>2.6091775268748614</v>
      </c>
      <c r="D500" s="1">
        <f t="shared" ref="D500" si="1091">2-2*F497*C497+4*G497</f>
        <v>-7.4218111656421115E-9</v>
      </c>
      <c r="E500" s="1">
        <f>0</f>
        <v>0</v>
      </c>
      <c r="F500" s="1">
        <f t="shared" ref="F500" si="1092">-2*C497*D497</f>
        <v>4.3509955181774336</v>
      </c>
      <c r="G500" s="9">
        <f t="shared" ref="G500" si="1093">4*D497</f>
        <v>7.7313594844678422</v>
      </c>
    </row>
    <row r="501" spans="1:10" x14ac:dyDescent="0.25">
      <c r="B501" t="s">
        <v>20</v>
      </c>
      <c r="C501" s="8">
        <f>0</f>
        <v>0</v>
      </c>
      <c r="D501" s="1">
        <f>0</f>
        <v>0</v>
      </c>
      <c r="E501" s="1">
        <f>4</f>
        <v>4</v>
      </c>
      <c r="F501" s="1">
        <f>2</f>
        <v>2</v>
      </c>
      <c r="G501" s="9">
        <f>2</f>
        <v>2</v>
      </c>
    </row>
    <row r="502" spans="1:10" x14ac:dyDescent="0.25">
      <c r="C502" s="8">
        <f t="shared" ref="C502" si="1094">(D497^2)</f>
        <v>3.7358699673794287</v>
      </c>
      <c r="D502" s="1">
        <f t="shared" ref="D502" si="1095">2*C497*D497</f>
        <v>-4.3509955181774336</v>
      </c>
      <c r="E502" s="1">
        <f t="shared" ref="E502:E503" si="1096">-2</f>
        <v>-2</v>
      </c>
      <c r="F502" s="1">
        <f>0</f>
        <v>0</v>
      </c>
      <c r="G502" s="9">
        <f>0</f>
        <v>0</v>
      </c>
    </row>
    <row r="503" spans="1:10" x14ac:dyDescent="0.25">
      <c r="C503" s="10">
        <f t="shared" ref="C503" si="1097">2*C497</f>
        <v>-2.2510894891996696</v>
      </c>
      <c r="D503" s="11">
        <f t="shared" ref="D503" si="1098">-4*D497</f>
        <v>-7.7313594844678422</v>
      </c>
      <c r="E503" s="11">
        <f t="shared" si="1096"/>
        <v>-2</v>
      </c>
      <c r="F503" s="11">
        <f>0</f>
        <v>0</v>
      </c>
      <c r="G503" s="12">
        <f>0</f>
        <v>0</v>
      </c>
    </row>
    <row r="504" spans="1:10" x14ac:dyDescent="0.25">
      <c r="B504" t="s">
        <v>21</v>
      </c>
      <c r="C504" s="1" cm="1">
        <f t="array" ref="C504:G504">-MMULT(C498:G498,C499:G503)</f>
        <v>-7.0513700229183451E-7</v>
      </c>
      <c r="D504" s="1">
        <v>-5.5459711130620109E-7</v>
      </c>
      <c r="E504" s="1">
        <v>-1.1088036693251979E-6</v>
      </c>
      <c r="F504" s="1">
        <v>-3.4976061229096648E-8</v>
      </c>
      <c r="G504" s="1">
        <v>-7.2651870518238158E-7</v>
      </c>
    </row>
    <row r="505" spans="1:10" x14ac:dyDescent="0.25">
      <c r="B505" t="s">
        <v>13</v>
      </c>
      <c r="C505" s="1">
        <f t="shared" ref="C505" si="1099">J498/SUMPRODUCT(_xlfn.ANCHORARRAY(C504),_xlfn.ANCHORARRAY(C504))</f>
        <v>2.0594612236489424E-2</v>
      </c>
    </row>
    <row r="506" spans="1:10" x14ac:dyDescent="0.25">
      <c r="A506" s="1" t="s">
        <v>4</v>
      </c>
      <c r="B506" t="s">
        <v>18</v>
      </c>
      <c r="C506" s="1" cm="1">
        <f t="array" ref="C506:G506">C497:G497+C505*C504:G504</f>
        <v>-1.1255447591218579</v>
      </c>
      <c r="D506" s="1">
        <v>1.9328398596952481</v>
      </c>
      <c r="E506" s="1">
        <v>0.39755553323279702</v>
      </c>
      <c r="F506" s="1">
        <v>-0.67495956821078396</v>
      </c>
      <c r="G506" s="1">
        <v>-0.12015141981468837</v>
      </c>
    </row>
    <row r="507" spans="1:10" x14ac:dyDescent="0.25">
      <c r="A507" s="1">
        <v>57</v>
      </c>
      <c r="B507" t="s">
        <v>19</v>
      </c>
      <c r="C507" s="1">
        <f t="shared" ref="C507" si="1100">2*C506-F506*(D506^2)-2*G506*C506</f>
        <v>3.028211814637416E-8</v>
      </c>
      <c r="D507" s="1">
        <f t="shared" ref="D507" si="1101">2*D506-2*F506*C506*D506+4*G506*D506</f>
        <v>-1.7104927962918737E-7</v>
      </c>
      <c r="E507" s="1">
        <f t="shared" ref="E507" si="1102">4*E506+2*F506+2*G506</f>
        <v>1.5688024343485374E-7</v>
      </c>
      <c r="F507" s="1">
        <f t="shared" ref="F507" si="1103">C506*(D506^2)-2*E506+5</f>
        <v>1.2068556376476636E-7</v>
      </c>
      <c r="G507" s="1">
        <f t="shared" ref="G507" si="1104">C506^2-2*(D506^2)-2*E506+7</f>
        <v>9.1867594420591558E-8</v>
      </c>
      <c r="J507" s="1">
        <f t="shared" ref="J507" si="1105">0.5*(C507*C507+D507*D507+E507*E507+F507*F507+G507*G507)</f>
        <v>3.8895466863559829E-14</v>
      </c>
    </row>
    <row r="508" spans="1:10" x14ac:dyDescent="0.25">
      <c r="C508" s="5">
        <f t="shared" ref="C508" si="1106">2-2*G506</f>
        <v>2.2403028396293769</v>
      </c>
      <c r="D508" s="6">
        <f t="shared" ref="D508" si="1107">-2*F506*D506</f>
        <v>2.6091775142409936</v>
      </c>
      <c r="E508" s="6">
        <f>0</f>
        <v>0</v>
      </c>
      <c r="F508" s="6">
        <f t="shared" ref="F508" si="1108">-(D506^2)</f>
        <v>-3.7358699232267463</v>
      </c>
      <c r="G508" s="7">
        <f t="shared" ref="G508" si="1109">-2*C506</f>
        <v>2.2510895182437158</v>
      </c>
    </row>
    <row r="509" spans="1:10" x14ac:dyDescent="0.25">
      <c r="C509" s="8">
        <f t="shared" ref="C509" si="1110">-2*F506*D506</f>
        <v>2.6091775142409936</v>
      </c>
      <c r="D509" s="1">
        <f t="shared" ref="D509" si="1111">2-2*F506*C506+4*G506</f>
        <v>-8.8496353634059943E-8</v>
      </c>
      <c r="E509" s="1">
        <f>0</f>
        <v>0</v>
      </c>
      <c r="F509" s="1">
        <f t="shared" ref="F509" si="1112">-2*C506*D506</f>
        <v>4.3509955486036276</v>
      </c>
      <c r="G509" s="9">
        <f t="shared" ref="G509" si="1113">4*D506</f>
        <v>7.7313594387809923</v>
      </c>
    </row>
    <row r="510" spans="1:10" x14ac:dyDescent="0.25">
      <c r="B510" t="s">
        <v>20</v>
      </c>
      <c r="C510" s="8">
        <f>0</f>
        <v>0</v>
      </c>
      <c r="D510" s="1">
        <f>0</f>
        <v>0</v>
      </c>
      <c r="E510" s="1">
        <f>4</f>
        <v>4</v>
      </c>
      <c r="F510" s="1">
        <f>2</f>
        <v>2</v>
      </c>
      <c r="G510" s="9">
        <f>2</f>
        <v>2</v>
      </c>
    </row>
    <row r="511" spans="1:10" x14ac:dyDescent="0.25">
      <c r="C511" s="8">
        <f t="shared" ref="C511" si="1114">(D506^2)</f>
        <v>3.7358699232267463</v>
      </c>
      <c r="D511" s="1">
        <f t="shared" ref="D511" si="1115">2*C506*D506</f>
        <v>-4.3509955486036276</v>
      </c>
      <c r="E511" s="1">
        <f t="shared" ref="E511:E512" si="1116">-2</f>
        <v>-2</v>
      </c>
      <c r="F511" s="1">
        <f>0</f>
        <v>0</v>
      </c>
      <c r="G511" s="9">
        <f>0</f>
        <v>0</v>
      </c>
    </row>
    <row r="512" spans="1:10" x14ac:dyDescent="0.25">
      <c r="C512" s="10">
        <f t="shared" ref="C512" si="1117">2*C506</f>
        <v>-2.2510895182437158</v>
      </c>
      <c r="D512" s="11">
        <f t="shared" ref="D512" si="1118">-4*D506</f>
        <v>-7.7313594387809923</v>
      </c>
      <c r="E512" s="11">
        <f t="shared" si="1116"/>
        <v>-2</v>
      </c>
      <c r="F512" s="11">
        <f>0</f>
        <v>0</v>
      </c>
      <c r="G512" s="12">
        <f>0</f>
        <v>0</v>
      </c>
    </row>
    <row r="513" spans="1:10" x14ac:dyDescent="0.25">
      <c r="B513" t="s">
        <v>21</v>
      </c>
      <c r="C513" s="1" cm="1">
        <f t="array" ref="C513:G513">-MMULT(C507:G507,C508:G512)</f>
        <v>1.3439342999228568E-7</v>
      </c>
      <c r="D513" s="1">
        <v>1.1563523070746161E-6</v>
      </c>
      <c r="E513" s="1">
        <v>-2.0241465736869912E-7</v>
      </c>
      <c r="F513" s="1">
        <v>5.4360422178338195E-7</v>
      </c>
      <c r="G513" s="1">
        <v>9.4051521693857886E-7</v>
      </c>
    </row>
    <row r="514" spans="1:10" x14ac:dyDescent="0.25">
      <c r="B514" t="s">
        <v>13</v>
      </c>
      <c r="C514" s="1">
        <f t="shared" ref="C514" si="1119">J507/SUMPRODUCT(_xlfn.ANCHORARRAY(C513),_xlfn.ANCHORARRAY(C513))</f>
        <v>1.5097657647152929E-2</v>
      </c>
    </row>
    <row r="515" spans="1:10" x14ac:dyDescent="0.25">
      <c r="A515" s="1" t="s">
        <v>4</v>
      </c>
      <c r="B515" t="s">
        <v>18</v>
      </c>
      <c r="C515" s="1" cm="1">
        <f t="array" ref="C515:G515">C506:G506+C514*C513:G513</f>
        <v>-1.1255447570928319</v>
      </c>
      <c r="D515" s="1">
        <v>1.9328398771534594</v>
      </c>
      <c r="E515" s="1">
        <v>0.39755553017680983</v>
      </c>
      <c r="F515" s="1">
        <v>-0.67495956000363355</v>
      </c>
      <c r="G515" s="1">
        <v>-0.12015140561511162</v>
      </c>
    </row>
    <row r="516" spans="1:10" x14ac:dyDescent="0.25">
      <c r="A516" s="1">
        <v>58</v>
      </c>
      <c r="B516" t="s">
        <v>19</v>
      </c>
      <c r="C516" s="1">
        <f t="shared" ref="C516" si="1120">2*C515-F515*(D515^2)-2*G515*C515</f>
        <v>8.1682994867993131E-8</v>
      </c>
      <c r="D516" s="1">
        <f t="shared" ref="D516" si="1121">2*D515-2*F515*C515*D515+4*G515*D515</f>
        <v>-2.0263884015214728E-8</v>
      </c>
      <c r="E516" s="1">
        <f t="shared" ref="E516" si="1122">4*E515+2*F515+2*G515</f>
        <v>1.8946974900124758E-7</v>
      </c>
      <c r="F516" s="1">
        <f t="shared" ref="F516" si="1123">C515*(D515^2)-2*E515+5</f>
        <v>5.8417116477471609E-8</v>
      </c>
      <c r="G516" s="1">
        <f t="shared" ref="G516" si="1124">C515^2-2*(D515^2)-2*E515+7</f>
        <v>-4.1563657404708465E-8</v>
      </c>
      <c r="J516" s="1">
        <f t="shared" ref="J516" si="1125">0.5*(C516*C516+D516*D516+E516*E516+F516*F516+G516*G516)</f>
        <v>2.4060809773490443E-14</v>
      </c>
    </row>
    <row r="517" spans="1:10" x14ac:dyDescent="0.25">
      <c r="C517" s="5">
        <f t="shared" ref="C517" si="1126">2-2*G515</f>
        <v>2.2403028112302232</v>
      </c>
      <c r="D517" s="6">
        <f t="shared" ref="D517" si="1127">-2*F515*D515</f>
        <v>2.6091775060819522</v>
      </c>
      <c r="E517" s="6">
        <f>0</f>
        <v>0</v>
      </c>
      <c r="F517" s="6">
        <f t="shared" ref="F517" si="1128">-(D515^2)</f>
        <v>-3.7358699907145998</v>
      </c>
      <c r="G517" s="7">
        <f t="shared" ref="G517" si="1129">-2*C515</f>
        <v>2.2510895141856637</v>
      </c>
    </row>
    <row r="518" spans="1:10" x14ac:dyDescent="0.25">
      <c r="C518" s="8">
        <f t="shared" ref="C518" si="1130">-2*F515*D515</f>
        <v>2.6091775060819522</v>
      </c>
      <c r="D518" s="1">
        <f t="shared" ref="D518" si="1131">2-2*F515*C515+4*G515</f>
        <v>-1.0483995227517084E-8</v>
      </c>
      <c r="E518" s="1">
        <f>0</f>
        <v>0</v>
      </c>
      <c r="F518" s="1">
        <f t="shared" ref="F518" si="1132">-2*C515*D515</f>
        <v>4.3509955800600588</v>
      </c>
      <c r="G518" s="9">
        <f t="shared" ref="G518" si="1133">4*D515</f>
        <v>7.7313595086138376</v>
      </c>
    </row>
    <row r="519" spans="1:10" x14ac:dyDescent="0.25">
      <c r="B519" t="s">
        <v>20</v>
      </c>
      <c r="C519" s="8">
        <f>0</f>
        <v>0</v>
      </c>
      <c r="D519" s="1">
        <f>0</f>
        <v>0</v>
      </c>
      <c r="E519" s="1">
        <f>4</f>
        <v>4</v>
      </c>
      <c r="F519" s="1">
        <f>2</f>
        <v>2</v>
      </c>
      <c r="G519" s="9">
        <f>2</f>
        <v>2</v>
      </c>
    </row>
    <row r="520" spans="1:10" x14ac:dyDescent="0.25">
      <c r="C520" s="8">
        <f t="shared" ref="C520" si="1134">(D515^2)</f>
        <v>3.7358699907145998</v>
      </c>
      <c r="D520" s="1">
        <f t="shared" ref="D520" si="1135">2*C515*D515</f>
        <v>-4.3509955800600588</v>
      </c>
      <c r="E520" s="1">
        <f t="shared" ref="E520:E521" si="1136">-2</f>
        <v>-2</v>
      </c>
      <c r="F520" s="1">
        <f>0</f>
        <v>0</v>
      </c>
      <c r="G520" s="9">
        <f>0</f>
        <v>0</v>
      </c>
    </row>
    <row r="521" spans="1:10" x14ac:dyDescent="0.25">
      <c r="C521" s="10">
        <f t="shared" ref="C521" si="1137">2*C515</f>
        <v>-2.2510895141856637</v>
      </c>
      <c r="D521" s="11">
        <f t="shared" ref="D521" si="1138">-4*D515</f>
        <v>-7.7313595086138376</v>
      </c>
      <c r="E521" s="11">
        <f t="shared" si="1136"/>
        <v>-2</v>
      </c>
      <c r="F521" s="11">
        <f>0</f>
        <v>0</v>
      </c>
      <c r="G521" s="12">
        <f>0</f>
        <v>0</v>
      </c>
    </row>
    <row r="522" spans="1:10" x14ac:dyDescent="0.25">
      <c r="B522" t="s">
        <v>21</v>
      </c>
      <c r="C522" s="1" cm="1">
        <f t="array" ref="C522:G522">-MMULT(C516:G516,C517:G521)</f>
        <v>-4.4192483842132711E-7</v>
      </c>
      <c r="D522" s="1">
        <v>-2.8029639534674981E-7</v>
      </c>
      <c r="E522" s="1">
        <v>-7.2417207785946403E-7</v>
      </c>
      <c r="F522" s="1">
        <v>1.4385621061583963E-8</v>
      </c>
      <c r="G522" s="1">
        <v>-4.0614785887463752E-7</v>
      </c>
    </row>
    <row r="523" spans="1:10" x14ac:dyDescent="0.25">
      <c r="B523" t="s">
        <v>13</v>
      </c>
      <c r="C523" s="1">
        <f t="shared" ref="C523" si="1139">J516/SUMPRODUCT(_xlfn.ANCHORARRAY(C522),_xlfn.ANCHORARRAY(C522))</f>
        <v>2.4973546451200077E-2</v>
      </c>
    </row>
    <row r="524" spans="1:10" x14ac:dyDescent="0.25">
      <c r="A524" s="1" t="s">
        <v>4</v>
      </c>
      <c r="B524" t="s">
        <v>18</v>
      </c>
      <c r="C524" s="1" cm="1">
        <f t="array" ref="C524:G524">C515:G515+C523*C522:G522</f>
        <v>-1.1255447681292623</v>
      </c>
      <c r="D524" s="1">
        <v>1.9328398701534644</v>
      </c>
      <c r="E524" s="1">
        <v>0.39755551209166479</v>
      </c>
      <c r="F524" s="1">
        <v>-0.6749595596443736</v>
      </c>
      <c r="G524" s="1">
        <v>-0.12015141575806404</v>
      </c>
    </row>
    <row r="525" spans="1:10" x14ac:dyDescent="0.25">
      <c r="A525" s="1">
        <v>59</v>
      </c>
      <c r="B525" t="s">
        <v>19</v>
      </c>
      <c r="C525" s="1">
        <f t="shared" ref="C525" si="1140">2*C524-F524*(D524^2)-2*G524*C524</f>
        <v>1.4518976798605365E-8</v>
      </c>
      <c r="D525" s="1">
        <f t="shared" ref="D525" si="1141">2*D524-2*F524*C524*D524+4*G524*D524</f>
        <v>-1.2591556286523087E-7</v>
      </c>
      <c r="E525" s="1">
        <f t="shared" ref="E525" si="1142">4*E524+2*F524+2*G524</f>
        <v>9.7561783873878483E-8</v>
      </c>
      <c r="F525" s="1">
        <f t="shared" ref="F525" si="1143">C524*(D524^2)-2*E524+5</f>
        <v>8.3813684881306472E-8</v>
      </c>
      <c r="G525" s="1">
        <f t="shared" ref="G525" si="1144">C524^2-2*(D524^2)-2*E524+7</f>
        <v>7.3570103786835261E-8</v>
      </c>
      <c r="J525" s="1">
        <f t="shared" ref="J525" si="1145">0.5*(C525*C525+D525*D525+E525*E525+F525*F525+G525*G525)</f>
        <v>1.901056263809419E-14</v>
      </c>
    </row>
    <row r="526" spans="1:10" x14ac:dyDescent="0.25">
      <c r="C526" s="5">
        <f t="shared" ref="C526" si="1146">2-2*G524</f>
        <v>2.2403028315161282</v>
      </c>
      <c r="D526" s="6">
        <f t="shared" ref="D526" si="1147">-2*F524*D524</f>
        <v>2.609177495243741</v>
      </c>
      <c r="E526" s="6">
        <f>0</f>
        <v>0</v>
      </c>
      <c r="F526" s="6">
        <f t="shared" ref="F526" si="1148">-(D524^2)</f>
        <v>-3.7358699636548609</v>
      </c>
      <c r="G526" s="7">
        <f t="shared" ref="G526" si="1149">-2*C524</f>
        <v>2.2510895362585246</v>
      </c>
    </row>
    <row r="527" spans="1:10" x14ac:dyDescent="0.25">
      <c r="C527" s="8">
        <f t="shared" ref="C527" si="1150">-2*F524*D524</f>
        <v>2.609177495243741</v>
      </c>
      <c r="D527" s="1">
        <f t="shared" ref="D527" si="1151">2-2*F524*C524+4*G524</f>
        <v>-6.5145367100782892E-8</v>
      </c>
      <c r="E527" s="1">
        <f>0</f>
        <v>0</v>
      </c>
      <c r="F527" s="1">
        <f t="shared" ref="F527" si="1152">-2*C524*D524</f>
        <v>4.3509956069657489</v>
      </c>
      <c r="G527" s="9">
        <f t="shared" ref="G527" si="1153">4*D524</f>
        <v>7.7313594806138575</v>
      </c>
    </row>
    <row r="528" spans="1:10" x14ac:dyDescent="0.25">
      <c r="B528" t="s">
        <v>20</v>
      </c>
      <c r="C528" s="8">
        <f>0</f>
        <v>0</v>
      </c>
      <c r="D528" s="1">
        <f>0</f>
        <v>0</v>
      </c>
      <c r="E528" s="1">
        <f>4</f>
        <v>4</v>
      </c>
      <c r="F528" s="1">
        <f>2</f>
        <v>2</v>
      </c>
      <c r="G528" s="9">
        <f>2</f>
        <v>2</v>
      </c>
    </row>
    <row r="529" spans="1:10" x14ac:dyDescent="0.25">
      <c r="C529" s="8">
        <f t="shared" ref="C529" si="1154">(D524^2)</f>
        <v>3.7358699636548609</v>
      </c>
      <c r="D529" s="1">
        <f t="shared" ref="D529" si="1155">2*C524*D524</f>
        <v>-4.3509956069657489</v>
      </c>
      <c r="E529" s="1">
        <f t="shared" ref="E529:E530" si="1156">-2</f>
        <v>-2</v>
      </c>
      <c r="F529" s="1">
        <f>0</f>
        <v>0</v>
      </c>
      <c r="G529" s="9">
        <f>0</f>
        <v>0</v>
      </c>
    </row>
    <row r="530" spans="1:10" x14ac:dyDescent="0.25">
      <c r="C530" s="10">
        <f t="shared" ref="C530" si="1157">2*C524</f>
        <v>-2.2510895362585246</v>
      </c>
      <c r="D530" s="11">
        <f t="shared" ref="D530" si="1158">-4*D524</f>
        <v>-7.7313594806138575</v>
      </c>
      <c r="E530" s="11">
        <f t="shared" si="1156"/>
        <v>-2</v>
      </c>
      <c r="F530" s="11">
        <f>0</f>
        <v>0</v>
      </c>
      <c r="G530" s="12">
        <f>0</f>
        <v>0</v>
      </c>
    </row>
    <row r="531" spans="1:10" x14ac:dyDescent="0.25">
      <c r="B531" t="s">
        <v>21</v>
      </c>
      <c r="C531" s="1" cm="1">
        <f t="array" ref="C531:G531">-MMULT(C525:G525,C526:G530)</f>
        <v>1.4850501102096846E-7</v>
      </c>
      <c r="D531" s="1">
        <v>8.9558729840456764E-7</v>
      </c>
      <c r="E531" s="1">
        <v>-7.5479558159230464E-8</v>
      </c>
      <c r="F531" s="1">
        <v>4.0697550245239378E-7</v>
      </c>
      <c r="G531" s="1">
        <v>7.4569139621865513E-7</v>
      </c>
    </row>
    <row r="532" spans="1:10" x14ac:dyDescent="0.25">
      <c r="B532" t="s">
        <v>13</v>
      </c>
      <c r="C532" s="1">
        <f t="shared" ref="C532" si="1159">J525/SUMPRODUCT(_xlfn.ANCHORARRAY(C531),_xlfn.ANCHORARRAY(C531))</f>
        <v>1.2252924780168054E-2</v>
      </c>
    </row>
    <row r="533" spans="1:10" x14ac:dyDescent="0.25">
      <c r="A533" s="1" t="s">
        <v>4</v>
      </c>
      <c r="B533" t="s">
        <v>18</v>
      </c>
      <c r="C533" s="1" cm="1">
        <f t="array" ref="C533:G533">C524:G524+C532*C531:G531</f>
        <v>-1.1255447663096416</v>
      </c>
      <c r="D533" s="1">
        <v>1.9328398811270282</v>
      </c>
      <c r="E533" s="1">
        <v>0.39755551116681942</v>
      </c>
      <c r="F533" s="1">
        <v>-0.67495955465773338</v>
      </c>
      <c r="G533" s="1">
        <v>-0.12015140662116346</v>
      </c>
    </row>
    <row r="534" spans="1:10" x14ac:dyDescent="0.25">
      <c r="A534" s="1">
        <v>60</v>
      </c>
      <c r="B534" t="s">
        <v>19</v>
      </c>
      <c r="C534" s="1">
        <f t="shared" ref="C534" si="1160">2*C533-F533*(D533^2)-2*G533*C533</f>
        <v>4.9165995996691692E-8</v>
      </c>
      <c r="D534" s="1">
        <f t="shared" ref="D534" si="1161">2*D533-2*F533*C533*D533+4*G533*D533</f>
        <v>-2.883033711764682E-8</v>
      </c>
      <c r="E534" s="1">
        <f t="shared" ref="E534" si="1162">4*E533+2*F533+2*G533</f>
        <v>1.2210948399649091E-7</v>
      </c>
      <c r="F534" s="1">
        <f t="shared" ref="F534" si="1163">C533*(D533^2)-2*E533+5</f>
        <v>4.4715312341736535E-8</v>
      </c>
      <c r="G534" s="1">
        <f t="shared" ref="G534" si="1164">C533^2-2*(D533^2)-2*E533+7</f>
        <v>-1.3516903152321902E-8</v>
      </c>
      <c r="J534" s="1">
        <f t="shared" ref="J534" si="1165">0.5*(C534*C534+D534*D534+E534*E534+F534*F534+G534*G534)</f>
        <v>1.0170687705600722E-14</v>
      </c>
    </row>
    <row r="535" spans="1:10" x14ac:dyDescent="0.25">
      <c r="C535" s="5">
        <f t="shared" ref="C535" si="1166">2-2*G533</f>
        <v>2.2403028132423271</v>
      </c>
      <c r="D535" s="6">
        <f t="shared" ref="D535" si="1167">-2*F533*D533</f>
        <v>2.6091774907804104</v>
      </c>
      <c r="E535" s="6">
        <f>0</f>
        <v>0</v>
      </c>
      <c r="F535" s="6">
        <f t="shared" ref="F535" si="1168">-(D533^2)</f>
        <v>-3.7358700060751446</v>
      </c>
      <c r="G535" s="7">
        <f t="shared" ref="G535" si="1169">-2*C533</f>
        <v>2.2510895326192832</v>
      </c>
    </row>
    <row r="536" spans="1:10" x14ac:dyDescent="0.25">
      <c r="C536" s="8">
        <f t="shared" ref="C536" si="1170">-2*F533*D533</f>
        <v>2.6091774907804104</v>
      </c>
      <c r="D536" s="1">
        <f t="shared" ref="D536" si="1171">2-2*F533*C533+4*G533</f>
        <v>-1.4916050339319753E-8</v>
      </c>
      <c r="E536" s="1">
        <f>0</f>
        <v>0</v>
      </c>
      <c r="F536" s="1">
        <f t="shared" ref="F536" si="1172">-2*C533*D533</f>
        <v>4.3509956246341526</v>
      </c>
      <c r="G536" s="9">
        <f t="shared" ref="G536" si="1173">4*D533</f>
        <v>7.7313595245081128</v>
      </c>
    </row>
    <row r="537" spans="1:10" x14ac:dyDescent="0.25">
      <c r="B537" t="s">
        <v>20</v>
      </c>
      <c r="C537" s="8">
        <f>0</f>
        <v>0</v>
      </c>
      <c r="D537" s="1">
        <f>0</f>
        <v>0</v>
      </c>
      <c r="E537" s="1">
        <f>4</f>
        <v>4</v>
      </c>
      <c r="F537" s="1">
        <f>2</f>
        <v>2</v>
      </c>
      <c r="G537" s="9">
        <f>2</f>
        <v>2</v>
      </c>
    </row>
    <row r="538" spans="1:10" x14ac:dyDescent="0.25">
      <c r="C538" s="8">
        <f t="shared" ref="C538" si="1174">(D533^2)</f>
        <v>3.7358700060751446</v>
      </c>
      <c r="D538" s="1">
        <f t="shared" ref="D538" si="1175">2*C533*D533</f>
        <v>-4.3509956246341526</v>
      </c>
      <c r="E538" s="1">
        <f t="shared" ref="E538:E539" si="1176">-2</f>
        <v>-2</v>
      </c>
      <c r="F538" s="1">
        <f>0</f>
        <v>0</v>
      </c>
      <c r="G538" s="9">
        <f>0</f>
        <v>0</v>
      </c>
    </row>
    <row r="539" spans="1:10" x14ac:dyDescent="0.25">
      <c r="C539" s="10">
        <f t="shared" ref="C539" si="1177">2*C533</f>
        <v>-2.2510895326192832</v>
      </c>
      <c r="D539" s="11">
        <f t="shared" ref="D539" si="1178">-4*D533</f>
        <v>-7.7313595245081128</v>
      </c>
      <c r="E539" s="11">
        <f t="shared" si="1176"/>
        <v>-2</v>
      </c>
      <c r="F539" s="11">
        <f>0</f>
        <v>0</v>
      </c>
      <c r="G539" s="12">
        <f>0</f>
        <v>0</v>
      </c>
    </row>
    <row r="540" spans="1:10" x14ac:dyDescent="0.25">
      <c r="B540" t="s">
        <v>21</v>
      </c>
      <c r="C540" s="1" cm="1">
        <f t="array" ref="C540:G540">-MMULT(C534:G534,C535:G539)</f>
        <v>-2.3240160587767001E-7</v>
      </c>
      <c r="D540" s="1">
        <v>-3.8230720071914987E-8</v>
      </c>
      <c r="E540" s="1">
        <v>-4.2604111760713437E-7</v>
      </c>
      <c r="F540" s="1">
        <v>6.4899472425478198E-8</v>
      </c>
      <c r="G540" s="1">
        <v>-1.3199832547263756E-7</v>
      </c>
    </row>
    <row r="541" spans="1:10" x14ac:dyDescent="0.25">
      <c r="B541" t="s">
        <v>13</v>
      </c>
      <c r="C541" s="1">
        <f t="shared" ref="C541" si="1179">J534/SUMPRODUCT(_xlfn.ANCHORARRAY(C540),_xlfn.ANCHORARRAY(C540))</f>
        <v>3.9326972676201714E-2</v>
      </c>
    </row>
    <row r="542" spans="1:10" x14ac:dyDescent="0.25">
      <c r="A542" s="1" t="s">
        <v>4</v>
      </c>
      <c r="B542" t="s">
        <v>18</v>
      </c>
      <c r="C542" s="1" cm="1">
        <f t="array" ref="C542:G542">C533:G533+C541*C540:G540</f>
        <v>-1.1255447754492933</v>
      </c>
      <c r="D542" s="1">
        <v>1.9328398796235298</v>
      </c>
      <c r="E542" s="1">
        <v>0.39755549441191201</v>
      </c>
      <c r="F542" s="1">
        <v>-0.67495955210543357</v>
      </c>
      <c r="G542" s="1">
        <v>-0.120151411812258</v>
      </c>
    </row>
    <row r="543" spans="1:10" x14ac:dyDescent="0.25">
      <c r="A543" s="1">
        <v>61</v>
      </c>
      <c r="B543" t="s">
        <v>19</v>
      </c>
      <c r="C543" s="1">
        <f t="shared" ref="C543" si="1180">2*C542-F542*(D542^2)-2*G542*C542</f>
        <v>3.5468351589074132E-9</v>
      </c>
      <c r="D543" s="1">
        <f t="shared" ref="D543" si="1181">2*D542-2*F542*C542*D542+4*G542*D542</f>
        <v>-8.1706483356924764E-8</v>
      </c>
      <c r="E543" s="1">
        <f t="shared" ref="E543" si="1182">4*E542+2*F542+2*G542</f>
        <v>4.9812264923954075E-8</v>
      </c>
      <c r="F543" s="1">
        <f t="shared" ref="F543" si="1183">C542*(D542^2)-2*E542+5</f>
        <v>5.0622293024105147E-8</v>
      </c>
      <c r="G543" s="1">
        <f t="shared" ref="G543" si="1184">C542^2-2*(D542^2)-2*E542+7</f>
        <v>5.2191174049198708E-8</v>
      </c>
      <c r="J543" s="1">
        <f t="shared" ref="J543" si="1185">0.5*(C543*C543+D543*D543+E543*E543+F543*F543+G543*G543)</f>
        <v>7.2281631993530935E-15</v>
      </c>
    </row>
    <row r="544" spans="1:10" x14ac:dyDescent="0.25">
      <c r="C544" s="5">
        <f t="shared" ref="C544" si="1186">2-2*G542</f>
        <v>2.2403028236245159</v>
      </c>
      <c r="D544" s="6">
        <f t="shared" ref="D544" si="1187">-2*F542*D542</f>
        <v>2.6091774788844355</v>
      </c>
      <c r="E544" s="6">
        <f>0</f>
        <v>0</v>
      </c>
      <c r="F544" s="6">
        <f t="shared" ref="F544" si="1188">-(D542^2)</f>
        <v>-3.7358700002631009</v>
      </c>
      <c r="G544" s="7">
        <f t="shared" ref="G544" si="1189">-2*C542</f>
        <v>2.2510895508985866</v>
      </c>
    </row>
    <row r="545" spans="1:10" x14ac:dyDescent="0.25">
      <c r="C545" s="8">
        <f t="shared" ref="C545" si="1190">-2*F542*D542</f>
        <v>2.6091774788844355</v>
      </c>
      <c r="D545" s="1">
        <f t="shared" ref="D545" si="1191">2-2*F542*C542+4*G542</f>
        <v>-4.2272763622897003E-8</v>
      </c>
      <c r="E545" s="1">
        <f>0</f>
        <v>0</v>
      </c>
      <c r="F545" s="1">
        <f t="shared" ref="F545" si="1192">-2*C542*D542</f>
        <v>4.3509956565806096</v>
      </c>
      <c r="G545" s="9">
        <f t="shared" ref="G545" si="1193">4*D542</f>
        <v>7.7313595184941191</v>
      </c>
    </row>
    <row r="546" spans="1:10" x14ac:dyDescent="0.25">
      <c r="B546" t="s">
        <v>20</v>
      </c>
      <c r="C546" s="8">
        <f>0</f>
        <v>0</v>
      </c>
      <c r="D546" s="1">
        <f>0</f>
        <v>0</v>
      </c>
      <c r="E546" s="1">
        <f>4</f>
        <v>4</v>
      </c>
      <c r="F546" s="1">
        <f>2</f>
        <v>2</v>
      </c>
      <c r="G546" s="9">
        <f>2</f>
        <v>2</v>
      </c>
    </row>
    <row r="547" spans="1:10" x14ac:dyDescent="0.25">
      <c r="C547" s="8">
        <f t="shared" ref="C547" si="1194">(D542^2)</f>
        <v>3.7358700002631009</v>
      </c>
      <c r="D547" s="1">
        <f t="shared" ref="D547" si="1195">2*C542*D542</f>
        <v>-4.3509956565806096</v>
      </c>
      <c r="E547" s="1">
        <f t="shared" ref="E547:E548" si="1196">-2</f>
        <v>-2</v>
      </c>
      <c r="F547" s="1">
        <f>0</f>
        <v>0</v>
      </c>
      <c r="G547" s="9">
        <f>0</f>
        <v>0</v>
      </c>
    </row>
    <row r="548" spans="1:10" x14ac:dyDescent="0.25">
      <c r="C548" s="10">
        <f t="shared" ref="C548" si="1197">2*C542</f>
        <v>-2.2510895508985866</v>
      </c>
      <c r="D548" s="11">
        <f t="shared" ref="D548" si="1198">-4*D542</f>
        <v>-7.7313595184941191</v>
      </c>
      <c r="E548" s="11">
        <f t="shared" si="1196"/>
        <v>-2</v>
      </c>
      <c r="F548" s="11">
        <f>0</f>
        <v>0</v>
      </c>
      <c r="G548" s="12">
        <f>0</f>
        <v>0</v>
      </c>
    </row>
    <row r="549" spans="1:10" x14ac:dyDescent="0.25">
      <c r="B549" t="s">
        <v>21</v>
      </c>
      <c r="C549" s="1" cm="1">
        <f t="array" ref="C549:G549">-MMULT(C543:G543,C544:G548)</f>
        <v>1.336094321303013E-7</v>
      </c>
      <c r="D549" s="1">
        <v>6.1451178146879247E-7</v>
      </c>
      <c r="E549" s="1">
        <v>6.3778744507914098E-9</v>
      </c>
      <c r="F549" s="1">
        <v>2.6913053941858798E-7</v>
      </c>
      <c r="G549" s="1">
        <v>5.2409342441135717E-7</v>
      </c>
    </row>
    <row r="550" spans="1:10" x14ac:dyDescent="0.25">
      <c r="B550" t="s">
        <v>13</v>
      </c>
      <c r="C550" s="1">
        <f t="shared" ref="C550" si="1199">J543/SUMPRODUCT(_xlfn.ANCHORARRAY(C549),_xlfn.ANCHORARRAY(C549))</f>
        <v>9.7332999744347524E-3</v>
      </c>
    </row>
    <row r="551" spans="1:10" x14ac:dyDescent="0.25">
      <c r="A551" s="1" t="s">
        <v>4</v>
      </c>
      <c r="B551" t="s">
        <v>18</v>
      </c>
      <c r="C551" s="1" cm="1">
        <f t="array" ref="C551:G551">C542:G542+C550*C549:G549</f>
        <v>-1.1255447741488327</v>
      </c>
      <c r="D551" s="1">
        <v>1.9328398856047573</v>
      </c>
      <c r="E551" s="1">
        <v>0.3975554944739898</v>
      </c>
      <c r="F551" s="1">
        <v>-0.67495954948590531</v>
      </c>
      <c r="G551" s="1">
        <v>-0.12015140671109949</v>
      </c>
    </row>
    <row r="552" spans="1:10" x14ac:dyDescent="0.25">
      <c r="A552" s="1">
        <v>62</v>
      </c>
      <c r="B552" t="s">
        <v>19</v>
      </c>
      <c r="C552" s="1">
        <f t="shared" ref="C552" si="1200">2*C551-F551*(D551^2)-2*G551*C551</f>
        <v>2.3763292611445053E-8</v>
      </c>
      <c r="D552" s="1">
        <f t="shared" ref="D552" si="1201">2*D551-2*F551*C551*D551+4*G551*D551</f>
        <v>-2.7476904751466691E-8</v>
      </c>
      <c r="E552" s="1">
        <f t="shared" ref="E552" si="1202">4*E551+2*F551+2*G551</f>
        <v>6.5501949614299448E-8</v>
      </c>
      <c r="F552" s="1">
        <f t="shared" ref="F552" si="1203">C551*(D551^2)-2*E551+5</f>
        <v>2.9332193562936482E-8</v>
      </c>
      <c r="G552" s="1">
        <f t="shared" ref="G552" si="1204">C551^2-2*(D551^2)-2*E551+7</f>
        <v>2.8965443377160227E-9</v>
      </c>
      <c r="J552" s="1">
        <f t="shared" ref="J552" si="1205">0.5*(C552*C552+D552*D552+E552*E552+F552*F552+G552*G552)</f>
        <v>3.2394736610232412E-15</v>
      </c>
    </row>
    <row r="553" spans="1:10" x14ac:dyDescent="0.25">
      <c r="C553" s="5">
        <f t="shared" ref="C553" si="1206">2-2*G551</f>
        <v>2.2403028134221992</v>
      </c>
      <c r="D553" s="6">
        <f t="shared" ref="D553" si="1207">-2*F551*D551</f>
        <v>2.6091774768323512</v>
      </c>
      <c r="E553" s="6">
        <f>0</f>
        <v>0</v>
      </c>
      <c r="F553" s="6">
        <f t="shared" ref="F553" si="1208">-(D551^2)</f>
        <v>-3.7358700233846114</v>
      </c>
      <c r="G553" s="7">
        <f t="shared" ref="G553" si="1209">-2*C551</f>
        <v>2.2510895482976654</v>
      </c>
    </row>
    <row r="554" spans="1:10" x14ac:dyDescent="0.25">
      <c r="C554" s="8">
        <f t="shared" ref="C554" si="1210">-2*F551*D551</f>
        <v>2.6091774768323512</v>
      </c>
      <c r="D554" s="1">
        <f t="shared" ref="D554" si="1211">2-2*F551*C551+4*G551</f>
        <v>-1.4215820354213093E-8</v>
      </c>
      <c r="E554" s="1">
        <f>0</f>
        <v>0</v>
      </c>
      <c r="F554" s="1">
        <f t="shared" ref="F554" si="1212">-2*C551*D551</f>
        <v>4.3509956650177246</v>
      </c>
      <c r="G554" s="9">
        <f t="shared" ref="G554" si="1213">4*D551</f>
        <v>7.7313595424190291</v>
      </c>
    </row>
    <row r="555" spans="1:10" x14ac:dyDescent="0.25">
      <c r="B555" t="s">
        <v>20</v>
      </c>
      <c r="C555" s="8">
        <f>0</f>
        <v>0</v>
      </c>
      <c r="D555" s="1">
        <f>0</f>
        <v>0</v>
      </c>
      <c r="E555" s="1">
        <f>4</f>
        <v>4</v>
      </c>
      <c r="F555" s="1">
        <f>2</f>
        <v>2</v>
      </c>
      <c r="G555" s="9">
        <f>2</f>
        <v>2</v>
      </c>
    </row>
    <row r="556" spans="1:10" x14ac:dyDescent="0.25">
      <c r="C556" s="8">
        <f t="shared" ref="C556" si="1214">(D551^2)</f>
        <v>3.7358700233846114</v>
      </c>
      <c r="D556" s="1">
        <f t="shared" ref="D556" si="1215">2*C551*D551</f>
        <v>-4.3509956650177246</v>
      </c>
      <c r="E556" s="1">
        <f t="shared" ref="E556:E557" si="1216">-2</f>
        <v>-2</v>
      </c>
      <c r="F556" s="1">
        <f>0</f>
        <v>0</v>
      </c>
      <c r="G556" s="9">
        <f>0</f>
        <v>0</v>
      </c>
    </row>
    <row r="557" spans="1:10" x14ac:dyDescent="0.25">
      <c r="C557" s="10">
        <f t="shared" ref="C557" si="1217">2*C551</f>
        <v>-2.2510895482976654</v>
      </c>
      <c r="D557" s="11">
        <f t="shared" ref="D557" si="1218">-4*D551</f>
        <v>-7.7313595424190291</v>
      </c>
      <c r="E557" s="11">
        <f t="shared" si="1216"/>
        <v>-2</v>
      </c>
      <c r="F557" s="11">
        <f>0</f>
        <v>0</v>
      </c>
      <c r="G557" s="12">
        <f>0</f>
        <v>0</v>
      </c>
    </row>
    <row r="558" spans="1:10" x14ac:dyDescent="0.25">
      <c r="B558" t="s">
        <v>21</v>
      </c>
      <c r="C558" s="1" cm="1">
        <f t="array" ref="C558:G558">-MMULT(C552:G552,C553:G557)</f>
        <v>-8.4605732250076741E-8</v>
      </c>
      <c r="D558" s="1">
        <v>8.8015824495472223E-8</v>
      </c>
      <c r="E558" s="1">
        <v>-1.9755032265589278E-7</v>
      </c>
      <c r="F558" s="1">
        <v>7.732456675715219E-8</v>
      </c>
      <c r="G558" s="1">
        <v>2.793663088702876E-8</v>
      </c>
    </row>
    <row r="559" spans="1:10" x14ac:dyDescent="0.25">
      <c r="B559" t="s">
        <v>13</v>
      </c>
      <c r="C559" s="1">
        <f t="shared" ref="C559" si="1219">J552/SUMPRODUCT(_xlfn.ANCHORARRAY(C558),_xlfn.ANCHORARRAY(C558))</f>
        <v>5.337686948628511E-2</v>
      </c>
    </row>
    <row r="560" spans="1:10" x14ac:dyDescent="0.25">
      <c r="A560" s="1" t="s">
        <v>4</v>
      </c>
      <c r="B560" t="s">
        <v>18</v>
      </c>
      <c r="C560" s="1" cm="1">
        <f t="array" ref="C560:G560">C551:G551+C559*C558:G558</f>
        <v>-1.1255447786648218</v>
      </c>
      <c r="D560" s="1">
        <v>1.9328398903027664</v>
      </c>
      <c r="E560" s="1">
        <v>0.39755548392937201</v>
      </c>
      <c r="F560" s="1">
        <v>-0.67495954535856195</v>
      </c>
      <c r="G560" s="1">
        <v>-0.12015140521992959</v>
      </c>
    </row>
    <row r="561" spans="1:10" x14ac:dyDescent="0.25">
      <c r="A561" s="1">
        <v>63</v>
      </c>
      <c r="B561" t="s">
        <v>19</v>
      </c>
      <c r="C561" s="1">
        <f t="shared" ref="C561" si="1220">2*C560-F560*(D560^2)-2*G560*C560</f>
        <v>1.3841587209739714E-8</v>
      </c>
      <c r="D561" s="1">
        <f t="shared" ref="D561" si="1221">2*D560-2*F560*C560*D560+4*G560*D560</f>
        <v>-9.7730982195898264E-9</v>
      </c>
      <c r="E561" s="1">
        <f t="shared" ref="E561" si="1222">4*E560+2*F560+2*G560</f>
        <v>3.4560504957870108E-8</v>
      </c>
      <c r="F561" s="1">
        <f t="shared" ref="F561" si="1223">C560*(D560^2)-2*E560+5</f>
        <v>1.3109263008459493E-8</v>
      </c>
      <c r="G561" s="1">
        <f t="shared" ref="G561" si="1224">C560^2-2*(D560^2)-2*E560+7</f>
        <v>-2.1703208119561168E-9</v>
      </c>
      <c r="J561" s="1">
        <f t="shared" ref="J561" si="1225">0.5*(C561*C561+D561*D561+E561*E561+F561*F561+G561*G561)</f>
        <v>8.2904727864465929E-16</v>
      </c>
    </row>
    <row r="562" spans="1:10" x14ac:dyDescent="0.25">
      <c r="C562" s="5">
        <f t="shared" ref="C562" si="1226">2-2*G560</f>
        <v>2.240302810439859</v>
      </c>
      <c r="D562" s="6">
        <f t="shared" ref="D562" si="1227">-2*F560*D560</f>
        <v>2.609177467219296</v>
      </c>
      <c r="E562" s="6">
        <f>0</f>
        <v>0</v>
      </c>
      <c r="F562" s="6">
        <f t="shared" ref="F562" si="1228">-(D560^2)</f>
        <v>-3.7358700415456099</v>
      </c>
      <c r="G562" s="7">
        <f t="shared" ref="G562" si="1229">-2*C560</f>
        <v>2.2510895573296437</v>
      </c>
    </row>
    <row r="563" spans="1:10" x14ac:dyDescent="0.25">
      <c r="C563" s="8">
        <f t="shared" ref="C563" si="1230">-2*F560*D560</f>
        <v>2.609177467219296</v>
      </c>
      <c r="D563" s="1">
        <f t="shared" ref="D563" si="1231">2-2*F560*C560+4*G560</f>
        <v>-5.0563412345994152E-9</v>
      </c>
      <c r="E563" s="1">
        <f>0</f>
        <v>0</v>
      </c>
      <c r="F563" s="1">
        <f t="shared" ref="F563" si="1232">-2*C560*D560</f>
        <v>4.3509956930507316</v>
      </c>
      <c r="G563" s="9">
        <f t="shared" ref="G563" si="1233">4*D560</f>
        <v>7.7313595612110655</v>
      </c>
    </row>
    <row r="564" spans="1:10" x14ac:dyDescent="0.25">
      <c r="B564" t="s">
        <v>20</v>
      </c>
      <c r="C564" s="8">
        <f>0</f>
        <v>0</v>
      </c>
      <c r="D564" s="1">
        <f>0</f>
        <v>0</v>
      </c>
      <c r="E564" s="1">
        <f>4</f>
        <v>4</v>
      </c>
      <c r="F564" s="1">
        <f>2</f>
        <v>2</v>
      </c>
      <c r="G564" s="9">
        <f>2</f>
        <v>2</v>
      </c>
    </row>
    <row r="565" spans="1:10" x14ac:dyDescent="0.25">
      <c r="C565" s="8">
        <f t="shared" ref="C565" si="1234">(D560^2)</f>
        <v>3.7358700415456099</v>
      </c>
      <c r="D565" s="1">
        <f t="shared" ref="D565" si="1235">2*C560*D560</f>
        <v>-4.3509956930507316</v>
      </c>
      <c r="E565" s="1">
        <f t="shared" ref="E565:E566" si="1236">-2</f>
        <v>-2</v>
      </c>
      <c r="F565" s="1">
        <f>0</f>
        <v>0</v>
      </c>
      <c r="G565" s="9">
        <f>0</f>
        <v>0</v>
      </c>
    </row>
    <row r="566" spans="1:10" x14ac:dyDescent="0.25">
      <c r="C566" s="10">
        <f t="shared" ref="C566" si="1237">2*C560</f>
        <v>-2.2510895573296437</v>
      </c>
      <c r="D566" s="11">
        <f t="shared" ref="D566" si="1238">-4*D560</f>
        <v>-7.7313595612110655</v>
      </c>
      <c r="E566" s="11">
        <f t="shared" si="1236"/>
        <v>-2</v>
      </c>
      <c r="F566" s="11">
        <f>0</f>
        <v>0</v>
      </c>
      <c r="G566" s="12">
        <f>0</f>
        <v>0</v>
      </c>
    </row>
    <row r="567" spans="1:10" x14ac:dyDescent="0.25">
      <c r="B567" t="s">
        <v>21</v>
      </c>
      <c r="C567" s="1" cm="1">
        <f t="array" ref="C567:G567">-MMULT(C561:G561,C562:G566)</f>
        <v>-5.9369688523348996E-8</v>
      </c>
      <c r="D567" s="1">
        <v>4.1436588208444561E-9</v>
      </c>
      <c r="E567" s="1">
        <v>-1.1636413543847368E-7</v>
      </c>
      <c r="F567" s="1">
        <v>2.5112069329764384E-8</v>
      </c>
      <c r="G567" s="1">
        <v>-2.4720325977772205E-8</v>
      </c>
    </row>
    <row r="568" spans="1:10" x14ac:dyDescent="0.25">
      <c r="B568" t="s">
        <v>13</v>
      </c>
      <c r="C568" s="1">
        <f t="shared" ref="C568" si="1239">J561/SUMPRODUCT(_xlfn.ANCHORARRAY(C567),_xlfn.ANCHORARRAY(C567))</f>
        <v>4.5243170708128853E-2</v>
      </c>
    </row>
    <row r="569" spans="1:10" x14ac:dyDescent="0.25">
      <c r="A569" s="1" t="s">
        <v>4</v>
      </c>
      <c r="B569" t="s">
        <v>18</v>
      </c>
      <c r="C569" s="1" cm="1">
        <f t="array" ref="C569:G569">C560:G560+C568*C567:G567</f>
        <v>-1.1255447813508948</v>
      </c>
      <c r="D569" s="1">
        <v>1.9328398904902386</v>
      </c>
      <c r="E569" s="1">
        <v>0.39755547866468954</v>
      </c>
      <c r="F569" s="1">
        <v>-0.67495954422241233</v>
      </c>
      <c r="G569" s="1">
        <v>-0.12015140633835551</v>
      </c>
    </row>
    <row r="570" spans="1:10" x14ac:dyDescent="0.25">
      <c r="A570" s="1">
        <v>64</v>
      </c>
      <c r="B570" t="s">
        <v>19</v>
      </c>
      <c r="C570" s="1">
        <f t="shared" ref="C570" si="1240">2*C569-F569*(D569^2)-2*G569*C569</f>
        <v>1.5509348805231582E-9</v>
      </c>
      <c r="D570" s="1">
        <f t="shared" ref="D570" si="1241">2*D569-2*F569*C569*D569+4*G569*D569</f>
        <v>-2.0485109830659098E-8</v>
      </c>
      <c r="E570" s="1">
        <f t="shared" ref="E570" si="1242">4*E569+2*F569+2*G569</f>
        <v>1.3537222481874167E-8</v>
      </c>
      <c r="F570" s="1">
        <f t="shared" ref="F570" si="1243">C569*(D569^2)-2*E569+5</f>
        <v>1.2788119008178001E-8</v>
      </c>
      <c r="G570" s="1">
        <f t="shared" ref="G570" si="1244">C569^2-2*(D569^2)-2*E569+7</f>
        <v>1.2956219208604125E-8</v>
      </c>
      <c r="J570" s="1">
        <f t="shared" ref="J570" si="1245">0.5*(C570*C570+D570*D570+E570*E570+F570*F570+G570*G570)</f>
        <v>4.6835056012513741E-16</v>
      </c>
    </row>
    <row r="571" spans="1:10" x14ac:dyDescent="0.25">
      <c r="C571" s="5">
        <f t="shared" ref="C571" si="1246">2-2*G569</f>
        <v>2.2403028126767111</v>
      </c>
      <c r="D571" s="6">
        <f t="shared" ref="D571" si="1247">-2*F569*D569</f>
        <v>2.6091774630803775</v>
      </c>
      <c r="E571" s="6">
        <f>0</f>
        <v>0</v>
      </c>
      <c r="F571" s="6">
        <f t="shared" ref="F571" si="1248">-(D569^2)</f>
        <v>-3.7358700422703177</v>
      </c>
      <c r="G571" s="7">
        <f t="shared" ref="G571" si="1249">-2*C569</f>
        <v>2.2510895627017895</v>
      </c>
    </row>
    <row r="572" spans="1:10" x14ac:dyDescent="0.25">
      <c r="C572" s="8">
        <f t="shared" ref="C572" si="1250">-2*F569*D569</f>
        <v>2.6091774630803775</v>
      </c>
      <c r="D572" s="1">
        <f t="shared" ref="D572" si="1251">2-2*F569*C569+4*G569</f>
        <v>-1.0598451394283614E-8</v>
      </c>
      <c r="E572" s="1">
        <f>0</f>
        <v>0</v>
      </c>
      <c r="F572" s="1">
        <f t="shared" ref="F572" si="1252">-2*C569*D569</f>
        <v>4.3509957038562463</v>
      </c>
      <c r="G572" s="9">
        <f t="shared" ref="G572" si="1253">4*D569</f>
        <v>7.7313595619609545</v>
      </c>
    </row>
    <row r="573" spans="1:10" x14ac:dyDescent="0.25">
      <c r="B573" t="s">
        <v>20</v>
      </c>
      <c r="C573" s="8">
        <f>0</f>
        <v>0</v>
      </c>
      <c r="D573" s="1">
        <f>0</f>
        <v>0</v>
      </c>
      <c r="E573" s="1">
        <f>4</f>
        <v>4</v>
      </c>
      <c r="F573" s="1">
        <f>2</f>
        <v>2</v>
      </c>
      <c r="G573" s="9">
        <f>2</f>
        <v>2</v>
      </c>
    </row>
    <row r="574" spans="1:10" x14ac:dyDescent="0.25">
      <c r="C574" s="8">
        <f t="shared" ref="C574" si="1254">(D569^2)</f>
        <v>3.7358700422703177</v>
      </c>
      <c r="D574" s="1">
        <f t="shared" ref="D574" si="1255">2*C569*D569</f>
        <v>-4.3509957038562463</v>
      </c>
      <c r="E574" s="1">
        <f t="shared" ref="E574:E575" si="1256">-2</f>
        <v>-2</v>
      </c>
      <c r="F574" s="1">
        <f>0</f>
        <v>0</v>
      </c>
      <c r="G574" s="9">
        <f>0</f>
        <v>0</v>
      </c>
    </row>
    <row r="575" spans="1:10" x14ac:dyDescent="0.25">
      <c r="C575" s="10">
        <f t="shared" ref="C575" si="1257">2*C569</f>
        <v>-2.2510895627017895</v>
      </c>
      <c r="D575" s="11">
        <f t="shared" ref="D575" si="1258">-4*D569</f>
        <v>-7.7313595619609545</v>
      </c>
      <c r="E575" s="11">
        <f t="shared" si="1256"/>
        <v>-2</v>
      </c>
      <c r="F575" s="11">
        <f>0</f>
        <v>0</v>
      </c>
      <c r="G575" s="12">
        <f>0</f>
        <v>0</v>
      </c>
    </row>
    <row r="576" spans="1:10" x14ac:dyDescent="0.25">
      <c r="B576" t="s">
        <v>21</v>
      </c>
      <c r="C576" s="1" cm="1">
        <f t="array" ref="C576:G576">-MMULT(C570:G570,C571:G575)</f>
        <v>3.1365582256692941E-8</v>
      </c>
      <c r="D576" s="1">
        <v>1.5176357557621185E-7</v>
      </c>
      <c r="E576" s="1">
        <v>-2.6602134939324174E-9</v>
      </c>
      <c r="F576" s="1">
        <v>6.7850271060131325E-8</v>
      </c>
      <c r="G576" s="1">
        <v>1.2781201148136241E-7</v>
      </c>
    </row>
    <row r="577" spans="1:10" x14ac:dyDescent="0.25">
      <c r="B577" t="s">
        <v>13</v>
      </c>
      <c r="C577" s="1">
        <f t="shared" ref="C577" si="1259">J570/SUMPRODUCT(_xlfn.ANCHORARRAY(C576),_xlfn.ANCHORARRAY(C576))</f>
        <v>1.0416440750429235E-2</v>
      </c>
    </row>
    <row r="578" spans="1:10" x14ac:dyDescent="0.25">
      <c r="A578" s="1" t="s">
        <v>4</v>
      </c>
      <c r="B578" t="s">
        <v>18</v>
      </c>
      <c r="C578" s="1" cm="1">
        <f t="array" ref="C578:G578">C569:G569+C577*C576:G576</f>
        <v>-1.125544781024177</v>
      </c>
      <c r="D578" s="1">
        <v>1.932839892071075</v>
      </c>
      <c r="E578" s="1">
        <v>0.3975554786369796</v>
      </c>
      <c r="F578" s="1">
        <v>-0.67495954351565401</v>
      </c>
      <c r="G578" s="1">
        <v>-0.12015140500700927</v>
      </c>
    </row>
    <row r="579" spans="1:10" x14ac:dyDescent="0.25">
      <c r="A579" s="1">
        <v>65</v>
      </c>
      <c r="B579" t="s">
        <v>19</v>
      </c>
      <c r="C579" s="1">
        <f t="shared" ref="C579" si="1260">2*C578-F578*(D578^2)-2*G578*C578</f>
        <v>6.7641863221723497E-9</v>
      </c>
      <c r="D579" s="1">
        <f t="shared" ref="D579" si="1261">2*D578-2*F578*C578*D578+4*G578*D578</f>
        <v>-6.2644260889754833E-9</v>
      </c>
      <c r="E579" s="1">
        <f t="shared" ref="E579" si="1262">4*E578+2*F578+2*G578</f>
        <v>1.7502591820317548E-8</v>
      </c>
      <c r="F579" s="1">
        <f t="shared" ref="F579" si="1263">C578*(D578^2)-2*E578+5</f>
        <v>7.1859007633179317E-9</v>
      </c>
      <c r="G579" s="1">
        <f t="shared" ref="G579" si="1264">C578^2-2*(D578^2)-2*E578+7</f>
        <v>5.4154014605956036E-11</v>
      </c>
      <c r="J579" s="1">
        <f t="shared" ref="J579" si="1265">0.5*(C579*C579+D579*D579+E579*E579+F579*F579+G579*G579)</f>
        <v>2.2148903684574904E-16</v>
      </c>
    </row>
    <row r="580" spans="1:10" x14ac:dyDescent="0.25">
      <c r="C580" s="5">
        <f t="shared" ref="C580" si="1266">2-2*G578</f>
        <v>2.2403028100140183</v>
      </c>
      <c r="D580" s="6">
        <f t="shared" ref="D580" si="1267">-2*F578*D578</f>
        <v>2.6091774624822777</v>
      </c>
      <c r="E580" s="6">
        <f>0</f>
        <v>0</v>
      </c>
      <c r="F580" s="6">
        <f t="shared" ref="F580" si="1268">-(D578^2)</f>
        <v>-3.735870048381325</v>
      </c>
      <c r="G580" s="7">
        <f t="shared" ref="G580" si="1269">-2*C578</f>
        <v>2.251089562048354</v>
      </c>
    </row>
    <row r="581" spans="1:10" x14ac:dyDescent="0.25">
      <c r="C581" s="8">
        <f t="shared" ref="C581" si="1270">-2*F578*D578</f>
        <v>2.6091774624822777</v>
      </c>
      <c r="D581" s="1">
        <f t="shared" ref="D581" si="1271">2-2*F578*C578+4*G578</f>
        <v>-3.2410476524802334E-9</v>
      </c>
      <c r="E581" s="1">
        <f>0</f>
        <v>0</v>
      </c>
      <c r="F581" s="1">
        <f t="shared" ref="F581" si="1272">-2*C578*D578</f>
        <v>4.3509957061518643</v>
      </c>
      <c r="G581" s="9">
        <f t="shared" ref="G581" si="1273">4*D578</f>
        <v>7.7313595682842999</v>
      </c>
    </row>
    <row r="582" spans="1:10" x14ac:dyDescent="0.25">
      <c r="B582" t="s">
        <v>20</v>
      </c>
      <c r="C582" s="8">
        <f>0</f>
        <v>0</v>
      </c>
      <c r="D582" s="1">
        <f>0</f>
        <v>0</v>
      </c>
      <c r="E582" s="1">
        <f>4</f>
        <v>4</v>
      </c>
      <c r="F582" s="1">
        <f>2</f>
        <v>2</v>
      </c>
      <c r="G582" s="9">
        <f>2</f>
        <v>2</v>
      </c>
    </row>
    <row r="583" spans="1:10" x14ac:dyDescent="0.25">
      <c r="C583" s="8">
        <f t="shared" ref="C583" si="1274">(D578^2)</f>
        <v>3.735870048381325</v>
      </c>
      <c r="D583" s="1">
        <f t="shared" ref="D583" si="1275">2*C578*D578</f>
        <v>-4.3509957061518643</v>
      </c>
      <c r="E583" s="1">
        <f t="shared" ref="E583:E584" si="1276">-2</f>
        <v>-2</v>
      </c>
      <c r="F583" s="1">
        <f>0</f>
        <v>0</v>
      </c>
      <c r="G583" s="9">
        <f>0</f>
        <v>0</v>
      </c>
    </row>
    <row r="584" spans="1:10" x14ac:dyDescent="0.25">
      <c r="C584" s="10">
        <f t="shared" ref="C584" si="1277">2*C578</f>
        <v>-2.251089562048354</v>
      </c>
      <c r="D584" s="11">
        <f t="shared" ref="D584" si="1278">-4*D578</f>
        <v>-7.7313595682842999</v>
      </c>
      <c r="E584" s="11">
        <f t="shared" si="1276"/>
        <v>-2</v>
      </c>
      <c r="F584" s="11">
        <f>0</f>
        <v>0</v>
      </c>
      <c r="G584" s="12">
        <f>0</f>
        <v>0</v>
      </c>
    </row>
    <row r="585" spans="1:10" x14ac:dyDescent="0.25">
      <c r="B585" t="s">
        <v>21</v>
      </c>
      <c r="C585" s="1" cm="1">
        <f t="array" ref="C585:G585">-MMULT(C579:G579,C580:G584)</f>
        <v>-2.5532512153577755E-8</v>
      </c>
      <c r="D585" s="1">
        <v>1.4035545000868207E-8</v>
      </c>
      <c r="E585" s="1">
        <v>-5.5530257725422416E-8</v>
      </c>
      <c r="F585" s="1">
        <v>1.7521428456677264E-8</v>
      </c>
      <c r="G585" s="1">
        <v>-1.799442283417122E-9</v>
      </c>
    </row>
    <row r="586" spans="1:10" x14ac:dyDescent="0.25">
      <c r="B586" t="s">
        <v>13</v>
      </c>
      <c r="C586" s="1">
        <f t="shared" ref="C586" si="1279">J579/SUMPRODUCT(_xlfn.ANCHORARRAY(C585),_xlfn.ANCHORARRAY(C585))</f>
        <v>5.2204076412681648E-2</v>
      </c>
    </row>
    <row r="587" spans="1:10" x14ac:dyDescent="0.25">
      <c r="A587" s="1" t="s">
        <v>4</v>
      </c>
      <c r="B587" t="s">
        <v>18</v>
      </c>
      <c r="C587" s="1" cm="1">
        <f t="array" ref="C587:G587">C578:G578+C586*C585:G585</f>
        <v>-1.1255447823570781</v>
      </c>
      <c r="D587" s="1">
        <v>1.9328398928037875</v>
      </c>
      <c r="E587" s="1">
        <v>0.39755547573807376</v>
      </c>
      <c r="F587" s="1">
        <v>-0.67495954260096402</v>
      </c>
      <c r="G587" s="1">
        <v>-0.12015140510094749</v>
      </c>
    </row>
    <row r="588" spans="1:10" x14ac:dyDescent="0.25">
      <c r="A588" s="1">
        <v>66</v>
      </c>
      <c r="B588" t="s">
        <v>19</v>
      </c>
      <c r="C588" s="1">
        <f t="shared" ref="C588" si="1280">2*C587-F587*(D587^2)-2*G587*C587</f>
        <v>2.0612352935600597E-9</v>
      </c>
      <c r="D588" s="1">
        <f t="shared" ref="D588" si="1281">2*D587-2*F587*C587*D587+4*G587*D587</f>
        <v>-6.4886594985935631E-9</v>
      </c>
      <c r="E588" s="1">
        <f t="shared" ref="E588" si="1282">4*E587+2*F587+2*G587</f>
        <v>7.5484720141183459E-9</v>
      </c>
      <c r="F588" s="1">
        <f t="shared" ref="F588" si="1283">C587*(D587^2)-2*E587+5</f>
        <v>4.8161377108613124E-9</v>
      </c>
      <c r="G588" s="1">
        <f t="shared" ref="G588" si="1284">C587^2-2*(D587^2)-2*E587+7</f>
        <v>3.1875808659265203E-9</v>
      </c>
      <c r="J588" s="1">
        <f t="shared" ref="J588" si="1285">0.5*(C588*C588+D588*D588+E588*E588+F588*F588+G588*G588)</f>
        <v>6.8343338499417638E-17</v>
      </c>
    </row>
    <row r="589" spans="1:10" x14ac:dyDescent="0.25">
      <c r="C589" s="5">
        <f t="shared" ref="C589" si="1286">2-2*G587</f>
        <v>2.2403028102018951</v>
      </c>
      <c r="D589" s="6">
        <f t="shared" ref="D589" si="1287">-2*F587*D587</f>
        <v>2.6091774599354816</v>
      </c>
      <c r="E589" s="6">
        <f>0</f>
        <v>0</v>
      </c>
      <c r="F589" s="6">
        <f t="shared" ref="F589" si="1288">-(D587^2)</f>
        <v>-3.735870051213757</v>
      </c>
      <c r="G589" s="7">
        <f t="shared" ref="G589" si="1289">-2*C587</f>
        <v>2.2510895647141562</v>
      </c>
    </row>
    <row r="590" spans="1:10" x14ac:dyDescent="0.25">
      <c r="C590" s="8">
        <f t="shared" ref="C590" si="1290">-2*F587*D587</f>
        <v>2.6091774599354816</v>
      </c>
      <c r="D590" s="1">
        <f t="shared" ref="D590" si="1291">2-2*F587*C587+4*G587</f>
        <v>-3.3570600743715318E-9</v>
      </c>
      <c r="E590" s="1">
        <f>0</f>
        <v>0</v>
      </c>
      <c r="F590" s="1">
        <f t="shared" ref="F590" si="1292">-2*C587*D587</f>
        <v>4.3509957129538348</v>
      </c>
      <c r="G590" s="9">
        <f t="shared" ref="G590" si="1293">4*D587</f>
        <v>7.7313595712151502</v>
      </c>
    </row>
    <row r="591" spans="1:10" x14ac:dyDescent="0.25">
      <c r="B591" t="s">
        <v>20</v>
      </c>
      <c r="C591" s="8">
        <f>0</f>
        <v>0</v>
      </c>
      <c r="D591" s="1">
        <f>0</f>
        <v>0</v>
      </c>
      <c r="E591" s="1">
        <f>4</f>
        <v>4</v>
      </c>
      <c r="F591" s="1">
        <f>2</f>
        <v>2</v>
      </c>
      <c r="G591" s="9">
        <f>2</f>
        <v>2</v>
      </c>
    </row>
    <row r="592" spans="1:10" x14ac:dyDescent="0.25">
      <c r="C592" s="8">
        <f t="shared" ref="C592" si="1294">(D587^2)</f>
        <v>3.735870051213757</v>
      </c>
      <c r="D592" s="1">
        <f t="shared" ref="D592" si="1295">2*C587*D587</f>
        <v>-4.3509957129538348</v>
      </c>
      <c r="E592" s="1">
        <f t="shared" ref="E592:E593" si="1296">-2</f>
        <v>-2</v>
      </c>
      <c r="F592" s="1">
        <f>0</f>
        <v>0</v>
      </c>
      <c r="G592" s="9">
        <f>0</f>
        <v>0</v>
      </c>
    </row>
    <row r="593" spans="1:10" x14ac:dyDescent="0.25">
      <c r="C593" s="10">
        <f t="shared" ref="C593" si="1297">2*C587</f>
        <v>-2.2510895647141562</v>
      </c>
      <c r="D593" s="11">
        <f t="shared" ref="D593" si="1298">-4*D587</f>
        <v>-7.7313595712151502</v>
      </c>
      <c r="E593" s="11">
        <f t="shared" si="1296"/>
        <v>-2</v>
      </c>
      <c r="F593" s="11">
        <f>0</f>
        <v>0</v>
      </c>
      <c r="G593" s="12">
        <f>0</f>
        <v>0</v>
      </c>
    </row>
    <row r="594" spans="1:10" x14ac:dyDescent="0.25">
      <c r="B594" t="s">
        <v>21</v>
      </c>
      <c r="C594" s="1" cm="1">
        <f t="array" ref="C594:G594">-MMULT(C588:G588,C589:G593)</f>
        <v>1.4953382757184041E-9</v>
      </c>
      <c r="D594" s="1">
        <v>4.022119968039292E-8</v>
      </c>
      <c r="E594" s="1">
        <v>-1.4186450902897718E-8</v>
      </c>
      <c r="F594" s="1">
        <v>2.0835692834676904E-8</v>
      </c>
      <c r="G594" s="1">
        <v>3.0429190430817178E-8</v>
      </c>
    </row>
    <row r="595" spans="1:10" x14ac:dyDescent="0.25">
      <c r="B595" t="s">
        <v>13</v>
      </c>
      <c r="C595" s="1">
        <f t="shared" ref="C595" si="1299">J588/SUMPRODUCT(_xlfn.ANCHORARRAY(C594),_xlfn.ANCHORARRAY(C594))</f>
        <v>2.148284671952843E-2</v>
      </c>
    </row>
    <row r="596" spans="1:10" x14ac:dyDescent="0.25">
      <c r="A596" s="1" t="s">
        <v>4</v>
      </c>
      <c r="B596" t="s">
        <v>18</v>
      </c>
      <c r="C596" s="1" cm="1">
        <f t="array" ref="C596:G596">C587:G587+C595*C594:G594</f>
        <v>-1.125544782324954</v>
      </c>
      <c r="D596" s="1">
        <v>1.9328398936678535</v>
      </c>
      <c r="E596" s="1">
        <v>0.39755547543330844</v>
      </c>
      <c r="F596" s="1">
        <v>-0.67495954215335408</v>
      </c>
      <c r="G596" s="1">
        <v>-0.12015140444724186</v>
      </c>
    </row>
    <row r="597" spans="1:10" x14ac:dyDescent="0.25">
      <c r="A597" s="1">
        <v>67</v>
      </c>
      <c r="B597" t="s">
        <v>19</v>
      </c>
      <c r="C597" s="1">
        <f t="shared" ref="C597" si="1300">2*C596-F596*(D596^2)-2*G596*C596</f>
        <v>4.1870413247657723E-9</v>
      </c>
      <c r="D597" s="1">
        <f t="shared" ref="D597" si="1301">2*D596-2*F596*C596*D596+4*G596*D596</f>
        <v>5.9674043484392314E-10</v>
      </c>
      <c r="E597" s="1">
        <f t="shared" ref="E597" si="1302">4*E596+2*F596+2*G596</f>
        <v>8.5320418785617136E-9</v>
      </c>
      <c r="F597" s="1">
        <f t="shared" ref="F597" si="1303">C596*(D596^2)-2*E596+5</f>
        <v>1.7861330192658897E-9</v>
      </c>
      <c r="G597" s="1">
        <f t="shared" ref="G597" si="1304">C596^2-2*(D596^2)-2*E596+7</f>
        <v>-2.9556064262692416E-9</v>
      </c>
      <c r="J597" s="1">
        <f t="shared" ref="J597" si="1305">0.5*(C597*C597+D597*D597+E597*E597+F597*F597+G597*G597)</f>
        <v>5.1304516664460423E-17</v>
      </c>
    </row>
    <row r="598" spans="1:10" x14ac:dyDescent="0.25">
      <c r="C598" s="5">
        <f t="shared" ref="C598" si="1306">2-2*G596</f>
        <v>2.2403028088944836</v>
      </c>
      <c r="D598" s="6">
        <f t="shared" ref="D598" si="1307">-2*F596*D596</f>
        <v>2.6091774593715837</v>
      </c>
      <c r="E598" s="6">
        <f>0</f>
        <v>0</v>
      </c>
      <c r="F598" s="6">
        <f t="shared" ref="F598" si="1308">-(D596^2)</f>
        <v>-3.7358700545539589</v>
      </c>
      <c r="G598" s="7">
        <f t="shared" ref="G598" si="1309">-2*C596</f>
        <v>2.2510895646499081</v>
      </c>
    </row>
    <row r="599" spans="1:10" x14ac:dyDescent="0.25">
      <c r="C599" s="8">
        <f t="shared" ref="C599" si="1310">-2*F596*D596</f>
        <v>2.6091774593715837</v>
      </c>
      <c r="D599" s="1">
        <f t="shared" ref="D599" si="1311">2-2*F596*C596+4*G596</f>
        <v>3.0873753553706251E-10</v>
      </c>
      <c r="E599" s="1">
        <f>0</f>
        <v>0</v>
      </c>
      <c r="F599" s="1">
        <f t="shared" ref="F599" si="1312">-2*C596*D596</f>
        <v>4.3509957147747427</v>
      </c>
      <c r="G599" s="9">
        <f t="shared" ref="G599" si="1313">4*D596</f>
        <v>7.7313595746714139</v>
      </c>
    </row>
    <row r="600" spans="1:10" x14ac:dyDescent="0.25">
      <c r="B600" t="s">
        <v>20</v>
      </c>
      <c r="C600" s="8">
        <f>0</f>
        <v>0</v>
      </c>
      <c r="D600" s="1">
        <f>0</f>
        <v>0</v>
      </c>
      <c r="E600" s="1">
        <f>4</f>
        <v>4</v>
      </c>
      <c r="F600" s="1">
        <f>2</f>
        <v>2</v>
      </c>
      <c r="G600" s="9">
        <f>2</f>
        <v>2</v>
      </c>
    </row>
    <row r="601" spans="1:10" x14ac:dyDescent="0.25">
      <c r="C601" s="8">
        <f t="shared" ref="C601" si="1314">(D596^2)</f>
        <v>3.7358700545539589</v>
      </c>
      <c r="D601" s="1">
        <f t="shared" ref="D601" si="1315">2*C596*D596</f>
        <v>-4.3509957147747427</v>
      </c>
      <c r="E601" s="1">
        <f t="shared" ref="E601:E602" si="1316">-2</f>
        <v>-2</v>
      </c>
      <c r="F601" s="1">
        <f>0</f>
        <v>0</v>
      </c>
      <c r="G601" s="9">
        <f>0</f>
        <v>0</v>
      </c>
    </row>
    <row r="602" spans="1:10" x14ac:dyDescent="0.25">
      <c r="C602" s="10">
        <f t="shared" ref="C602" si="1317">2*C596</f>
        <v>-2.2510895646499081</v>
      </c>
      <c r="D602" s="11">
        <f t="shared" ref="D602" si="1318">-4*D596</f>
        <v>-7.7313595746714139</v>
      </c>
      <c r="E602" s="11">
        <f t="shared" si="1316"/>
        <v>-2</v>
      </c>
      <c r="F602" s="11">
        <f>0</f>
        <v>0</v>
      </c>
      <c r="G602" s="12">
        <f>0</f>
        <v>0</v>
      </c>
    </row>
    <row r="603" spans="1:10" x14ac:dyDescent="0.25">
      <c r="B603" t="s">
        <v>21</v>
      </c>
      <c r="C603" s="1" cm="1">
        <f t="array" ref="C603:G603">-MMULT(C597:G597,C598:G602)</f>
        <v>-2.4263337776032788E-8</v>
      </c>
      <c r="D603" s="1">
        <v>-2.6004132776073928E-8</v>
      </c>
      <c r="E603" s="1">
        <v>-3.6467114328253558E-8</v>
      </c>
      <c r="F603" s="1">
        <v>-4.0182565295897682E-9</v>
      </c>
      <c r="G603" s="1">
        <v>-3.110310366458573E-8</v>
      </c>
    </row>
    <row r="604" spans="1:10" x14ac:dyDescent="0.25">
      <c r="B604" t="s">
        <v>13</v>
      </c>
      <c r="C604" s="1">
        <f t="shared" ref="C604" si="1319">J597/SUMPRODUCT(_xlfn.ANCHORARRAY(C603),_xlfn.ANCHORARRAY(C603))</f>
        <v>1.4337581397752465E-2</v>
      </c>
    </row>
    <row r="605" spans="1:10" x14ac:dyDescent="0.25">
      <c r="A605" s="1" t="s">
        <v>4</v>
      </c>
      <c r="B605" t="s">
        <v>18</v>
      </c>
      <c r="C605" s="1" cm="1">
        <f t="array" ref="C605:G605">C596:G596+C604*C603:G603</f>
        <v>-1.1255447826728315</v>
      </c>
      <c r="D605" s="1">
        <v>1.932839893295017</v>
      </c>
      <c r="E605" s="1">
        <v>0.39755547491045823</v>
      </c>
      <c r="F605" s="1">
        <v>-0.6749595422109661</v>
      </c>
      <c r="G605" s="1">
        <v>-0.12015140489318514</v>
      </c>
    </row>
    <row r="606" spans="1:10" x14ac:dyDescent="0.25">
      <c r="A606" s="1">
        <v>68</v>
      </c>
      <c r="B606" t="s">
        <v>19</v>
      </c>
      <c r="C606" s="1">
        <f t="shared" ref="C606" si="1320">2*C605-F605*(D605^2)-2*G605*C605</f>
        <v>1.646266512000949E-9</v>
      </c>
      <c r="D606" s="1">
        <f t="shared" ref="D606" si="1321">2*D605-2*F605*C605*D605+4*G605*D605</f>
        <v>-4.0093515174532968E-9</v>
      </c>
      <c r="E606" s="1">
        <f t="shared" ref="E606" si="1322">4*E605+2*F605+2*G605</f>
        <v>5.4335304311425858E-9</v>
      </c>
      <c r="F606" s="1">
        <f t="shared" ref="F606" si="1323">C605*(D605^2)-2*E605+5</f>
        <v>3.1544180600917571E-9</v>
      </c>
      <c r="G606" s="1">
        <f t="shared" ref="G606" si="1324">C605^2-2*(D605^2)-2*E605+7</f>
        <v>1.7557297837811348E-9</v>
      </c>
      <c r="J606" s="1">
        <f t="shared" ref="J606" si="1325">0.5*(C606*C606+D606*D606+E606*E606+F606*F606+G606*G606)</f>
        <v>3.0670643168341278E-17</v>
      </c>
    </row>
    <row r="607" spans="1:10" x14ac:dyDescent="0.25">
      <c r="C607" s="5">
        <f t="shared" ref="C607" si="1326">2-2*G605</f>
        <v>2.2403028097863702</v>
      </c>
      <c r="D607" s="6">
        <f t="shared" ref="D607" si="1327">-2*F605*D605</f>
        <v>2.6091774590909944</v>
      </c>
      <c r="E607" s="6">
        <f>0</f>
        <v>0</v>
      </c>
      <c r="F607" s="6">
        <f t="shared" ref="F607" si="1328">-(D605^2)</f>
        <v>-3.7358700531126927</v>
      </c>
      <c r="G607" s="7">
        <f t="shared" ref="G607" si="1329">-2*C605</f>
        <v>2.2510895653456631</v>
      </c>
    </row>
    <row r="608" spans="1:10" x14ac:dyDescent="0.25">
      <c r="C608" s="8">
        <f t="shared" ref="C608" si="1330">-2*F605*D605</f>
        <v>2.6091774590909944</v>
      </c>
      <c r="D608" s="1">
        <f t="shared" ref="D608" si="1331">2-2*F605*C605+4*G605</f>
        <v>-2.0743319839588992E-9</v>
      </c>
      <c r="E608" s="1">
        <f>0</f>
        <v>0</v>
      </c>
      <c r="F608" s="1">
        <f t="shared" ref="F608" si="1332">-2*C605*D605</f>
        <v>4.3509957152802379</v>
      </c>
      <c r="G608" s="9">
        <f t="shared" ref="G608" si="1333">4*D605</f>
        <v>7.7313595731800682</v>
      </c>
    </row>
    <row r="609" spans="1:10" x14ac:dyDescent="0.25">
      <c r="B609" t="s">
        <v>20</v>
      </c>
      <c r="C609" s="8">
        <f>0</f>
        <v>0</v>
      </c>
      <c r="D609" s="1">
        <f>0</f>
        <v>0</v>
      </c>
      <c r="E609" s="1">
        <f>4</f>
        <v>4</v>
      </c>
      <c r="F609" s="1">
        <f>2</f>
        <v>2</v>
      </c>
      <c r="G609" s="9">
        <f>2</f>
        <v>2</v>
      </c>
    </row>
    <row r="610" spans="1:10" x14ac:dyDescent="0.25">
      <c r="C610" s="8">
        <f t="shared" ref="C610" si="1334">(D605^2)</f>
        <v>3.7358700531126927</v>
      </c>
      <c r="D610" s="1">
        <f t="shared" ref="D610" si="1335">2*C605*D605</f>
        <v>-4.3509957152802379</v>
      </c>
      <c r="E610" s="1">
        <f t="shared" ref="E610:E611" si="1336">-2</f>
        <v>-2</v>
      </c>
      <c r="F610" s="1">
        <f>0</f>
        <v>0</v>
      </c>
      <c r="G610" s="9">
        <f>0</f>
        <v>0</v>
      </c>
    </row>
    <row r="611" spans="1:10" x14ac:dyDescent="0.25">
      <c r="C611" s="10">
        <f t="shared" ref="C611" si="1337">2*C605</f>
        <v>-2.2510895653456631</v>
      </c>
      <c r="D611" s="11">
        <f t="shared" ref="D611" si="1338">-4*D605</f>
        <v>-7.7313595731800682</v>
      </c>
      <c r="E611" s="11">
        <f t="shared" si="1336"/>
        <v>-2</v>
      </c>
      <c r="F611" s="11">
        <f>0</f>
        <v>0</v>
      </c>
      <c r="G611" s="12">
        <f>0</f>
        <v>0</v>
      </c>
    </row>
    <row r="612" spans="1:10" x14ac:dyDescent="0.25">
      <c r="B612" t="s">
        <v>21</v>
      </c>
      <c r="C612" s="1" cm="1">
        <f t="array" ref="C612:G612">-MMULT(C606:G606,C607:G611)</f>
        <v>-1.0592168574398388E-9</v>
      </c>
      <c r="D612" s="1">
        <v>2.3003636252329525E-8</v>
      </c>
      <c r="E612" s="1">
        <v>-1.191382603682456E-8</v>
      </c>
      <c r="F612" s="1">
        <v>1.2727848172833077E-8</v>
      </c>
      <c r="G612" s="1">
        <v>1.6424784007478071E-8</v>
      </c>
    </row>
    <row r="613" spans="1:10" x14ac:dyDescent="0.25">
      <c r="B613" t="s">
        <v>13</v>
      </c>
      <c r="C613" s="1">
        <f t="shared" ref="C613" si="1339">J606/SUMPRODUCT(_xlfn.ANCHORARRAY(C612),_xlfn.ANCHORARRAY(C612))</f>
        <v>2.7781376641136835E-2</v>
      </c>
    </row>
    <row r="614" spans="1:10" x14ac:dyDescent="0.25">
      <c r="A614" s="1" t="s">
        <v>4</v>
      </c>
      <c r="B614" t="s">
        <v>18</v>
      </c>
      <c r="C614" s="1" cm="1">
        <f t="array" ref="C614:G614">C605:G605+C613*C612:G612</f>
        <v>-1.125544782702258</v>
      </c>
      <c r="D614" s="1">
        <v>1.9328398939340896</v>
      </c>
      <c r="E614" s="1">
        <v>0.39755547457947576</v>
      </c>
      <c r="F614" s="1">
        <v>-0.67495954185736895</v>
      </c>
      <c r="G614" s="1">
        <v>-0.12015140443688203</v>
      </c>
    </row>
    <row r="615" spans="1:10" x14ac:dyDescent="0.25">
      <c r="A615" s="1">
        <v>69</v>
      </c>
      <c r="B615" t="s">
        <v>19</v>
      </c>
      <c r="C615" s="1">
        <f t="shared" ref="C615" si="1340">2*C614-F614*(D614^2)-2*G614*C614</f>
        <v>2.9539825585622737E-9</v>
      </c>
      <c r="D615" s="1">
        <f t="shared" ref="D615" si="1341">2*D614-2*F614*C614*D614+4*G614*D614</f>
        <v>9.8021279981708176E-10</v>
      </c>
      <c r="E615" s="1">
        <f t="shared" ref="E615" si="1342">4*E614+2*F614+2*G614</f>
        <v>5.7294010924469063E-9</v>
      </c>
      <c r="F615" s="1">
        <f t="shared" ref="F615" si="1343">C614*(D614^2)-2*E614+5</f>
        <v>9.2584784283644694E-10</v>
      </c>
      <c r="G615" s="1">
        <f t="shared" ref="G615" si="1344">C614^2-2*(D614^2)-2*E614+7</f>
        <v>-2.4569644097027776E-9</v>
      </c>
      <c r="J615" s="1">
        <f t="shared" ref="J615" si="1345">0.5*(C615*C615+D615*D615+E615*E615+F615*F615+G615*G615)</f>
        <v>2.4703367652989093E-17</v>
      </c>
    </row>
    <row r="616" spans="1:10" x14ac:dyDescent="0.25">
      <c r="C616" s="5">
        <f t="shared" ref="C616" si="1346">2-2*G614</f>
        <v>2.2403028088737642</v>
      </c>
      <c r="D616" s="6">
        <f t="shared" ref="D616" si="1347">-2*F614*D614</f>
        <v>2.6091774585867973</v>
      </c>
      <c r="E616" s="6">
        <f>0</f>
        <v>0</v>
      </c>
      <c r="F616" s="6">
        <f t="shared" ref="F616" si="1348">-(D614^2)</f>
        <v>-3.7358700555831428</v>
      </c>
      <c r="G616" s="7">
        <f t="shared" ref="G616" si="1349">-2*C614</f>
        <v>2.251089565404516</v>
      </c>
    </row>
    <row r="617" spans="1:10" x14ac:dyDescent="0.25">
      <c r="C617" s="8">
        <f t="shared" ref="C617" si="1350">-2*F614*D614</f>
        <v>2.6091774585867973</v>
      </c>
      <c r="D617" s="1">
        <f t="shared" ref="D617" si="1351">2-2*F614*C614+4*G614</f>
        <v>5.0713594434981246E-10</v>
      </c>
      <c r="E617" s="1">
        <f>0</f>
        <v>0</v>
      </c>
      <c r="F617" s="1">
        <f t="shared" ref="F617" si="1352">-2*C614*D614</f>
        <v>4.3509957168326006</v>
      </c>
      <c r="G617" s="9">
        <f t="shared" ref="G617" si="1353">4*D614</f>
        <v>7.7313595757363585</v>
      </c>
    </row>
    <row r="618" spans="1:10" x14ac:dyDescent="0.25">
      <c r="B618" t="s">
        <v>20</v>
      </c>
      <c r="C618" s="8">
        <f>0</f>
        <v>0</v>
      </c>
      <c r="D618" s="1">
        <f>0</f>
        <v>0</v>
      </c>
      <c r="E618" s="1">
        <f>4</f>
        <v>4</v>
      </c>
      <c r="F618" s="1">
        <f>2</f>
        <v>2</v>
      </c>
      <c r="G618" s="9">
        <f>2</f>
        <v>2</v>
      </c>
    </row>
    <row r="619" spans="1:10" x14ac:dyDescent="0.25">
      <c r="C619" s="8">
        <f t="shared" ref="C619" si="1354">(D614^2)</f>
        <v>3.7358700555831428</v>
      </c>
      <c r="D619" s="1">
        <f t="shared" ref="D619" si="1355">2*C614*D614</f>
        <v>-4.3509957168326006</v>
      </c>
      <c r="E619" s="1">
        <f t="shared" ref="E619:E620" si="1356">-2</f>
        <v>-2</v>
      </c>
      <c r="F619" s="1">
        <f>0</f>
        <v>0</v>
      </c>
      <c r="G619" s="9">
        <f>0</f>
        <v>0</v>
      </c>
    </row>
    <row r="620" spans="1:10" x14ac:dyDescent="0.25">
      <c r="C620" s="10">
        <f t="shared" ref="C620" si="1357">2*C614</f>
        <v>-2.251089565404516</v>
      </c>
      <c r="D620" s="11">
        <f t="shared" ref="D620" si="1358">-4*D614</f>
        <v>-7.7313595757363585</v>
      </c>
      <c r="E620" s="11">
        <f t="shared" si="1356"/>
        <v>-2</v>
      </c>
      <c r="F620" s="11">
        <f>0</f>
        <v>0</v>
      </c>
      <c r="G620" s="12">
        <f>0</f>
        <v>0</v>
      </c>
    </row>
    <row r="621" spans="1:10" x14ac:dyDescent="0.25">
      <c r="B621" t="s">
        <v>21</v>
      </c>
      <c r="C621" s="1" cm="1">
        <f t="array" ref="C621:G621">-MMULT(C615:G615,C616:G620)</f>
        <v>-1.816505874254327E-8</v>
      </c>
      <c r="D621" s="1">
        <v>-2.2674780022935256E-8</v>
      </c>
      <c r="E621" s="1">
        <v>-2.5979837503520287E-8</v>
      </c>
      <c r="F621" s="1">
        <v>-4.6880088932347502E-9</v>
      </c>
      <c r="G621" s="1">
        <v>-2.5686859114985422E-8</v>
      </c>
    </row>
    <row r="622" spans="1:10" x14ac:dyDescent="0.25">
      <c r="B622" t="s">
        <v>13</v>
      </c>
      <c r="C622" s="1">
        <f t="shared" ref="C622" si="1359">J615/SUMPRODUCT(_xlfn.ANCHORARRAY(C621),_xlfn.ANCHORARRAY(C621))</f>
        <v>1.1224420222667704E-2</v>
      </c>
    </row>
    <row r="623" spans="1:10" x14ac:dyDescent="0.25">
      <c r="A623" s="1" t="s">
        <v>4</v>
      </c>
      <c r="B623" t="s">
        <v>18</v>
      </c>
      <c r="C623" s="1" cm="1">
        <f t="array" ref="C623:G623">C614:G614+C622*C621:G621</f>
        <v>-1.1255447829061502</v>
      </c>
      <c r="D623" s="1">
        <v>1.9328398936795783</v>
      </c>
      <c r="E623" s="1">
        <v>0.39755547428786714</v>
      </c>
      <c r="F623" s="1">
        <v>-0.67495954190998908</v>
      </c>
      <c r="G623" s="1">
        <v>-0.12015140472520214</v>
      </c>
    </row>
    <row r="624" spans="1:10" x14ac:dyDescent="0.25">
      <c r="A624" s="1">
        <v>70</v>
      </c>
      <c r="B624" t="s">
        <v>19</v>
      </c>
      <c r="C624" s="1">
        <f t="shared" ref="C624" si="1360">2*C623-F623*(D623^2)-2*G623*C623</f>
        <v>1.3806844556540909E-9</v>
      </c>
      <c r="D624" s="1">
        <f t="shared" ref="D624" si="1361">2*D623-2*F623*C623*D623+4*G623*D623</f>
        <v>-2.0098346320551741E-9</v>
      </c>
      <c r="E624" s="1">
        <f t="shared" ref="E624" si="1362">4*E623+2*F623+2*G623</f>
        <v>3.8810861191507229E-9</v>
      </c>
      <c r="F624" s="1">
        <f t="shared" ref="F624" si="1363">C623*(D623^2)-2*E623+5</f>
        <v>1.8547270386193304E-9</v>
      </c>
      <c r="G624" s="1">
        <f t="shared" ref="G624" si="1364">C623^2-2*(D623^2)-2*E623+7</f>
        <v>5.5295146239586757E-10</v>
      </c>
      <c r="J624" s="1">
        <f t="shared" ref="J624" si="1365">0.5*(C624*C624+D624*D624+E624*E624+F624*F624+G624*G624)</f>
        <v>1.2377160993054485E-17</v>
      </c>
    </row>
    <row r="625" spans="1:10" x14ac:dyDescent="0.25">
      <c r="C625" s="5">
        <f t="shared" ref="C625" si="1366">2-2*G623</f>
        <v>2.2403028094504043</v>
      </c>
      <c r="D625" s="6">
        <f t="shared" ref="D625" si="1367">-2*F623*D623</f>
        <v>2.6091774584466405</v>
      </c>
      <c r="E625" s="6">
        <f>0</f>
        <v>0</v>
      </c>
      <c r="F625" s="6">
        <f t="shared" ref="F625" si="1368">-(D623^2)</f>
        <v>-3.7358700545992836</v>
      </c>
      <c r="G625" s="7">
        <f t="shared" ref="G625" si="1369">-2*C623</f>
        <v>2.2510895658123005</v>
      </c>
    </row>
    <row r="626" spans="1:10" x14ac:dyDescent="0.25">
      <c r="C626" s="8">
        <f t="shared" ref="C626" si="1370">-2*F623*D623</f>
        <v>2.6091774584466405</v>
      </c>
      <c r="D626" s="1">
        <f t="shared" ref="D626" si="1371">2-2*F623*C623+4*G623</f>
        <v>-1.0398351069085265E-9</v>
      </c>
      <c r="E626" s="1">
        <f>0</f>
        <v>0</v>
      </c>
      <c r="F626" s="1">
        <f t="shared" ref="F626" si="1372">-2*C623*D623</f>
        <v>4.350995717047855</v>
      </c>
      <c r="G626" s="9">
        <f t="shared" ref="G626" si="1373">4*D623</f>
        <v>7.7313595747183133</v>
      </c>
    </row>
    <row r="627" spans="1:10" x14ac:dyDescent="0.25">
      <c r="B627" t="s">
        <v>20</v>
      </c>
      <c r="C627" s="8">
        <f>0</f>
        <v>0</v>
      </c>
      <c r="D627" s="1">
        <f>0</f>
        <v>0</v>
      </c>
      <c r="E627" s="1">
        <f>4</f>
        <v>4</v>
      </c>
      <c r="F627" s="1">
        <f>2</f>
        <v>2</v>
      </c>
      <c r="G627" s="9">
        <f>2</f>
        <v>2</v>
      </c>
    </row>
    <row r="628" spans="1:10" x14ac:dyDescent="0.25">
      <c r="C628" s="8">
        <f t="shared" ref="C628" si="1374">(D623^2)</f>
        <v>3.7358700545992836</v>
      </c>
      <c r="D628" s="1">
        <f t="shared" ref="D628" si="1375">2*C623*D623</f>
        <v>-4.350995717047855</v>
      </c>
      <c r="E628" s="1">
        <f t="shared" ref="E628:E629" si="1376">-2</f>
        <v>-2</v>
      </c>
      <c r="F628" s="1">
        <f>0</f>
        <v>0</v>
      </c>
      <c r="G628" s="9">
        <f>0</f>
        <v>0</v>
      </c>
    </row>
    <row r="629" spans="1:10" x14ac:dyDescent="0.25">
      <c r="C629" s="10">
        <f t="shared" ref="C629" si="1377">2*C623</f>
        <v>-2.2510895658123005</v>
      </c>
      <c r="D629" s="11">
        <f t="shared" ref="D629" si="1378">-4*D623</f>
        <v>-7.7313595747183133</v>
      </c>
      <c r="E629" s="11">
        <f t="shared" si="1376"/>
        <v>-2</v>
      </c>
      <c r="F629" s="11">
        <f>0</f>
        <v>0</v>
      </c>
      <c r="G629" s="12">
        <f>0</f>
        <v>0</v>
      </c>
    </row>
    <row r="630" spans="1:10" x14ac:dyDescent="0.25">
      <c r="B630" t="s">
        <v>21</v>
      </c>
      <c r="C630" s="1" cm="1">
        <f t="array" ref="C630:G630">-MMULT(C624:G624,C625:G629)</f>
        <v>-3.5334119834361792E-9</v>
      </c>
      <c r="D630" s="1">
        <v>8.7425252234641214E-9</v>
      </c>
      <c r="E630" s="1">
        <v>-1.0708987474572496E-8</v>
      </c>
      <c r="F630" s="1">
        <v>6.1406673504738993E-9</v>
      </c>
      <c r="G630" s="1">
        <v>4.6685376160366235E-9</v>
      </c>
    </row>
    <row r="631" spans="1:10" x14ac:dyDescent="0.25">
      <c r="B631" t="s">
        <v>13</v>
      </c>
      <c r="C631" s="1">
        <f t="shared" ref="C631" si="1379">J624/SUMPRODUCT(_xlfn.ANCHORARRAY(C630),_xlfn.ANCHORARRAY(C630))</f>
        <v>4.7043168125628379E-2</v>
      </c>
    </row>
    <row r="632" spans="1:10" x14ac:dyDescent="0.25">
      <c r="A632" s="1" t="s">
        <v>4</v>
      </c>
      <c r="B632" t="s">
        <v>18</v>
      </c>
      <c r="C632" s="1" cm="1">
        <f t="array" ref="C632:G632">C623:G623+C631*C630:G630</f>
        <v>-1.125544783072373</v>
      </c>
      <c r="D632" s="1">
        <v>1.9328398940908544</v>
      </c>
      <c r="E632" s="1">
        <v>0.39755547378408246</v>
      </c>
      <c r="F632" s="1">
        <v>-0.6749595416211126</v>
      </c>
      <c r="G632" s="1">
        <v>-0.12015140450557933</v>
      </c>
    </row>
    <row r="633" spans="1:10" x14ac:dyDescent="0.25">
      <c r="A633" s="1">
        <v>71</v>
      </c>
      <c r="B633" t="s">
        <v>19</v>
      </c>
      <c r="C633" s="1">
        <f t="shared" ref="C633" si="1380">2*C632-F632*(D632^2)-2*G632*C632</f>
        <v>1.496573198700446E-9</v>
      </c>
      <c r="D633" s="1">
        <f t="shared" ref="D633" si="1381">2*D632-2*F632*C632*D632+4*G632*D632</f>
        <v>5.113438561465955E-10</v>
      </c>
      <c r="E633" s="1">
        <f t="shared" ref="E633" si="1382">4*E632+2*F632+2*G632</f>
        <v>2.8829459652879308E-9</v>
      </c>
      <c r="F633" s="1">
        <f t="shared" ref="F633" si="1383">C632*(D632^2)-2*E632+5</f>
        <v>4.5184922470298261E-10</v>
      </c>
      <c r="G633" s="1">
        <f t="shared" ref="G633" si="1384">C632^2-2*(D632^2)-2*E632+7</f>
        <v>-1.2450209752046248E-9</v>
      </c>
      <c r="J633" s="1">
        <f t="shared" ref="J633" si="1385">0.5*(C633*C633+D633*D633+E633*E633+F633*F633+G633*G633)</f>
        <v>6.2834131338107373E-18</v>
      </c>
    </row>
    <row r="634" spans="1:10" x14ac:dyDescent="0.25">
      <c r="C634" s="5">
        <f t="shared" ref="C634" si="1386">2-2*G632</f>
        <v>2.2403028090111587</v>
      </c>
      <c r="D634" s="6">
        <f t="shared" ref="D634" si="1387">-2*F632*D632</f>
        <v>2.6091774578851257</v>
      </c>
      <c r="E634" s="6">
        <f>0</f>
        <v>0</v>
      </c>
      <c r="F634" s="6">
        <f t="shared" ref="F634" si="1388">-(D632^2)</f>
        <v>-3.7358700561891456</v>
      </c>
      <c r="G634" s="7">
        <f t="shared" ref="G634" si="1389">-2*C632</f>
        <v>2.2510895661447461</v>
      </c>
    </row>
    <row r="635" spans="1:10" x14ac:dyDescent="0.25">
      <c r="C635" s="8">
        <f t="shared" ref="C635" si="1390">-2*F632*D632</f>
        <v>2.6091774578851257</v>
      </c>
      <c r="D635" s="1">
        <f t="shared" ref="D635" si="1391">2-2*F632*C632+4*G632</f>
        <v>2.645556551605921E-10</v>
      </c>
      <c r="E635" s="1">
        <f>0</f>
        <v>0</v>
      </c>
      <c r="F635" s="1">
        <f t="shared" ref="F635" si="1392">-2*C632*D632</f>
        <v>4.3509957186162387</v>
      </c>
      <c r="G635" s="9">
        <f t="shared" ref="G635" si="1393">4*D632</f>
        <v>7.7313595763634178</v>
      </c>
    </row>
    <row r="636" spans="1:10" x14ac:dyDescent="0.25">
      <c r="B636" t="s">
        <v>20</v>
      </c>
      <c r="C636" s="8">
        <f>0</f>
        <v>0</v>
      </c>
      <c r="D636" s="1">
        <f>0</f>
        <v>0</v>
      </c>
      <c r="E636" s="1">
        <f>4</f>
        <v>4</v>
      </c>
      <c r="F636" s="1">
        <f>2</f>
        <v>2</v>
      </c>
      <c r="G636" s="9">
        <f>2</f>
        <v>2</v>
      </c>
    </row>
    <row r="637" spans="1:10" x14ac:dyDescent="0.25">
      <c r="C637" s="8">
        <f t="shared" ref="C637" si="1394">(D632^2)</f>
        <v>3.7358700561891456</v>
      </c>
      <c r="D637" s="1">
        <f t="shared" ref="D637" si="1395">2*C632*D632</f>
        <v>-4.3509957186162387</v>
      </c>
      <c r="E637" s="1">
        <f t="shared" ref="E637:E638" si="1396">-2</f>
        <v>-2</v>
      </c>
      <c r="F637" s="1">
        <f>0</f>
        <v>0</v>
      </c>
      <c r="G637" s="9">
        <f>0</f>
        <v>0</v>
      </c>
    </row>
    <row r="638" spans="1:10" x14ac:dyDescent="0.25">
      <c r="C638" s="10">
        <f t="shared" ref="C638" si="1397">2*C632</f>
        <v>-2.2510895661447461</v>
      </c>
      <c r="D638" s="11">
        <f t="shared" ref="D638" si="1398">-4*D632</f>
        <v>-7.7313595763634178</v>
      </c>
      <c r="E638" s="11">
        <f t="shared" si="1396"/>
        <v>-2</v>
      </c>
      <c r="F638" s="11">
        <f>0</f>
        <v>0</v>
      </c>
      <c r="G638" s="12">
        <f>0</f>
        <v>0</v>
      </c>
    </row>
    <row r="639" spans="1:10" x14ac:dyDescent="0.25">
      <c r="B639" t="s">
        <v>21</v>
      </c>
      <c r="C639" s="1" cm="1">
        <f t="array" ref="C639:G639">-MMULT(C633:G633,C634:G638)</f>
        <v>-9.1776677190198166E-9</v>
      </c>
      <c r="D639" s="1">
        <v>-1.1564535851538374E-8</v>
      </c>
      <c r="E639" s="1">
        <v>-1.3118127362155008E-8</v>
      </c>
      <c r="F639" s="1">
        <v>-2.3997438594902115E-9</v>
      </c>
      <c r="G639" s="1">
        <v>-1.3088195462175883E-8</v>
      </c>
    </row>
    <row r="640" spans="1:10" x14ac:dyDescent="0.25">
      <c r="B640" t="s">
        <v>13</v>
      </c>
      <c r="C640" s="1">
        <f t="shared" ref="C640" si="1399">J633/SUMPRODUCT(_xlfn.ANCHORARRAY(C639),_xlfn.ANCHORARRAY(C639))</f>
        <v>1.1079649836607397E-2</v>
      </c>
    </row>
    <row r="641" spans="1:10" x14ac:dyDescent="0.25">
      <c r="A641" s="1" t="s">
        <v>4</v>
      </c>
      <c r="B641" t="s">
        <v>18</v>
      </c>
      <c r="C641" s="1" cm="1">
        <f t="array" ref="C641:G641">C632:G632+C640*C639:G639</f>
        <v>-1.1255447831740584</v>
      </c>
      <c r="D641" s="1">
        <v>1.9328398939627234</v>
      </c>
      <c r="E641" s="1">
        <v>0.39755547363873822</v>
      </c>
      <c r="F641" s="1">
        <v>-0.67495954164770089</v>
      </c>
      <c r="G641" s="1">
        <v>-0.12015140465059196</v>
      </c>
    </row>
    <row r="642" spans="1:10" x14ac:dyDescent="0.25">
      <c r="A642" s="1">
        <v>72</v>
      </c>
      <c r="B642" t="s">
        <v>19</v>
      </c>
      <c r="C642" s="1">
        <f t="shared" ref="C642" si="1400">2*C641-F641*(D641^2)-2*G641*C641</f>
        <v>7.0734462731536496E-10</v>
      </c>
      <c r="D642" s="1">
        <f t="shared" ref="D642" si="1401">2*D641-2*F641*C641*D641+4*G641*D641</f>
        <v>-9.9080199600365404E-10</v>
      </c>
      <c r="E642" s="1">
        <f t="shared" ref="E642" si="1402">4*E641+2*F641+2*G641</f>
        <v>1.9583671906353572E-9</v>
      </c>
      <c r="F642" s="1">
        <f t="shared" ref="F642" si="1403">C641*(D641^2)-2*E641+5</f>
        <v>9.2015284280932974E-10</v>
      </c>
      <c r="G642" s="1">
        <f t="shared" ref="G642" si="1404">C641^2-2*(D641^2)-2*E641+7</f>
        <v>2.6519852980300129E-10</v>
      </c>
      <c r="J642" s="1">
        <f t="shared" ref="J642" si="1405">0.5*(C642*C642+D642*D642+E642*E642+F642*F642+G642*G642)</f>
        <v>3.1171192923867618E-18</v>
      </c>
    </row>
    <row r="643" spans="1:10" x14ac:dyDescent="0.25">
      <c r="C643" s="5">
        <f t="shared" ref="C643" si="1406">2-2*G641</f>
        <v>2.2403028093011841</v>
      </c>
      <c r="D643" s="6">
        <f t="shared" ref="D643" si="1407">-2*F641*D641</f>
        <v>2.6091774578149409</v>
      </c>
      <c r="E643" s="6">
        <f>0</f>
        <v>0</v>
      </c>
      <c r="F643" s="6">
        <f t="shared" ref="F643" si="1408">-(D641^2)</f>
        <v>-3.7358700556938316</v>
      </c>
      <c r="G643" s="7">
        <f t="shared" ref="G643" si="1409">-2*C641</f>
        <v>2.2510895663481167</v>
      </c>
    </row>
    <row r="644" spans="1:10" x14ac:dyDescent="0.25">
      <c r="C644" s="8">
        <f t="shared" ref="C644" si="1410">-2*F641*D641</f>
        <v>2.6091774578149409</v>
      </c>
      <c r="D644" s="1">
        <f t="shared" ref="D644" si="1411">2-2*F641*C641+4*G641</f>
        <v>-5.1261450639827899E-10</v>
      </c>
      <c r="E644" s="1">
        <f>0</f>
        <v>0</v>
      </c>
      <c r="F644" s="1">
        <f t="shared" ref="F644" si="1412">-2*C641*D641</f>
        <v>4.3509957187208865</v>
      </c>
      <c r="G644" s="9">
        <f t="shared" ref="G644" si="1413">4*D641</f>
        <v>7.7313595758508935</v>
      </c>
    </row>
    <row r="645" spans="1:10" x14ac:dyDescent="0.25">
      <c r="B645" t="s">
        <v>20</v>
      </c>
      <c r="C645" s="8">
        <f>0</f>
        <v>0</v>
      </c>
      <c r="D645" s="1">
        <f>0</f>
        <v>0</v>
      </c>
      <c r="E645" s="1">
        <f>4</f>
        <v>4</v>
      </c>
      <c r="F645" s="1">
        <f>2</f>
        <v>2</v>
      </c>
      <c r="G645" s="9">
        <f>2</f>
        <v>2</v>
      </c>
    </row>
    <row r="646" spans="1:10" x14ac:dyDescent="0.25">
      <c r="C646" s="8">
        <f t="shared" ref="C646" si="1414">(D641^2)</f>
        <v>3.7358700556938316</v>
      </c>
      <c r="D646" s="1">
        <f t="shared" ref="D646" si="1415">2*C641*D641</f>
        <v>-4.3509957187208865</v>
      </c>
      <c r="E646" s="1">
        <f t="shared" ref="E646:E647" si="1416">-2</f>
        <v>-2</v>
      </c>
      <c r="F646" s="1">
        <f>0</f>
        <v>0</v>
      </c>
      <c r="G646" s="9">
        <f>0</f>
        <v>0</v>
      </c>
    </row>
    <row r="647" spans="1:10" x14ac:dyDescent="0.25">
      <c r="C647" s="10">
        <f t="shared" ref="C647" si="1417">2*C641</f>
        <v>-2.2510895663481167</v>
      </c>
      <c r="D647" s="11">
        <f t="shared" ref="D647" si="1418">-4*D641</f>
        <v>-7.7313595758508935</v>
      </c>
      <c r="E647" s="11">
        <f t="shared" si="1416"/>
        <v>-2</v>
      </c>
      <c r="F647" s="11">
        <f>0</f>
        <v>0</v>
      </c>
      <c r="G647" s="12">
        <f>0</f>
        <v>0</v>
      </c>
    </row>
    <row r="648" spans="1:10" x14ac:dyDescent="0.25">
      <c r="B648" t="s">
        <v>21</v>
      </c>
      <c r="C648" s="1" cm="1">
        <f t="array" ref="C648:G648">-MMULT(C642:G642,C643:G647)</f>
        <v>-1.8400737312504598E-9</v>
      </c>
      <c r="D648" s="1">
        <v>4.208338615520599E-9</v>
      </c>
      <c r="E648" s="1">
        <v>-5.4627660173167669E-9</v>
      </c>
      <c r="F648" s="1">
        <v>3.0367884736846779E-9</v>
      </c>
      <c r="G648" s="1">
        <v>2.1512160079422995E-9</v>
      </c>
    </row>
    <row r="649" spans="1:10" x14ac:dyDescent="0.25">
      <c r="B649" t="s">
        <v>13</v>
      </c>
      <c r="C649" s="1">
        <f t="shared" ref="C649" si="1419">J642/SUMPRODUCT(_xlfn.ANCHORARRAY(C648),_xlfn.ANCHORARRAY(C648))</f>
        <v>4.8112890404721255E-2</v>
      </c>
    </row>
    <row r="650" spans="1:10" x14ac:dyDescent="0.25">
      <c r="A650" s="1" t="s">
        <v>4</v>
      </c>
      <c r="B650" t="s">
        <v>18</v>
      </c>
      <c r="C650" s="1" cm="1">
        <f t="array" ref="C650:G650">C641:G641+C649*C648:G648</f>
        <v>-1.1255447832625896</v>
      </c>
      <c r="D650" s="1">
        <v>1.9328398941651987</v>
      </c>
      <c r="E650" s="1">
        <v>0.39755547337590874</v>
      </c>
      <c r="F650" s="1">
        <v>-0.67495954150159221</v>
      </c>
      <c r="G650" s="1">
        <v>-0.12015140454709074</v>
      </c>
    </row>
    <row r="651" spans="1:10" x14ac:dyDescent="0.25">
      <c r="A651" s="1">
        <v>73</v>
      </c>
      <c r="B651" t="s">
        <v>19</v>
      </c>
      <c r="C651" s="1">
        <f t="shared" ref="C651" si="1420">2*C650-F650*(D650^2)-2*G650*C650</f>
        <v>7.244493893665549E-10</v>
      </c>
      <c r="D651" s="1">
        <f t="shared" ref="D651" si="1421">2*D650-2*F650*C650*D650+4*G650*D650</f>
        <v>2.1412815964794163E-10</v>
      </c>
      <c r="E651" s="1">
        <f t="shared" ref="E651" si="1422">4*E650+2*F650+2*G650</f>
        <v>1.4062690734117922E-9</v>
      </c>
      <c r="F651" s="1">
        <f t="shared" ref="F651" si="1423">C650*(D650^2)-2*E650+5</f>
        <v>2.3410073879404081E-10</v>
      </c>
      <c r="G651" s="1">
        <f t="shared" ref="G651" si="1424">C650^2-2*(D650^2)-2*E650+7</f>
        <v>-5.7526072794189531E-10</v>
      </c>
      <c r="J651" s="1">
        <f t="shared" ref="J651" si="1425">0.5*(C651*C651+D651*D651+E651*E651+F651*F651+G651*G651)</f>
        <v>1.4669992771792021E-18</v>
      </c>
    </row>
    <row r="652" spans="1:10" x14ac:dyDescent="0.25">
      <c r="C652" s="5">
        <f t="shared" ref="C652" si="1426">2-2*G650</f>
        <v>2.2403028090941817</v>
      </c>
      <c r="D652" s="6">
        <f t="shared" ref="D652" si="1427">-2*F650*D650</f>
        <v>2.6091774575234572</v>
      </c>
      <c r="E652" s="6">
        <f>0</f>
        <v>0</v>
      </c>
      <c r="F652" s="6">
        <f t="shared" ref="F652" si="1428">-(D650^2)</f>
        <v>-3.7358700564765366</v>
      </c>
      <c r="G652" s="7">
        <f t="shared" ref="G652" si="1429">-2*C650</f>
        <v>2.2510895665251791</v>
      </c>
    </row>
    <row r="653" spans="1:10" x14ac:dyDescent="0.25">
      <c r="C653" s="8">
        <f t="shared" ref="C653" si="1430">-2*F650*D650</f>
        <v>2.6091774575234572</v>
      </c>
      <c r="D653" s="1">
        <f t="shared" ref="D653" si="1431">2-2*F650*C650+4*G650</f>
        <v>1.1078421513488479E-10</v>
      </c>
      <c r="E653" s="1">
        <f>0</f>
        <v>0</v>
      </c>
      <c r="F653" s="1">
        <f t="shared" ref="F653" si="1432">-2*C650*D650</f>
        <v>4.3509957195189104</v>
      </c>
      <c r="G653" s="9">
        <f t="shared" ref="G653" si="1433">4*D650</f>
        <v>7.731359576660795</v>
      </c>
    </row>
    <row r="654" spans="1:10" x14ac:dyDescent="0.25">
      <c r="B654" t="s">
        <v>20</v>
      </c>
      <c r="C654" s="8">
        <f>0</f>
        <v>0</v>
      </c>
      <c r="D654" s="1">
        <f>0</f>
        <v>0</v>
      </c>
      <c r="E654" s="1">
        <f>4</f>
        <v>4</v>
      </c>
      <c r="F654" s="1">
        <f>2</f>
        <v>2</v>
      </c>
      <c r="G654" s="9">
        <f>2</f>
        <v>2</v>
      </c>
    </row>
    <row r="655" spans="1:10" x14ac:dyDescent="0.25">
      <c r="C655" s="8">
        <f t="shared" ref="C655" si="1434">(D650^2)</f>
        <v>3.7358700564765366</v>
      </c>
      <c r="D655" s="1">
        <f t="shared" ref="D655" si="1435">2*C650*D650</f>
        <v>-4.3509957195189104</v>
      </c>
      <c r="E655" s="1">
        <f t="shared" ref="E655:E656" si="1436">-2</f>
        <v>-2</v>
      </c>
      <c r="F655" s="1">
        <f>0</f>
        <v>0</v>
      </c>
      <c r="G655" s="9">
        <f>0</f>
        <v>0</v>
      </c>
    </row>
    <row r="656" spans="1:10" x14ac:dyDescent="0.25">
      <c r="C656" s="10">
        <f t="shared" ref="C656" si="1437">2*C650</f>
        <v>-2.2510895665251791</v>
      </c>
      <c r="D656" s="11">
        <f t="shared" ref="D656" si="1438">-4*D650</f>
        <v>-7.731359576660795</v>
      </c>
      <c r="E656" s="11">
        <f t="shared" si="1436"/>
        <v>-2</v>
      </c>
      <c r="F656" s="11">
        <f>0</f>
        <v>0</v>
      </c>
      <c r="G656" s="12">
        <f>0</f>
        <v>0</v>
      </c>
    </row>
    <row r="657" spans="1:10" x14ac:dyDescent="0.25">
      <c r="B657" t="s">
        <v>21</v>
      </c>
      <c r="C657" s="1" cm="1">
        <f t="array" ref="C657:G657">-MMULT(C651:G651,C652:G656)</f>
        <v>-4.3512177321802229E-9</v>
      </c>
      <c r="D657" s="1">
        <v>-5.3191932414969166E-9</v>
      </c>
      <c r="E657" s="1">
        <v>-6.3073962719428778E-9</v>
      </c>
      <c r="F657" s="1">
        <v>-1.0377600717130162E-9</v>
      </c>
      <c r="G657" s="1">
        <v>-6.0988404064290381E-9</v>
      </c>
    </row>
    <row r="658" spans="1:10" x14ac:dyDescent="0.25">
      <c r="B658" t="s">
        <v>13</v>
      </c>
      <c r="C658" s="1">
        <f t="shared" ref="C658" si="1439">J651/SUMPRODUCT(_xlfn.ANCHORARRAY(C657),_xlfn.ANCHORARRAY(C657))</f>
        <v>1.1709487638173604E-2</v>
      </c>
    </row>
    <row r="659" spans="1:10" x14ac:dyDescent="0.25">
      <c r="A659" s="1" t="s">
        <v>4</v>
      </c>
      <c r="B659" t="s">
        <v>18</v>
      </c>
      <c r="C659" s="1" cm="1">
        <f t="array" ref="C659:G659">C650:G650+C658*C657:G657</f>
        <v>-1.1255447833135401</v>
      </c>
      <c r="D659" s="1">
        <v>1.9328398941029137</v>
      </c>
      <c r="E659" s="1">
        <v>0.39755547330205238</v>
      </c>
      <c r="F659" s="1">
        <v>-0.67495954151374382</v>
      </c>
      <c r="G659" s="1">
        <v>-0.12015140461850503</v>
      </c>
    </row>
    <row r="660" spans="1:10" x14ac:dyDescent="0.25">
      <c r="A660" s="1">
        <v>74</v>
      </c>
      <c r="B660" t="s">
        <v>19</v>
      </c>
      <c r="C660" s="1">
        <f t="shared" ref="C660" si="1440">2*C659-F659*(D659^2)-2*G659*C659</f>
        <v>3.3242908425989981E-10</v>
      </c>
      <c r="D660" s="1">
        <f t="shared" ref="D660" si="1441">2*D659-2*F659*C659*D659+4*G659*D659</f>
        <v>-5.2381210480234586E-10</v>
      </c>
      <c r="E660" s="1">
        <f t="shared" ref="E660" si="1442">4*E659+2*F659+2*G659</f>
        <v>9.4371180314745118E-10</v>
      </c>
      <c r="F660" s="1">
        <f t="shared" ref="F660" si="1443">C659*(D659^2)-2*E659+5</f>
        <v>4.6247095042417641E-10</v>
      </c>
      <c r="G660" s="1">
        <f t="shared" ref="G660" si="1444">C659^2-2*(D659^2)-2*E659+7</f>
        <v>1.6869439178890389E-10</v>
      </c>
      <c r="J660" s="1">
        <f t="shared" ref="J660" si="1445">0.5*(C660*C660+D660*D660+E660*E660+F660*F660+G660*G660)</f>
        <v>7.589086812032111E-19</v>
      </c>
    </row>
    <row r="661" spans="1:10" x14ac:dyDescent="0.25">
      <c r="C661" s="5">
        <f t="shared" ref="C661" si="1446">2-2*G659</f>
        <v>2.2403028092370101</v>
      </c>
      <c r="D661" s="6">
        <f t="shared" ref="D661" si="1447">-2*F659*D659</f>
        <v>2.6091774574863518</v>
      </c>
      <c r="E661" s="6">
        <f>0</f>
        <v>0</v>
      </c>
      <c r="F661" s="6">
        <f t="shared" ref="F661" si="1448">-(D659^2)</f>
        <v>-3.7358700562357625</v>
      </c>
      <c r="G661" s="7">
        <f t="shared" ref="G661" si="1449">-2*C659</f>
        <v>2.2510895666270803</v>
      </c>
    </row>
    <row r="662" spans="1:10" x14ac:dyDescent="0.25">
      <c r="C662" s="8">
        <f t="shared" ref="C662" si="1450">-2*F659*D659</f>
        <v>2.6091774574863518</v>
      </c>
      <c r="D662" s="1">
        <f t="shared" ref="D662" si="1451">2-2*F659*C659+4*G659</f>
        <v>-2.7100649502287411E-10</v>
      </c>
      <c r="E662" s="1">
        <f>0</f>
        <v>0</v>
      </c>
      <c r="F662" s="1">
        <f t="shared" ref="F662" si="1452">-2*C659*D659</f>
        <v>4.3509957195756597</v>
      </c>
      <c r="G662" s="9">
        <f t="shared" ref="G662" si="1453">4*D659</f>
        <v>7.7313595764116547</v>
      </c>
    </row>
    <row r="663" spans="1:10" x14ac:dyDescent="0.25">
      <c r="B663" t="s">
        <v>20</v>
      </c>
      <c r="C663" s="8">
        <f>0</f>
        <v>0</v>
      </c>
      <c r="D663" s="1">
        <f>0</f>
        <v>0</v>
      </c>
      <c r="E663" s="1">
        <f>4</f>
        <v>4</v>
      </c>
      <c r="F663" s="1">
        <f>2</f>
        <v>2</v>
      </c>
      <c r="G663" s="9">
        <f>2</f>
        <v>2</v>
      </c>
    </row>
    <row r="664" spans="1:10" x14ac:dyDescent="0.25">
      <c r="C664" s="8">
        <f t="shared" ref="C664" si="1454">(D659^2)</f>
        <v>3.7358700562357625</v>
      </c>
      <c r="D664" s="1">
        <f t="shared" ref="D664" si="1455">2*C659*D659</f>
        <v>-4.3509957195756597</v>
      </c>
      <c r="E664" s="1">
        <f t="shared" ref="E664:E665" si="1456">-2</f>
        <v>-2</v>
      </c>
      <c r="F664" s="1">
        <f>0</f>
        <v>0</v>
      </c>
      <c r="G664" s="9">
        <f>0</f>
        <v>0</v>
      </c>
    </row>
    <row r="665" spans="1:10" x14ac:dyDescent="0.25">
      <c r="C665" s="10">
        <f t="shared" ref="C665" si="1457">2*C659</f>
        <v>-2.2510895666270803</v>
      </c>
      <c r="D665" s="11">
        <f t="shared" ref="D665" si="1458">-4*D659</f>
        <v>-7.7313595764116547</v>
      </c>
      <c r="E665" s="11">
        <f t="shared" si="1456"/>
        <v>-2</v>
      </c>
      <c r="F665" s="11">
        <f>0</f>
        <v>0</v>
      </c>
      <c r="G665" s="12">
        <f>0</f>
        <v>0</v>
      </c>
    </row>
    <row r="666" spans="1:10" x14ac:dyDescent="0.25">
      <c r="B666" t="s">
        <v>21</v>
      </c>
      <c r="C666" s="1" cm="1">
        <f t="array" ref="C666:G666">-MMULT(C660:G660,C661:G665)</f>
        <v>-7.2600826579485303E-10</v>
      </c>
      <c r="D666" s="1">
        <v>2.4490796541620418E-9</v>
      </c>
      <c r="E666" s="1">
        <v>-2.5125165281636441E-9</v>
      </c>
      <c r="F666" s="1">
        <v>1.6335924812704562E-9</v>
      </c>
      <c r="G666" s="1">
        <v>1.4140284831882045E-9</v>
      </c>
    </row>
    <row r="667" spans="1:10" x14ac:dyDescent="0.25">
      <c r="B667" t="s">
        <v>13</v>
      </c>
      <c r="C667" s="1">
        <f t="shared" ref="C667" si="1459">J660/SUMPRODUCT(_xlfn.ANCHORARRAY(C666),_xlfn.ANCHORARRAY(C666))</f>
        <v>4.3351546619856629E-2</v>
      </c>
    </row>
    <row r="668" spans="1:10" x14ac:dyDescent="0.25">
      <c r="A668" s="1" t="s">
        <v>4</v>
      </c>
      <c r="B668" t="s">
        <v>18</v>
      </c>
      <c r="C668" s="1" cm="1">
        <f t="array" ref="C668:G668">C659:G659+C667*C666:G666</f>
        <v>-1.1255447833450136</v>
      </c>
      <c r="D668" s="1">
        <v>1.932839894209085</v>
      </c>
      <c r="E668" s="1">
        <v>0.39755547319313089</v>
      </c>
      <c r="F668" s="1">
        <v>-0.67495954144292503</v>
      </c>
      <c r="G668" s="1">
        <v>-0.1201514045572047</v>
      </c>
    </row>
    <row r="669" spans="1:10" x14ac:dyDescent="0.25">
      <c r="A669" s="1">
        <v>75</v>
      </c>
      <c r="B669" t="s">
        <v>19</v>
      </c>
      <c r="C669" s="1">
        <f t="shared" ref="C669" si="1460">2*C668-F668*(D668^2)-2*G668*C668</f>
        <v>4.1236103420771997E-10</v>
      </c>
      <c r="D669" s="1">
        <f t="shared" ref="D669" si="1461">2*D668-2*F668*C668*D668+4*G668*D668</f>
        <v>1.7613510649994168E-10</v>
      </c>
      <c r="E669" s="1">
        <f t="shared" ref="E669" si="1462">4*E668+2*F668+2*G668</f>
        <v>7.7226411376862814E-10</v>
      </c>
      <c r="F669" s="1">
        <f t="shared" ref="F669" si="1463">C668*(D668^2)-2*E668+5</f>
        <v>1.0078249346179291E-10</v>
      </c>
      <c r="G669" s="1">
        <f t="shared" ref="G669" si="1464">C668^2-2*(D668^2)-2*E668+7</f>
        <v>-3.6346126108810495E-10</v>
      </c>
      <c r="J669" s="1">
        <f t="shared" ref="J669" si="1465">0.5*(C669*C669+D669*D669+E669*E669+F669*F669+G669*G669)</f>
        <v>4.6985912949479137E-19</v>
      </c>
    </row>
    <row r="670" spans="1:10" x14ac:dyDescent="0.25">
      <c r="C670" s="5">
        <f t="shared" ref="C670" si="1466">2-2*G668</f>
        <v>2.2403028091144095</v>
      </c>
      <c r="D670" s="6">
        <f t="shared" ref="D670" si="1467">-2*F668*D668</f>
        <v>2.6091774573559112</v>
      </c>
      <c r="E670" s="6">
        <f>0</f>
        <v>0</v>
      </c>
      <c r="F670" s="6">
        <f t="shared" ref="F670" si="1468">-(D668^2)</f>
        <v>-3.7358700566461867</v>
      </c>
      <c r="G670" s="7">
        <f t="shared" ref="G670" si="1469">-2*C668</f>
        <v>2.2510895666900272</v>
      </c>
    </row>
    <row r="671" spans="1:10" x14ac:dyDescent="0.25">
      <c r="C671" s="8">
        <f t="shared" ref="C671" si="1470">-2*F668*D668</f>
        <v>2.6091774573559112</v>
      </c>
      <c r="D671" s="1">
        <f t="shared" ref="D671" si="1471">2-2*F668*C668+4*G668</f>
        <v>9.1127716483896393E-11</v>
      </c>
      <c r="E671" s="1">
        <f>0</f>
        <v>0</v>
      </c>
      <c r="F671" s="1">
        <f t="shared" ref="F671" si="1472">-2*C668*D668</f>
        <v>4.3509957199363276</v>
      </c>
      <c r="G671" s="9">
        <f t="shared" ref="G671" si="1473">4*D668</f>
        <v>7.7313595768363399</v>
      </c>
    </row>
    <row r="672" spans="1:10" x14ac:dyDescent="0.25">
      <c r="B672" t="s">
        <v>20</v>
      </c>
      <c r="C672" s="8">
        <f>0</f>
        <v>0</v>
      </c>
      <c r="D672" s="1">
        <f>0</f>
        <v>0</v>
      </c>
      <c r="E672" s="1">
        <f>4</f>
        <v>4</v>
      </c>
      <c r="F672" s="1">
        <f>2</f>
        <v>2</v>
      </c>
      <c r="G672" s="9">
        <f>2</f>
        <v>2</v>
      </c>
    </row>
    <row r="673" spans="1:10" x14ac:dyDescent="0.25">
      <c r="C673" s="8">
        <f t="shared" ref="C673" si="1474">(D668^2)</f>
        <v>3.7358700566461867</v>
      </c>
      <c r="D673" s="1">
        <f t="shared" ref="D673" si="1475">2*C668*D668</f>
        <v>-4.3509957199363276</v>
      </c>
      <c r="E673" s="1">
        <f t="shared" ref="E673:E674" si="1476">-2</f>
        <v>-2</v>
      </c>
      <c r="F673" s="1">
        <f>0</f>
        <v>0</v>
      </c>
      <c r="G673" s="9">
        <f>0</f>
        <v>0</v>
      </c>
    </row>
    <row r="674" spans="1:10" x14ac:dyDescent="0.25">
      <c r="C674" s="10">
        <f t="shared" ref="C674" si="1477">2*C668</f>
        <v>-2.2510895666900272</v>
      </c>
      <c r="D674" s="11">
        <f t="shared" ref="D674" si="1478">-4*D668</f>
        <v>-7.7313595768363399</v>
      </c>
      <c r="E674" s="11">
        <f t="shared" si="1476"/>
        <v>-2</v>
      </c>
      <c r="F674" s="11">
        <f>0</f>
        <v>0</v>
      </c>
      <c r="G674" s="12">
        <f>0</f>
        <v>0</v>
      </c>
    </row>
    <row r="675" spans="1:10" x14ac:dyDescent="0.25">
      <c r="B675" t="s">
        <v>21</v>
      </c>
      <c r="C675" s="1" cm="1">
        <f t="array" ref="C675:G675">-MMULT(C669:G669,C670:G674)</f>
        <v>-2.5780754849229939E-9</v>
      </c>
      <c r="D675" s="1">
        <v>-3.4474686187885654E-9</v>
      </c>
      <c r="E675" s="1">
        <v>-3.6144139903271366E-9</v>
      </c>
      <c r="F675" s="1">
        <v>-7.7036408182475691E-10</v>
      </c>
      <c r="G675" s="1">
        <v>-3.8345536918071773E-9</v>
      </c>
    </row>
    <row r="676" spans="1:10" x14ac:dyDescent="0.25">
      <c r="B676" t="s">
        <v>13</v>
      </c>
      <c r="C676" s="1">
        <f t="shared" ref="C676" si="1479">J669/SUMPRODUCT(_xlfn.ANCHORARRAY(C675),_xlfn.ANCHORARRAY(C675))</f>
        <v>1.0019864160231585E-2</v>
      </c>
    </row>
    <row r="677" spans="1:10" x14ac:dyDescent="0.25">
      <c r="A677" s="1" t="s">
        <v>4</v>
      </c>
      <c r="B677" t="s">
        <v>18</v>
      </c>
      <c r="C677" s="1" cm="1">
        <f t="array" ref="C677:G677">C668:G668+C676*C675:G675</f>
        <v>-1.1255447833708456</v>
      </c>
      <c r="D677" s="1">
        <v>1.9328398941745417</v>
      </c>
      <c r="E677" s="1">
        <v>0.39755547315691497</v>
      </c>
      <c r="F677" s="1">
        <v>-0.67495954145064396</v>
      </c>
      <c r="G677" s="1">
        <v>-0.12015140459562641</v>
      </c>
    </row>
    <row r="678" spans="1:10" x14ac:dyDescent="0.25">
      <c r="A678" s="1">
        <v>76</v>
      </c>
      <c r="B678" t="s">
        <v>19</v>
      </c>
      <c r="C678" s="1">
        <f t="shared" ref="C678" si="1480">2*C677-F677*(D677^2)-2*G677*C677</f>
        <v>2.0670648526177615E-10</v>
      </c>
      <c r="D678" s="1">
        <f t="shared" ref="D678" si="1481">2*D677-2*F677*C677*D677+4*G677*D677</f>
        <v>-2.2190249637787929E-10</v>
      </c>
      <c r="E678" s="1">
        <f t="shared" ref="E678" si="1482">4*E677+2*F677+2*G677</f>
        <v>5.3511914344106515E-10</v>
      </c>
      <c r="F678" s="1">
        <f t="shared" ref="F678" si="1483">C677*(D677^2)-2*E677+5</f>
        <v>2.2700685775589591E-10</v>
      </c>
      <c r="G678" s="1">
        <f t="shared" ref="G678" si="1484">C677^2-2*(D677^2)-2*E677+7</f>
        <v>3.418687555267752E-11</v>
      </c>
      <c r="J678" s="1">
        <f t="shared" ref="J678" si="1485">0.5*(C678*C678+D678*D678+E678*E678+F678*F678+G678*G678)</f>
        <v>2.1551082127668534E-19</v>
      </c>
    </row>
    <row r="679" spans="1:10" x14ac:dyDescent="0.25">
      <c r="C679" s="5">
        <f t="shared" ref="C679" si="1486">2-2*G677</f>
        <v>2.2403028091912529</v>
      </c>
      <c r="D679" s="6">
        <f t="shared" ref="D679" si="1487">-2*F677*D677</f>
        <v>2.6091774573391198</v>
      </c>
      <c r="E679" s="6">
        <f>0</f>
        <v>0</v>
      </c>
      <c r="F679" s="6">
        <f t="shared" ref="F679" si="1488">-(D677^2)</f>
        <v>-3.7358700565126535</v>
      </c>
      <c r="G679" s="7">
        <f t="shared" ref="G679" si="1489">-2*C677</f>
        <v>2.2510895667416913</v>
      </c>
    </row>
    <row r="680" spans="1:10" x14ac:dyDescent="0.25">
      <c r="C680" s="8">
        <f t="shared" ref="C680" si="1490">-2*F677*D677</f>
        <v>2.6091774573391198</v>
      </c>
      <c r="D680" s="1">
        <f t="shared" ref="D680" si="1491">2-2*F677*C677+4*G677</f>
        <v>-1.1480644213079927E-10</v>
      </c>
      <c r="E680" s="1">
        <f>0</f>
        <v>0</v>
      </c>
      <c r="F680" s="1">
        <f t="shared" ref="F680" si="1492">-2*C677*D677</f>
        <v>4.3509957199584255</v>
      </c>
      <c r="G680" s="9">
        <f t="shared" ref="G680" si="1493">4*D677</f>
        <v>7.7313595766981669</v>
      </c>
    </row>
    <row r="681" spans="1:10" x14ac:dyDescent="0.25">
      <c r="B681" t="s">
        <v>20</v>
      </c>
      <c r="C681" s="8">
        <f>0</f>
        <v>0</v>
      </c>
      <c r="D681" s="1">
        <f>0</f>
        <v>0</v>
      </c>
      <c r="E681" s="1">
        <f>4</f>
        <v>4</v>
      </c>
      <c r="F681" s="1">
        <f>2</f>
        <v>2</v>
      </c>
      <c r="G681" s="9">
        <f>2</f>
        <v>2</v>
      </c>
    </row>
    <row r="682" spans="1:10" x14ac:dyDescent="0.25">
      <c r="C682" s="8">
        <f t="shared" ref="C682" si="1494">(D677^2)</f>
        <v>3.7358700565126535</v>
      </c>
      <c r="D682" s="1">
        <f t="shared" ref="D682" si="1495">2*C677*D677</f>
        <v>-4.3509957199584255</v>
      </c>
      <c r="E682" s="1">
        <f t="shared" ref="E682:E683" si="1496">-2</f>
        <v>-2</v>
      </c>
      <c r="F682" s="1">
        <f>0</f>
        <v>0</v>
      </c>
      <c r="G682" s="9">
        <f>0</f>
        <v>0</v>
      </c>
    </row>
    <row r="683" spans="1:10" x14ac:dyDescent="0.25">
      <c r="C683" s="10">
        <f t="shared" ref="C683" si="1497">2*C677</f>
        <v>-2.2510895667416913</v>
      </c>
      <c r="D683" s="11">
        <f t="shared" ref="D683" si="1498">-4*D677</f>
        <v>-7.7313595766981669</v>
      </c>
      <c r="E683" s="11">
        <f t="shared" si="1496"/>
        <v>-2</v>
      </c>
      <c r="F683" s="11">
        <f>0</f>
        <v>0</v>
      </c>
      <c r="G683" s="12">
        <f>0</f>
        <v>0</v>
      </c>
    </row>
    <row r="684" spans="1:10" x14ac:dyDescent="0.25">
      <c r="B684" t="s">
        <v>21</v>
      </c>
      <c r="C684" s="1" cm="1">
        <f t="array" ref="C684:G684">-MMULT(C678:G678,C679:G683)</f>
        <v>-6.5521253197071899E-10</v>
      </c>
      <c r="D684" s="1">
        <v>7.126829925423927E-10</v>
      </c>
      <c r="E684" s="1">
        <v>-1.6180891071471137E-9</v>
      </c>
      <c r="F684" s="1">
        <v>6.6748709388255605E-10</v>
      </c>
      <c r="G684" s="1">
        <v>1.8005489123158764E-10</v>
      </c>
    </row>
    <row r="685" spans="1:10" x14ac:dyDescent="0.25">
      <c r="B685" t="s">
        <v>13</v>
      </c>
      <c r="C685" s="1">
        <f t="shared" ref="C685" si="1499">J678/SUMPRODUCT(_xlfn.ANCHORARRAY(C684),_xlfn.ANCHORARRAY(C684))</f>
        <v>5.3431662437210446E-2</v>
      </c>
    </row>
    <row r="686" spans="1:10" x14ac:dyDescent="0.25">
      <c r="A686" s="1" t="s">
        <v>4</v>
      </c>
      <c r="B686" t="s">
        <v>18</v>
      </c>
      <c r="C686" s="1" cm="1">
        <f t="array" ref="C686:G686">C677:G677+C685*C684:G684</f>
        <v>-1.1255447834058547</v>
      </c>
      <c r="D686" s="1">
        <v>1.9328398942126215</v>
      </c>
      <c r="E686" s="1">
        <v>0.3975554730704578</v>
      </c>
      <c r="F686" s="1">
        <v>-0.67495954141497905</v>
      </c>
      <c r="G686" s="1">
        <v>-0.12015140458600577</v>
      </c>
    </row>
    <row r="687" spans="1:10" x14ac:dyDescent="0.25">
      <c r="A687" s="1">
        <v>77</v>
      </c>
      <c r="B687" t="s">
        <v>19</v>
      </c>
      <c r="C687" s="1">
        <f t="shared" ref="C687" si="1500">2*C686-F686*(D686^2)-2*G686*C686</f>
        <v>1.1604972538492575E-10</v>
      </c>
      <c r="D687" s="1">
        <f t="shared" ref="D687" si="1501">2*D686-2*F686*C686*D686+4*G686*D686</f>
        <v>-8.3688500573941838E-11</v>
      </c>
      <c r="E687" s="1">
        <f t="shared" ref="E687" si="1502">4*E686+2*F686+2*G686</f>
        <v>2.7986155060055751E-10</v>
      </c>
      <c r="F687" s="1">
        <f t="shared" ref="F687" si="1503">C686*(D686^2)-2*E686+5</f>
        <v>1.0344614054247359E-10</v>
      </c>
      <c r="G687" s="1">
        <f t="shared" ref="G687" si="1504">C686^2-2*(D686^2)-2*E686+7</f>
        <v>-8.4998674765301985E-12</v>
      </c>
      <c r="J687" s="1">
        <f t="shared" ref="J687" si="1505">0.5*(C687*C687+D687*D687+E687*E687+F687*F687+G687*G687)</f>
        <v>5.4783571567515763E-20</v>
      </c>
    </row>
    <row r="688" spans="1:10" x14ac:dyDescent="0.25">
      <c r="C688" s="5">
        <f t="shared" ref="C688" si="1506">2-2*G686</f>
        <v>2.2403028091720114</v>
      </c>
      <c r="D688" s="6">
        <f t="shared" ref="D688" si="1507">-2*F686*D686</f>
        <v>2.6091774572526552</v>
      </c>
      <c r="E688" s="6">
        <f>0</f>
        <v>0</v>
      </c>
      <c r="F688" s="6">
        <f t="shared" ref="F688" si="1508">-(D686^2)</f>
        <v>-3.7358700566598579</v>
      </c>
      <c r="G688" s="7">
        <f t="shared" ref="G688" si="1509">-2*C686</f>
        <v>2.2510895668117095</v>
      </c>
    </row>
    <row r="689" spans="1:10" x14ac:dyDescent="0.25">
      <c r="C689" s="8">
        <f t="shared" ref="C689" si="1510">-2*F686*D686</f>
        <v>2.6091774572526552</v>
      </c>
      <c r="D689" s="1">
        <f t="shared" ref="D689" si="1511">2-2*F686*C686+4*G686</f>
        <v>-4.3298309382322486E-11</v>
      </c>
      <c r="E689" s="1">
        <f>0</f>
        <v>0</v>
      </c>
      <c r="F689" s="1">
        <f t="shared" ref="F689" si="1512">-2*C686*D686</f>
        <v>4.3509957201794807</v>
      </c>
      <c r="G689" s="9">
        <f t="shared" ref="G689" si="1513">4*D686</f>
        <v>7.7313595768504859</v>
      </c>
    </row>
    <row r="690" spans="1:10" x14ac:dyDescent="0.25">
      <c r="B690" t="s">
        <v>20</v>
      </c>
      <c r="C690" s="8">
        <f>0</f>
        <v>0</v>
      </c>
      <c r="D690" s="1">
        <f>0</f>
        <v>0</v>
      </c>
      <c r="E690" s="1">
        <f>4</f>
        <v>4</v>
      </c>
      <c r="F690" s="1">
        <f>2</f>
        <v>2</v>
      </c>
      <c r="G690" s="9">
        <f>2</f>
        <v>2</v>
      </c>
    </row>
    <row r="691" spans="1:10" x14ac:dyDescent="0.25">
      <c r="C691" s="8">
        <f t="shared" ref="C691" si="1514">(D686^2)</f>
        <v>3.7358700566598579</v>
      </c>
      <c r="D691" s="1">
        <f t="shared" ref="D691" si="1515">2*C686*D686</f>
        <v>-4.3509957201794807</v>
      </c>
      <c r="E691" s="1">
        <f t="shared" ref="E691:E692" si="1516">-2</f>
        <v>-2</v>
      </c>
      <c r="F691" s="1">
        <f>0</f>
        <v>0</v>
      </c>
      <c r="G691" s="9">
        <f>0</f>
        <v>0</v>
      </c>
    </row>
    <row r="692" spans="1:10" x14ac:dyDescent="0.25">
      <c r="C692" s="10">
        <f t="shared" ref="C692" si="1517">2*C686</f>
        <v>-2.2510895668117095</v>
      </c>
      <c r="D692" s="11">
        <f t="shared" ref="D692" si="1518">-4*D686</f>
        <v>-7.7313595768504859</v>
      </c>
      <c r="E692" s="11">
        <f t="shared" si="1516"/>
        <v>-2</v>
      </c>
      <c r="F692" s="11">
        <f>0</f>
        <v>0</v>
      </c>
      <c r="G692" s="12">
        <f>0</f>
        <v>0</v>
      </c>
    </row>
    <row r="693" spans="1:10" x14ac:dyDescent="0.25">
      <c r="B693" t="s">
        <v>21</v>
      </c>
      <c r="C693" s="1" cm="1">
        <f t="array" ref="C693:G693">-MMULT(C687:G687,C688:G692)</f>
        <v>-4.4722367858003843E-10</v>
      </c>
      <c r="D693" s="1">
        <v>8.1583855554422872E-11</v>
      </c>
      <c r="E693" s="1">
        <v>-9.2955365627034325E-10</v>
      </c>
      <c r="F693" s="1">
        <v>2.3795190077348747E-10</v>
      </c>
      <c r="G693" s="1">
        <v>-1.7393553686188278E-10</v>
      </c>
    </row>
    <row r="694" spans="1:10" x14ac:dyDescent="0.25">
      <c r="B694" t="s">
        <v>13</v>
      </c>
      <c r="C694" s="1">
        <f t="shared" ref="C694" si="1519">J687/SUMPRODUCT(_xlfn.ANCHORARRAY(C693),_xlfn.ANCHORARRAY(C693))</f>
        <v>4.7324737563224299E-2</v>
      </c>
    </row>
    <row r="695" spans="1:10" x14ac:dyDescent="0.25">
      <c r="A695" s="1" t="s">
        <v>4</v>
      </c>
      <c r="B695" t="s">
        <v>18</v>
      </c>
      <c r="C695" s="1" cm="1">
        <f t="array" ref="C695:G695">C686:G686+C694*C693:G693</f>
        <v>-1.1255447834270196</v>
      </c>
      <c r="D695" s="1">
        <v>1.9328398942164824</v>
      </c>
      <c r="E695" s="1">
        <v>0.39755547302646693</v>
      </c>
      <c r="F695" s="1">
        <v>-0.67495954140371806</v>
      </c>
      <c r="G695" s="1">
        <v>-0.12015140459423723</v>
      </c>
    </row>
    <row r="696" spans="1:10" x14ac:dyDescent="0.25">
      <c r="A696" s="1">
        <v>78</v>
      </c>
      <c r="B696" t="s">
        <v>19</v>
      </c>
      <c r="C696" s="1">
        <f t="shared" ref="C696" si="1520">2*C695-F695*(D695^2)-2*G695*C695</f>
        <v>1.8108570198904772E-11</v>
      </c>
      <c r="D696" s="1">
        <f t="shared" ref="D696" si="1521">2*D695-2*F695*C695*D695+4*G695*D695</f>
        <v>-1.5355561266972018E-10</v>
      </c>
      <c r="E696" s="1">
        <f t="shared" ref="E696" si="1522">4*E695+2*F695+2*G695</f>
        <v>1.0995715449269028E-10</v>
      </c>
      <c r="F696" s="1">
        <f t="shared" ref="F696" si="1523">C695*(D695^2)-2*E695+5</f>
        <v>9.5560004353956174E-11</v>
      </c>
      <c r="G696" s="1">
        <f t="shared" ref="G696" si="1524">C695^2-2*(D695^2)-2*E695+7</f>
        <v>9.7276853239236516E-11</v>
      </c>
      <c r="J696" s="1">
        <f t="shared" ref="J696" si="1525">0.5*(C696*C696+D696*D696+E696*E696+F696*F696+G696*G696)</f>
        <v>2.7296161464703615E-20</v>
      </c>
    </row>
    <row r="697" spans="1:10" x14ac:dyDescent="0.25">
      <c r="C697" s="5">
        <f t="shared" ref="C697" si="1526">2-2*G695</f>
        <v>2.2403028091884742</v>
      </c>
      <c r="D697" s="6">
        <f t="shared" ref="D697" si="1527">-2*F695*D695</f>
        <v>2.6091774572143356</v>
      </c>
      <c r="E697" s="6">
        <f>0</f>
        <v>0</v>
      </c>
      <c r="F697" s="6">
        <f t="shared" ref="F697" si="1528">-(D695^2)</f>
        <v>-3.7358700566747829</v>
      </c>
      <c r="G697" s="7">
        <f t="shared" ref="G697" si="1529">-2*C695</f>
        <v>2.2510895668540392</v>
      </c>
    </row>
    <row r="698" spans="1:10" x14ac:dyDescent="0.25">
      <c r="C698" s="8">
        <f t="shared" ref="C698" si="1530">-2*F695*D695</f>
        <v>2.6091774572143356</v>
      </c>
      <c r="D698" s="1">
        <f t="shared" ref="D698" si="1531">2-2*F695*C695+4*G695</f>
        <v>-7.9445561240731877E-11</v>
      </c>
      <c r="E698" s="1">
        <f>0</f>
        <v>0</v>
      </c>
      <c r="F698" s="1">
        <f t="shared" ref="F698" si="1532">-2*C695*D695</f>
        <v>4.3509957202699878</v>
      </c>
      <c r="G698" s="9">
        <f t="shared" ref="G698" si="1533">4*D695</f>
        <v>7.7313595768659296</v>
      </c>
    </row>
    <row r="699" spans="1:10" x14ac:dyDescent="0.25">
      <c r="B699" t="s">
        <v>20</v>
      </c>
      <c r="C699" s="8">
        <f>0</f>
        <v>0</v>
      </c>
      <c r="D699" s="1">
        <f>0</f>
        <v>0</v>
      </c>
      <c r="E699" s="1">
        <f>4</f>
        <v>4</v>
      </c>
      <c r="F699" s="1">
        <f>2</f>
        <v>2</v>
      </c>
      <c r="G699" s="9">
        <f>2</f>
        <v>2</v>
      </c>
    </row>
    <row r="700" spans="1:10" x14ac:dyDescent="0.25">
      <c r="C700" s="8">
        <f t="shared" ref="C700" si="1534">(D695^2)</f>
        <v>3.7358700566747829</v>
      </c>
      <c r="D700" s="1">
        <f t="shared" ref="D700" si="1535">2*C695*D695</f>
        <v>-4.3509957202699878</v>
      </c>
      <c r="E700" s="1">
        <f t="shared" ref="E700:E701" si="1536">-2</f>
        <v>-2</v>
      </c>
      <c r="F700" s="1">
        <f>0</f>
        <v>0</v>
      </c>
      <c r="G700" s="9">
        <f>0</f>
        <v>0</v>
      </c>
    </row>
    <row r="701" spans="1:10" x14ac:dyDescent="0.25">
      <c r="C701" s="10">
        <f t="shared" ref="C701" si="1537">2*C695</f>
        <v>-2.2510895668540392</v>
      </c>
      <c r="D701" s="11">
        <f t="shared" ref="D701" si="1538">-4*D695</f>
        <v>-7.7313595768659296</v>
      </c>
      <c r="E701" s="11">
        <f t="shared" si="1536"/>
        <v>-2</v>
      </c>
      <c r="F701" s="11">
        <f>0</f>
        <v>0</v>
      </c>
      <c r="G701" s="12">
        <f>0</f>
        <v>0</v>
      </c>
    </row>
    <row r="702" spans="1:10" x14ac:dyDescent="0.25">
      <c r="B702" t="s">
        <v>21</v>
      </c>
      <c r="C702" s="1" cm="1">
        <f t="array" ref="C702:G702">-MMULT(C696:G696,C697:G701)</f>
        <v>2.2206431286115699E-10</v>
      </c>
      <c r="D702" s="1">
        <v>1.1206150277140324E-9</v>
      </c>
      <c r="E702" s="1">
        <v>-5.4154902784375736E-11</v>
      </c>
      <c r="F702" s="1">
        <v>5.1585676973928952E-10</v>
      </c>
      <c r="G702" s="1">
        <v>9.2651533416477715E-10</v>
      </c>
    </row>
    <row r="703" spans="1:10" x14ac:dyDescent="0.25">
      <c r="B703" t="s">
        <v>13</v>
      </c>
      <c r="C703" s="1">
        <f t="shared" ref="C703" si="1539">J696/SUMPRODUCT(_xlfn.ANCHORARRAY(C702),_xlfn.ANCHORARRAY(C702))</f>
        <v>1.1221156520910934E-2</v>
      </c>
    </row>
    <row r="704" spans="1:10" x14ac:dyDescent="0.25">
      <c r="A704" s="1" t="s">
        <v>4</v>
      </c>
      <c r="B704" t="s">
        <v>18</v>
      </c>
      <c r="C704" s="1" cm="1">
        <f t="array" ref="C704:G704">C695:G695+C703*C702:G702</f>
        <v>-1.1255447834245278</v>
      </c>
      <c r="D704" s="1">
        <v>1.932839894229057</v>
      </c>
      <c r="E704" s="1">
        <v>0.39755547302585925</v>
      </c>
      <c r="F704" s="1">
        <v>-0.67495954139792957</v>
      </c>
      <c r="G704" s="1">
        <v>-0.12015140458384066</v>
      </c>
    </row>
    <row r="705" spans="1:10" x14ac:dyDescent="0.25">
      <c r="A705" s="1">
        <v>79</v>
      </c>
      <c r="B705" t="s">
        <v>19</v>
      </c>
      <c r="C705" s="1">
        <f t="shared" ref="C705" si="1540">2*C704-F704*(D704^2)-2*G704*C704</f>
        <v>5.8278937231648342E-11</v>
      </c>
      <c r="D705" s="1">
        <f t="shared" ref="D705" si="1541">2*D704-2*F704*C704*D704+4*G704*D704</f>
        <v>-4.1488701363334712E-11</v>
      </c>
      <c r="E705" s="1">
        <f t="shared" ref="E705" si="1542">4*E704+2*F704+2*G704</f>
        <v>1.3989653879775688E-10</v>
      </c>
      <c r="F705" s="1">
        <f t="shared" ref="F705" si="1543">C704*(D704^2)-2*E704+5</f>
        <v>5.1372239795455243E-11</v>
      </c>
      <c r="G705" s="1">
        <f t="shared" ref="G705" si="1544">C704^2-2*(D704^2)-2*E704+7</f>
        <v>-4.3360870449760114E-12</v>
      </c>
      <c r="J705" s="1">
        <f t="shared" ref="J705" si="1545">0.5*(C705*C705+D705*D705+E705*E705+F705*F705+G705*G705)</f>
        <v>1.3673348552861019E-20</v>
      </c>
    </row>
    <row r="706" spans="1:10" x14ac:dyDescent="0.25">
      <c r="C706" s="5">
        <f t="shared" ref="C706" si="1546">2-2*G704</f>
        <v>2.2403028091676811</v>
      </c>
      <c r="D706" s="6">
        <f t="shared" ref="D706" si="1547">-2*F704*D704</f>
        <v>2.6091774572089341</v>
      </c>
      <c r="E706" s="6">
        <f>0</f>
        <v>0</v>
      </c>
      <c r="F706" s="6">
        <f t="shared" ref="F706" si="1548">-(D704^2)</f>
        <v>-3.7358700567233925</v>
      </c>
      <c r="G706" s="7">
        <f t="shared" ref="G706" si="1549">-2*C704</f>
        <v>2.2510895668490556</v>
      </c>
    </row>
    <row r="707" spans="1:10" x14ac:dyDescent="0.25">
      <c r="C707" s="8">
        <f t="shared" ref="C707" si="1550">-2*F704*D704</f>
        <v>2.6091774572089341</v>
      </c>
      <c r="D707" s="1">
        <f t="shared" ref="D707" si="1551">2-2*F704*C704+4*G704</f>
        <v>-2.1465051958102777E-11</v>
      </c>
      <c r="E707" s="1">
        <f>0</f>
        <v>0</v>
      </c>
      <c r="F707" s="1">
        <f t="shared" ref="F707" si="1552">-2*C704*D704</f>
        <v>4.3509957202886627</v>
      </c>
      <c r="G707" s="9">
        <f t="shared" ref="G707" si="1553">4*D704</f>
        <v>7.731359576916228</v>
      </c>
    </row>
    <row r="708" spans="1:10" x14ac:dyDescent="0.25">
      <c r="B708" t="s">
        <v>20</v>
      </c>
      <c r="C708" s="8">
        <f>0</f>
        <v>0</v>
      </c>
      <c r="D708" s="1">
        <f>0</f>
        <v>0</v>
      </c>
      <c r="E708" s="1">
        <f>4</f>
        <v>4</v>
      </c>
      <c r="F708" s="1">
        <f>2</f>
        <v>2</v>
      </c>
      <c r="G708" s="9">
        <f>2</f>
        <v>2</v>
      </c>
    </row>
    <row r="709" spans="1:10" x14ac:dyDescent="0.25">
      <c r="C709" s="8">
        <f t="shared" ref="C709" si="1554">(D704^2)</f>
        <v>3.7358700567233925</v>
      </c>
      <c r="D709" s="1">
        <f t="shared" ref="D709" si="1555">2*C704*D704</f>
        <v>-4.3509957202886627</v>
      </c>
      <c r="E709" s="1">
        <f t="shared" ref="E709:E710" si="1556">-2</f>
        <v>-2</v>
      </c>
      <c r="F709" s="1">
        <f>0</f>
        <v>0</v>
      </c>
      <c r="G709" s="9">
        <f>0</f>
        <v>0</v>
      </c>
    </row>
    <row r="710" spans="1:10" x14ac:dyDescent="0.25">
      <c r="C710" s="10">
        <f t="shared" ref="C710" si="1557">2*C704</f>
        <v>-2.2510895668490556</v>
      </c>
      <c r="D710" s="11">
        <f t="shared" ref="D710" si="1558">-4*D704</f>
        <v>-7.731359576916228</v>
      </c>
      <c r="E710" s="11">
        <f t="shared" si="1556"/>
        <v>-2</v>
      </c>
      <c r="F710" s="11">
        <f>0</f>
        <v>0</v>
      </c>
      <c r="G710" s="12">
        <f>0</f>
        <v>0</v>
      </c>
    </row>
    <row r="711" spans="1:10" x14ac:dyDescent="0.25">
      <c r="B711" t="s">
        <v>21</v>
      </c>
      <c r="C711" s="1" cm="1">
        <f t="array" ref="C711:G711">-MMULT(C705:G705,C706:G710)</f>
        <v>-2.2399201517583221E-10</v>
      </c>
      <c r="D711" s="1">
        <v>3.7936458134349141E-11</v>
      </c>
      <c r="E711" s="1">
        <v>-4.6551384969006904E-10</v>
      </c>
      <c r="F711" s="1">
        <v>1.1844662101806709E-10</v>
      </c>
      <c r="G711" s="1">
        <v>-9.022011654549311E-11</v>
      </c>
    </row>
    <row r="712" spans="1:10" x14ac:dyDescent="0.25">
      <c r="B712" t="s">
        <v>13</v>
      </c>
      <c r="C712" s="1">
        <f t="shared" ref="C712" si="1559">J705/SUMPRODUCT(_xlfn.ANCHORARRAY(C711),_xlfn.ANCHORARRAY(C711))</f>
        <v>4.7070915852923376E-2</v>
      </c>
    </row>
    <row r="713" spans="1:10" x14ac:dyDescent="0.25">
      <c r="A713" s="1" t="s">
        <v>4</v>
      </c>
      <c r="B713" t="s">
        <v>18</v>
      </c>
      <c r="C713" s="1" cm="1">
        <f t="array" ref="C713:G713">C704:G704+C712*C711:G711</f>
        <v>-1.1255447834350714</v>
      </c>
      <c r="D713" s="1">
        <v>1.9328398942308427</v>
      </c>
      <c r="E713" s="1">
        <v>0.39755547300394711</v>
      </c>
      <c r="F713" s="1">
        <v>-0.67495954139235415</v>
      </c>
      <c r="G713" s="1">
        <v>-0.1201514045880874</v>
      </c>
    </row>
    <row r="714" spans="1:10" x14ac:dyDescent="0.25">
      <c r="A714" s="1">
        <v>80</v>
      </c>
      <c r="B714" t="s">
        <v>19</v>
      </c>
      <c r="C714" s="1">
        <f t="shared" ref="C714" si="1560">2*C713-F713*(D713^2)-2*G713*C713</f>
        <v>8.9281915194305839E-12</v>
      </c>
      <c r="D714" s="1">
        <f t="shared" ref="D714" si="1561">2*D713-2*F713*C713*D713+4*G713*D713</f>
        <v>-7.757317010970155E-11</v>
      </c>
      <c r="E714" s="1">
        <f t="shared" ref="E714" si="1562">4*E713+2*F713+2*G713</f>
        <v>5.490535803787111E-11</v>
      </c>
      <c r="F714" s="1">
        <f t="shared" ref="F714" si="1563">C713*(D713^2)-2*E713+5</f>
        <v>4.8038018007900973E-11</v>
      </c>
      <c r="G714" s="1">
        <f t="shared" ref="G714" si="1564">C713^2-2*(D713^2)-2*E713+7</f>
        <v>4.9417359093695268E-11</v>
      </c>
      <c r="J714" s="1">
        <f t="shared" ref="J714" si="1565">0.5*(C714*C714+D714*D714+E714*E714+F714*F714+G714*G714)</f>
        <v>6.9308171099328943E-21</v>
      </c>
    </row>
    <row r="715" spans="1:10" x14ac:dyDescent="0.25">
      <c r="C715" s="5">
        <f t="shared" ref="C715" si="1566">2-2*G713</f>
        <v>2.2403028091761747</v>
      </c>
      <c r="D715" s="6">
        <f t="shared" ref="D715" si="1567">-2*F713*D713</f>
        <v>2.6091774571897917</v>
      </c>
      <c r="E715" s="6">
        <f>0</f>
        <v>0</v>
      </c>
      <c r="F715" s="6">
        <f t="shared" ref="F715" si="1568">-(D713^2)</f>
        <v>-3.7358700567302949</v>
      </c>
      <c r="G715" s="7">
        <f t="shared" ref="G715" si="1569">-2*C713</f>
        <v>2.2510895668701427</v>
      </c>
    </row>
    <row r="716" spans="1:10" x14ac:dyDescent="0.25">
      <c r="C716" s="8">
        <f t="shared" ref="C716" si="1570">-2*F713*D713</f>
        <v>2.6091774571897917</v>
      </c>
      <c r="D716" s="1">
        <f t="shared" ref="D716" si="1571">2-2*F713*C713+4*G713</f>
        <v>-4.0134229273292021E-11</v>
      </c>
      <c r="E716" s="1">
        <f>0</f>
        <v>0</v>
      </c>
      <c r="F716" s="1">
        <f t="shared" ref="F716" si="1572">-2*C713*D713</f>
        <v>4.3509957203334402</v>
      </c>
      <c r="G716" s="9">
        <f t="shared" ref="G716" si="1573">4*D713</f>
        <v>7.7313595769233707</v>
      </c>
    </row>
    <row r="717" spans="1:10" x14ac:dyDescent="0.25">
      <c r="B717" t="s">
        <v>20</v>
      </c>
      <c r="C717" s="8">
        <f>0</f>
        <v>0</v>
      </c>
      <c r="D717" s="1">
        <f>0</f>
        <v>0</v>
      </c>
      <c r="E717" s="1">
        <f>4</f>
        <v>4</v>
      </c>
      <c r="F717" s="1">
        <f>2</f>
        <v>2</v>
      </c>
      <c r="G717" s="9">
        <f>2</f>
        <v>2</v>
      </c>
    </row>
    <row r="718" spans="1:10" x14ac:dyDescent="0.25">
      <c r="C718" s="8">
        <f t="shared" ref="C718" si="1574">(D713^2)</f>
        <v>3.7358700567302949</v>
      </c>
      <c r="D718" s="1">
        <f t="shared" ref="D718" si="1575">2*C713*D713</f>
        <v>-4.3509957203334402</v>
      </c>
      <c r="E718" s="1">
        <f t="shared" ref="E718:E719" si="1576">-2</f>
        <v>-2</v>
      </c>
      <c r="F718" s="1">
        <f>0</f>
        <v>0</v>
      </c>
      <c r="G718" s="9">
        <f>0</f>
        <v>0</v>
      </c>
    </row>
    <row r="719" spans="1:10" x14ac:dyDescent="0.25">
      <c r="C719" s="10">
        <f t="shared" ref="C719" si="1577">2*C713</f>
        <v>-2.2510895668701427</v>
      </c>
      <c r="D719" s="11">
        <f t="shared" ref="D719" si="1578">-4*D713</f>
        <v>-7.7313595769233707</v>
      </c>
      <c r="E719" s="11">
        <f t="shared" si="1576"/>
        <v>-2</v>
      </c>
      <c r="F719" s="11">
        <f>0</f>
        <v>0</v>
      </c>
      <c r="G719" s="12">
        <f>0</f>
        <v>0</v>
      </c>
    </row>
    <row r="720" spans="1:10" x14ac:dyDescent="0.25">
      <c r="B720" t="s">
        <v>21</v>
      </c>
      <c r="C720" s="1" cm="1">
        <f t="array" ref="C720:G720">-MMULT(C714:G714,C715:G719)</f>
        <v>1.1417942260884385E-10</v>
      </c>
      <c r="D720" s="1">
        <v>5.677813472118953E-10</v>
      </c>
      <c r="E720" s="1">
        <v>-2.4710677948291959E-11</v>
      </c>
      <c r="F720" s="1">
        <v>2.6106437844246124E-10</v>
      </c>
      <c r="G720" s="1">
        <v>4.6983719678379598E-10</v>
      </c>
    </row>
    <row r="721" spans="1:10" x14ac:dyDescent="0.25">
      <c r="B721" t="s">
        <v>13</v>
      </c>
      <c r="C721" s="1">
        <f t="shared" ref="C721" si="1579">J714/SUMPRODUCT(_xlfn.ANCHORARRAY(C720),_xlfn.ANCHORARRAY(C720))</f>
        <v>1.1090641490151409E-2</v>
      </c>
    </row>
    <row r="722" spans="1:10" x14ac:dyDescent="0.25">
      <c r="A722" s="1" t="s">
        <v>4</v>
      </c>
      <c r="B722" t="s">
        <v>18</v>
      </c>
      <c r="C722" s="1" cm="1">
        <f t="array" ref="C722:G722">C713:G713+C721*C720:G720</f>
        <v>-1.125544783433805</v>
      </c>
      <c r="D722" s="1">
        <v>1.9328398942371396</v>
      </c>
      <c r="E722" s="1">
        <v>0.39755547300367305</v>
      </c>
      <c r="F722" s="1">
        <v>-0.67495954138945879</v>
      </c>
      <c r="G722" s="1">
        <v>-0.12015140458287661</v>
      </c>
    </row>
    <row r="723" spans="1:10" x14ac:dyDescent="0.25">
      <c r="A723" s="1">
        <v>81</v>
      </c>
      <c r="B723" t="s">
        <v>19</v>
      </c>
      <c r="C723" s="1">
        <f t="shared" ref="C723" si="1580">2*C722-F722*(D722^2)-2*G722*C722</f>
        <v>2.9108382371134667E-11</v>
      </c>
      <c r="D723" s="1">
        <f t="shared" ref="D723" si="1581">2*D722-2*F722*C722*D722+4*G722*D722</f>
        <v>-2.1385115900329765E-11</v>
      </c>
      <c r="E723" s="1">
        <f t="shared" ref="E723" si="1582">4*E722+2*F722+2*G722</f>
        <v>7.002140534062562E-11</v>
      </c>
      <c r="F723" s="1">
        <f t="shared" ref="F723" si="1583">C722*(D722^2)-2*E722+5</f>
        <v>2.5918822643689055E-11</v>
      </c>
      <c r="G723" s="1">
        <f t="shared" ref="G723" si="1584">C722^2-2*(D722^2)-2*E722+7</f>
        <v>-1.5702994460298214E-12</v>
      </c>
      <c r="J723" s="1">
        <f t="shared" ref="J723" si="1585">0.5*(C723*C723+D723*D723+E723*E723+F723*F723+G723*G723)</f>
        <v>3.4409347598980623E-21</v>
      </c>
    </row>
    <row r="724" spans="1:10" x14ac:dyDescent="0.25">
      <c r="C724" s="5">
        <f t="shared" ref="C724" si="1586">2-2*G722</f>
        <v>2.2403028091657533</v>
      </c>
      <c r="D724" s="6">
        <f t="shared" ref="D724" si="1587">-2*F722*D722</f>
        <v>2.6091774571870996</v>
      </c>
      <c r="E724" s="6">
        <f>0</f>
        <v>0</v>
      </c>
      <c r="F724" s="6">
        <f t="shared" ref="F724" si="1588">-(D722^2)</f>
        <v>-3.7358700567546372</v>
      </c>
      <c r="G724" s="7">
        <f t="shared" ref="G724" si="1589">-2*C722</f>
        <v>2.2510895668676101</v>
      </c>
    </row>
    <row r="725" spans="1:10" x14ac:dyDescent="0.25">
      <c r="C725" s="8">
        <f t="shared" ref="C725" si="1590">-2*F722*D722</f>
        <v>2.6091774571870996</v>
      </c>
      <c r="D725" s="1">
        <f t="shared" ref="D725" si="1591">2-2*F722*C722+4*G722</f>
        <v>-1.1064094085355691E-11</v>
      </c>
      <c r="E725" s="1">
        <f>0</f>
        <v>0</v>
      </c>
      <c r="F725" s="1">
        <f t="shared" ref="F725" si="1592">-2*C722*D722</f>
        <v>4.3509957203427199</v>
      </c>
      <c r="G725" s="9">
        <f t="shared" ref="G725" si="1593">4*D722</f>
        <v>7.7313595769485586</v>
      </c>
    </row>
    <row r="726" spans="1:10" x14ac:dyDescent="0.25">
      <c r="B726" t="s">
        <v>20</v>
      </c>
      <c r="C726" s="8">
        <f>0</f>
        <v>0</v>
      </c>
      <c r="D726" s="1">
        <f>0</f>
        <v>0</v>
      </c>
      <c r="E726" s="1">
        <f>4</f>
        <v>4</v>
      </c>
      <c r="F726" s="1">
        <f>2</f>
        <v>2</v>
      </c>
      <c r="G726" s="9">
        <f>2</f>
        <v>2</v>
      </c>
    </row>
    <row r="727" spans="1:10" x14ac:dyDescent="0.25">
      <c r="C727" s="8">
        <f t="shared" ref="C727" si="1594">(D722^2)</f>
        <v>3.7358700567546372</v>
      </c>
      <c r="D727" s="1">
        <f t="shared" ref="D727" si="1595">2*C722*D722</f>
        <v>-4.3509957203427199</v>
      </c>
      <c r="E727" s="1">
        <f t="shared" ref="E727:E728" si="1596">-2</f>
        <v>-2</v>
      </c>
      <c r="F727" s="1">
        <f>0</f>
        <v>0</v>
      </c>
      <c r="G727" s="9">
        <f>0</f>
        <v>0</v>
      </c>
    </row>
    <row r="728" spans="1:10" x14ac:dyDescent="0.25">
      <c r="C728" s="10">
        <f t="shared" ref="C728" si="1597">2*C722</f>
        <v>-2.2510895668676101</v>
      </c>
      <c r="D728" s="11">
        <f t="shared" ref="D728" si="1598">-4*D722</f>
        <v>-7.7313595769485586</v>
      </c>
      <c r="E728" s="11">
        <f t="shared" si="1596"/>
        <v>-2</v>
      </c>
      <c r="F728" s="11">
        <f>0</f>
        <v>0</v>
      </c>
      <c r="G728" s="12">
        <f>0</f>
        <v>0</v>
      </c>
    </row>
    <row r="729" spans="1:10" x14ac:dyDescent="0.25">
      <c r="B729" t="s">
        <v>21</v>
      </c>
      <c r="C729" s="1" cm="1">
        <f t="array" ref="C729:G729">-MMULT(C723:G723,C724:G728)</f>
        <v>-1.0977826659055779E-10</v>
      </c>
      <c r="D729" s="1">
        <v>2.4683201640089831E-11</v>
      </c>
      <c r="E729" s="1">
        <v>-2.3138857496718401E-10</v>
      </c>
      <c r="F729" s="1">
        <v>6.1748871181003165E-11</v>
      </c>
      <c r="G729" s="1">
        <v>-4.0232365925136117E-11</v>
      </c>
    </row>
    <row r="730" spans="1:10" x14ac:dyDescent="0.25">
      <c r="B730" t="s">
        <v>13</v>
      </c>
      <c r="C730" s="1">
        <f t="shared" ref="C730" si="1599">J723/SUMPRODUCT(_xlfn.ANCHORARRAY(C729),_xlfn.ANCHORARRAY(C729))</f>
        <v>4.8035764808105827E-2</v>
      </c>
    </row>
    <row r="731" spans="1:10" x14ac:dyDescent="0.25">
      <c r="A731" s="1" t="s">
        <v>4</v>
      </c>
      <c r="B731" t="s">
        <v>18</v>
      </c>
      <c r="C731" s="1" cm="1">
        <f t="array" ref="C731:G731">C722:G722+C730*C729:G729</f>
        <v>-1.1255447834390784</v>
      </c>
      <c r="D731" s="1">
        <v>1.9328398942383254</v>
      </c>
      <c r="E731" s="1">
        <v>0.39755547299255811</v>
      </c>
      <c r="F731" s="1">
        <v>-0.67495954138649261</v>
      </c>
      <c r="G731" s="1">
        <v>-0.1201514045848092</v>
      </c>
    </row>
    <row r="732" spans="1:10" x14ac:dyDescent="0.25">
      <c r="A732" s="1">
        <v>82</v>
      </c>
      <c r="B732" t="s">
        <v>19</v>
      </c>
      <c r="C732" s="1">
        <f t="shared" ref="C732" si="1600">2*C731-F731*(D731^2)-2*G731*C731</f>
        <v>4.9567017157414739E-12</v>
      </c>
      <c r="D732" s="1">
        <f t="shared" ref="D732" si="1601">2*D731-2*F731*C731*D731+4*G731*D731</f>
        <v>-3.7179814782462017E-11</v>
      </c>
      <c r="E732" s="1">
        <f t="shared" ref="E732" si="1602">4*E731+2*F731+2*G731</f>
        <v>2.7628815901792336E-11</v>
      </c>
      <c r="F732" s="1">
        <f t="shared" ref="F732" si="1603">C731*(D731^2)-2*E731+5</f>
        <v>2.3288926342956984E-11</v>
      </c>
      <c r="G732" s="1">
        <f t="shared" ref="G732" si="1604">C731^2-2*(D731^2)-2*E731+7</f>
        <v>2.3364421508631494E-11</v>
      </c>
      <c r="J732" s="1">
        <f t="shared" ref="J732" si="1605">0.5*(C732*C732+D732*D732+E732*E732+F732*F732+G732*G732)</f>
        <v>1.6292646349664132E-21</v>
      </c>
    </row>
    <row r="733" spans="1:10" x14ac:dyDescent="0.25">
      <c r="C733" s="5">
        <f t="shared" ref="C733" si="1606">2-2*G731</f>
        <v>2.2403028091696182</v>
      </c>
      <c r="D733" s="6">
        <f t="shared" ref="D733" si="1607">-2*F731*D731</f>
        <v>2.6091774571772341</v>
      </c>
      <c r="E733" s="6">
        <f>0</f>
        <v>0</v>
      </c>
      <c r="F733" s="6">
        <f t="shared" ref="F733" si="1608">-(D731^2)</f>
        <v>-3.7358700567592207</v>
      </c>
      <c r="G733" s="7">
        <f t="shared" ref="G733" si="1609">-2*C731</f>
        <v>2.2510895668781568</v>
      </c>
    </row>
    <row r="734" spans="1:10" x14ac:dyDescent="0.25">
      <c r="C734" s="8">
        <f t="shared" ref="C734" si="1610">-2*F731*D731</f>
        <v>2.6091774571772341</v>
      </c>
      <c r="D734" s="1">
        <f t="shared" ref="D734" si="1611">2-2*F731*C731+4*G731</f>
        <v>-1.9235890658109156E-11</v>
      </c>
      <c r="E734" s="1">
        <f>0</f>
        <v>0</v>
      </c>
      <c r="F734" s="1">
        <f t="shared" ref="F734" si="1612">-2*C731*D731</f>
        <v>4.3509957203657743</v>
      </c>
      <c r="G734" s="9">
        <f t="shared" ref="G734" si="1613">4*D731</f>
        <v>7.7313595769533014</v>
      </c>
    </row>
    <row r="735" spans="1:10" x14ac:dyDescent="0.25">
      <c r="B735" t="s">
        <v>20</v>
      </c>
      <c r="C735" s="8">
        <f>0</f>
        <v>0</v>
      </c>
      <c r="D735" s="1">
        <f>0</f>
        <v>0</v>
      </c>
      <c r="E735" s="1">
        <f>4</f>
        <v>4</v>
      </c>
      <c r="F735" s="1">
        <f>2</f>
        <v>2</v>
      </c>
      <c r="G735" s="9">
        <f>2</f>
        <v>2</v>
      </c>
    </row>
    <row r="736" spans="1:10" x14ac:dyDescent="0.25">
      <c r="C736" s="8">
        <f t="shared" ref="C736" si="1614">(D731^2)</f>
        <v>3.7358700567592207</v>
      </c>
      <c r="D736" s="1">
        <f t="shared" ref="D736" si="1615">2*C731*D731</f>
        <v>-4.3509957203657743</v>
      </c>
      <c r="E736" s="1">
        <f t="shared" ref="E736:E737" si="1616">-2</f>
        <v>-2</v>
      </c>
      <c r="F736" s="1">
        <f>0</f>
        <v>0</v>
      </c>
      <c r="G736" s="9">
        <f>0</f>
        <v>0</v>
      </c>
    </row>
    <row r="737" spans="1:10" x14ac:dyDescent="0.25">
      <c r="C737" s="10">
        <f t="shared" ref="C737" si="1617">2*C731</f>
        <v>-2.2510895668781568</v>
      </c>
      <c r="D737" s="11">
        <f t="shared" ref="D737" si="1618">-4*D731</f>
        <v>-7.7313595769533014</v>
      </c>
      <c r="E737" s="11">
        <f t="shared" si="1616"/>
        <v>-2</v>
      </c>
      <c r="F737" s="11">
        <f>0</f>
        <v>0</v>
      </c>
      <c r="G737" s="12">
        <f>0</f>
        <v>0</v>
      </c>
    </row>
    <row r="738" spans="1:10" x14ac:dyDescent="0.25">
      <c r="B738" t="s">
        <v>21</v>
      </c>
      <c r="C738" s="1" cm="1">
        <f t="array" ref="C738:G738">-MMULT(C732:G732,C733:G737)</f>
        <v>5.1495224729933239E-11</v>
      </c>
      <c r="D738" s="1">
        <v>2.6903584846147183E-10</v>
      </c>
      <c r="E738" s="1">
        <v>-1.7208567903992389E-11</v>
      </c>
      <c r="F738" s="1">
        <v>1.2502917671902532E-10</v>
      </c>
      <c r="G738" s="1">
        <v>2.2103490576572026E-10</v>
      </c>
    </row>
    <row r="739" spans="1:10" x14ac:dyDescent="0.25">
      <c r="B739" t="s">
        <v>13</v>
      </c>
      <c r="C739" s="1">
        <f t="shared" ref="C739" si="1619">J732/SUMPRODUCT(_xlfn.ANCHORARRAY(C738),_xlfn.ANCHORARRAY(C738))</f>
        <v>1.1652844347167214E-2</v>
      </c>
    </row>
    <row r="740" spans="1:10" x14ac:dyDescent="0.25">
      <c r="A740" s="1" t="s">
        <v>4</v>
      </c>
      <c r="B740" t="s">
        <v>18</v>
      </c>
      <c r="C740" s="1" cm="1">
        <f t="array" ref="C740:G740">C731:G731+C739*C738:G738</f>
        <v>-1.1255447834384784</v>
      </c>
      <c r="D740" s="1">
        <v>1.9328398942414604</v>
      </c>
      <c r="E740" s="1">
        <v>0.39755547299235761</v>
      </c>
      <c r="F740" s="1">
        <v>-0.67495954138503567</v>
      </c>
      <c r="G740" s="1">
        <v>-0.12015140458223351</v>
      </c>
    </row>
    <row r="741" spans="1:10" x14ac:dyDescent="0.25">
      <c r="A741" s="1">
        <v>83</v>
      </c>
      <c r="B741" t="s">
        <v>19</v>
      </c>
      <c r="C741" s="1">
        <f t="shared" ref="C741" si="1620">2*C740-F740*(D740^2)-2*G740*C740</f>
        <v>1.4835799255763504E-11</v>
      </c>
      <c r="D741" s="1">
        <f t="shared" ref="D741" si="1621">2*D740-2*F740*C740*D740+4*G740*D740</f>
        <v>-9.36184463284917E-12</v>
      </c>
      <c r="E741" s="1">
        <f t="shared" ref="E741" si="1622">4*E740+2*F740+2*G740</f>
        <v>3.4892061462343804E-11</v>
      </c>
      <c r="F741" s="1">
        <f t="shared" ref="F741" si="1623">C740*(D740^2)-2*E740+5</f>
        <v>1.2290612971810333E-11</v>
      </c>
      <c r="G741" s="1">
        <f t="shared" ref="G741" si="1624">C740^2-2*(D740^2)-2*E740+7</f>
        <v>-1.8243184740640572E-12</v>
      </c>
      <c r="J741" s="1">
        <f t="shared" ref="J741" si="1625">0.5*(C741*C741+D741*D741+E741*E741+F741*F741+G741*G741)</f>
        <v>8.3979416634827062E-22</v>
      </c>
    </row>
    <row r="742" spans="1:10" x14ac:dyDescent="0.25">
      <c r="C742" s="5">
        <f t="shared" ref="C742" si="1626">2-2*G740</f>
        <v>2.2403028091644672</v>
      </c>
      <c r="D742" s="6">
        <f t="shared" ref="D742" si="1627">-2*F740*D740</f>
        <v>2.6091774571758339</v>
      </c>
      <c r="E742" s="6">
        <f>0</f>
        <v>0</v>
      </c>
      <c r="F742" s="6">
        <f t="shared" ref="F742" si="1628">-(D740^2)</f>
        <v>-3.7358700567713399</v>
      </c>
      <c r="G742" s="7">
        <f t="shared" ref="G742" si="1629">-2*C740</f>
        <v>2.2510895668769568</v>
      </c>
    </row>
    <row r="743" spans="1:10" x14ac:dyDescent="0.25">
      <c r="C743" s="8">
        <f t="shared" ref="C743" si="1630">-2*F740*D740</f>
        <v>2.6091774571758339</v>
      </c>
      <c r="D743" s="1">
        <f t="shared" ref="D743" si="1631">2-2*F740*C740+4*G740</f>
        <v>-4.8435144783809392E-12</v>
      </c>
      <c r="E743" s="1">
        <f>0</f>
        <v>0</v>
      </c>
      <c r="F743" s="1">
        <f t="shared" ref="F743" si="1632">-2*C740*D740</f>
        <v>4.3509957203705119</v>
      </c>
      <c r="G743" s="9">
        <f t="shared" ref="G743" si="1633">4*D740</f>
        <v>7.7313595769658416</v>
      </c>
    </row>
    <row r="744" spans="1:10" x14ac:dyDescent="0.25">
      <c r="B744" t="s">
        <v>20</v>
      </c>
      <c r="C744" s="8">
        <f>0</f>
        <v>0</v>
      </c>
      <c r="D744" s="1">
        <f>0</f>
        <v>0</v>
      </c>
      <c r="E744" s="1">
        <f>4</f>
        <v>4</v>
      </c>
      <c r="F744" s="1">
        <f>2</f>
        <v>2</v>
      </c>
      <c r="G744" s="9">
        <f>2</f>
        <v>2</v>
      </c>
    </row>
    <row r="745" spans="1:10" x14ac:dyDescent="0.25">
      <c r="C745" s="8">
        <f t="shared" ref="C745" si="1634">(D740^2)</f>
        <v>3.7358700567713399</v>
      </c>
      <c r="D745" s="1">
        <f t="shared" ref="D745" si="1635">2*C740*D740</f>
        <v>-4.3509957203705119</v>
      </c>
      <c r="E745" s="1">
        <f t="shared" ref="E745:E746" si="1636">-2</f>
        <v>-2</v>
      </c>
      <c r="F745" s="1">
        <f>0</f>
        <v>0</v>
      </c>
      <c r="G745" s="9">
        <f>0</f>
        <v>0</v>
      </c>
    </row>
    <row r="746" spans="1:10" x14ac:dyDescent="0.25">
      <c r="C746" s="10">
        <f t="shared" ref="C746" si="1637">2*C740</f>
        <v>-2.2510895668769568</v>
      </c>
      <c r="D746" s="11">
        <f t="shared" ref="D746" si="1638">-4*D740</f>
        <v>-7.7313595769658416</v>
      </c>
      <c r="E746" s="11">
        <f t="shared" si="1636"/>
        <v>-2</v>
      </c>
      <c r="F746" s="11">
        <f>0</f>
        <v>0</v>
      </c>
      <c r="G746" s="12">
        <f>0</f>
        <v>0</v>
      </c>
    </row>
    <row r="747" spans="1:10" x14ac:dyDescent="0.25">
      <c r="B747" t="s">
        <v>21</v>
      </c>
      <c r="C747" s="1" cm="1">
        <f t="array" ref="C747:G747">-MMULT(C741:G741,C742:G746)</f>
        <v>-5.8832806039652592E-11</v>
      </c>
      <c r="D747" s="1">
        <v>6.6270935781670426E-13</v>
      </c>
      <c r="E747" s="1">
        <v>-1.1863565685388267E-10</v>
      </c>
      <c r="F747" s="1">
        <v>2.6373841215490187E-11</v>
      </c>
      <c r="G747" s="1">
        <v>-3.0801048685373056E-11</v>
      </c>
    </row>
    <row r="748" spans="1:10" x14ac:dyDescent="0.25">
      <c r="B748" t="s">
        <v>13</v>
      </c>
      <c r="C748" s="1">
        <f t="shared" ref="C748" si="1639">J741/SUMPRODUCT(_xlfn.ANCHORARRAY(C747),_xlfn.ANCHORARRAY(C747))</f>
        <v>4.3783881069894857E-2</v>
      </c>
    </row>
    <row r="749" spans="1:10" x14ac:dyDescent="0.25">
      <c r="A749" s="1" t="s">
        <v>4</v>
      </c>
      <c r="B749" t="s">
        <v>18</v>
      </c>
      <c r="C749" s="1" cm="1">
        <f t="array" ref="C749:G749">C740:G740+C748*C747:G747</f>
        <v>-1.1255447834410544</v>
      </c>
      <c r="D749" s="1">
        <v>1.9328398942414895</v>
      </c>
      <c r="E749" s="1">
        <v>0.39755547298716326</v>
      </c>
      <c r="F749" s="1">
        <v>-0.67495954138388092</v>
      </c>
      <c r="G749" s="1">
        <v>-0.1201514045835821</v>
      </c>
    </row>
    <row r="750" spans="1:10" x14ac:dyDescent="0.25">
      <c r="A750" s="1">
        <v>84</v>
      </c>
      <c r="B750" t="s">
        <v>19</v>
      </c>
      <c r="C750" s="1">
        <f t="shared" ref="C750" si="1640">2*C749-F749*(D749^2)-2*G749*C749</f>
        <v>1.7911783167789963E-12</v>
      </c>
      <c r="D750" s="1">
        <f t="shared" ref="D750" si="1641">2*D749-2*F749*C749*D749+4*G749*D749</f>
        <v>-2.1484924950243567E-11</v>
      </c>
      <c r="E750" s="1">
        <f t="shared" ref="E750" si="1642">4*E749+2*F749+2*G749</f>
        <v>1.3726991765494745E-11</v>
      </c>
      <c r="F750" s="1">
        <f t="shared" ref="F750" si="1643">C749*(D749^2)-2*E749+5</f>
        <v>1.2930101433994423E-11</v>
      </c>
      <c r="G750" s="1">
        <f t="shared" ref="G750" si="1644">C749^2-2*(D749^2)-2*E749+7</f>
        <v>1.4138912263206294E-11</v>
      </c>
      <c r="J750" s="1">
        <f t="shared" ref="J750" si="1645">0.5*(C750*C750+D750*D750+E750*E750+F750*F750+G750*G750)</f>
        <v>5.1016849294504413E-22</v>
      </c>
    </row>
    <row r="751" spans="1:10" x14ac:dyDescent="0.25">
      <c r="C751" s="5">
        <f t="shared" ref="C751" si="1646">2-2*G749</f>
        <v>2.2403028091671642</v>
      </c>
      <c r="D751" s="6">
        <f t="shared" ref="D751" si="1647">-2*F749*D749</f>
        <v>2.6091774571714095</v>
      </c>
      <c r="E751" s="6">
        <f>0</f>
        <v>0</v>
      </c>
      <c r="F751" s="6">
        <f t="shared" ref="F751" si="1648">-(D749^2)</f>
        <v>-3.7358700567714522</v>
      </c>
      <c r="G751" s="7">
        <f t="shared" ref="G751" si="1649">-2*C749</f>
        <v>2.2510895668821087</v>
      </c>
    </row>
    <row r="752" spans="1:10" x14ac:dyDescent="0.25">
      <c r="C752" s="8">
        <f t="shared" ref="C752" si="1650">-2*F749*D749</f>
        <v>2.6091774571714095</v>
      </c>
      <c r="D752" s="1">
        <f t="shared" ref="D752" si="1651">2-2*F749*C749+4*G749</f>
        <v>-1.1115608433698299E-11</v>
      </c>
      <c r="E752" s="1">
        <f>0</f>
        <v>0</v>
      </c>
      <c r="F752" s="1">
        <f t="shared" ref="F752" si="1652">-2*C749*D749</f>
        <v>4.3509957203805349</v>
      </c>
      <c r="G752" s="9">
        <f t="shared" ref="G752" si="1653">4*D749</f>
        <v>7.731359576965958</v>
      </c>
    </row>
    <row r="753" spans="1:10" x14ac:dyDescent="0.25">
      <c r="B753" t="s">
        <v>20</v>
      </c>
      <c r="C753" s="8">
        <f>0</f>
        <v>0</v>
      </c>
      <c r="D753" s="1">
        <f>0</f>
        <v>0</v>
      </c>
      <c r="E753" s="1">
        <f>4</f>
        <v>4</v>
      </c>
      <c r="F753" s="1">
        <f>2</f>
        <v>2</v>
      </c>
      <c r="G753" s="9">
        <f>2</f>
        <v>2</v>
      </c>
    </row>
    <row r="754" spans="1:10" x14ac:dyDescent="0.25">
      <c r="C754" s="8">
        <f t="shared" ref="C754" si="1654">(D749^2)</f>
        <v>3.7358700567714522</v>
      </c>
      <c r="D754" s="1">
        <f t="shared" ref="D754" si="1655">2*C749*D749</f>
        <v>-4.3509957203805349</v>
      </c>
      <c r="E754" s="1">
        <f t="shared" ref="E754:E755" si="1656">-2</f>
        <v>-2</v>
      </c>
      <c r="F754" s="1">
        <f>0</f>
        <v>0</v>
      </c>
      <c r="G754" s="9">
        <f>0</f>
        <v>0</v>
      </c>
    </row>
    <row r="755" spans="1:10" x14ac:dyDescent="0.25">
      <c r="C755" s="10">
        <f t="shared" ref="C755" si="1657">2*C749</f>
        <v>-2.2510895668821087</v>
      </c>
      <c r="D755" s="11">
        <f t="shared" ref="D755" si="1658">-4*D749</f>
        <v>-7.731359576965958</v>
      </c>
      <c r="E755" s="11">
        <f t="shared" si="1656"/>
        <v>-2</v>
      </c>
      <c r="F755" s="11">
        <f>0</f>
        <v>0</v>
      </c>
      <c r="G755" s="12">
        <f>0</f>
        <v>0</v>
      </c>
    </row>
    <row r="756" spans="1:10" x14ac:dyDescent="0.25">
      <c r="B756" t="s">
        <v>21</v>
      </c>
      <c r="C756" s="1" cm="1">
        <f t="array" ref="C756:G756">-MMULT(C750:G750,C751:G755)</f>
        <v>3.5567979138883595E-11</v>
      </c>
      <c r="D756" s="1">
        <v>1.6089832865126455E-10</v>
      </c>
      <c r="E756" s="1">
        <v>-7.6993966757754606E-13</v>
      </c>
      <c r="F756" s="1">
        <v>7.2718442420210182E-11</v>
      </c>
      <c r="G756" s="1">
        <v>1.3462159392214431E-10</v>
      </c>
    </row>
    <row r="757" spans="1:10" x14ac:dyDescent="0.25">
      <c r="B757" t="s">
        <v>13</v>
      </c>
      <c r="C757" s="1">
        <f t="shared" ref="C757" si="1659">J750/SUMPRODUCT(_xlfn.ANCHORARRAY(C756),_xlfn.ANCHORARRAY(C756))</f>
        <v>1.0089381733610065E-2</v>
      </c>
    </row>
    <row r="758" spans="1:10" x14ac:dyDescent="0.25">
      <c r="A758" s="1" t="s">
        <v>4</v>
      </c>
      <c r="B758" t="s">
        <v>18</v>
      </c>
      <c r="C758" s="1" cm="1">
        <f t="array" ref="C758:G758">C749:G749+C757*C756:G756</f>
        <v>-1.1255447834406955</v>
      </c>
      <c r="D758" s="1">
        <v>1.9328398942431129</v>
      </c>
      <c r="E758" s="1">
        <v>0.39755547298715549</v>
      </c>
      <c r="F758" s="1">
        <v>-0.67495954138314729</v>
      </c>
      <c r="G758" s="1">
        <v>-0.12015140458222386</v>
      </c>
    </row>
    <row r="759" spans="1:10" x14ac:dyDescent="0.25">
      <c r="A759" s="1">
        <v>85</v>
      </c>
      <c r="B759" t="s">
        <v>19</v>
      </c>
      <c r="C759" s="1">
        <f t="shared" ref="C759" si="1660">2*C758-F758*(D758^2)-2*G758*C758</f>
        <v>7.1473937879318328E-12</v>
      </c>
      <c r="D759" s="1">
        <f t="shared" ref="D759" si="1661">2*D758-2*F758*C758*D758+4*G758*D758</f>
        <v>-6.8555161547578791E-12</v>
      </c>
      <c r="E759" s="1">
        <f t="shared" ref="E759" si="1662">4*E758+2*F758+2*G758</f>
        <v>1.787966996680268E-11</v>
      </c>
      <c r="F759" s="1">
        <f t="shared" ref="F759" si="1663">C758*(D758^2)-2*E758+5</f>
        <v>7.2226669090014184E-12</v>
      </c>
      <c r="G759" s="1">
        <f t="shared" ref="G759" si="1664">C758^2-2*(D758^2)-2*E758+7</f>
        <v>7.9669604247101233E-13</v>
      </c>
      <c r="J759" s="1">
        <f t="shared" ref="J759" si="1665">0.5*(C759*C759+D759*D759+E759*E759+F759*F759+G759*G759)</f>
        <v>2.3528378984608582E-22</v>
      </c>
    </row>
    <row r="760" spans="1:10" x14ac:dyDescent="0.25">
      <c r="C760" s="5">
        <f t="shared" ref="C760" si="1666">2-2*G758</f>
        <v>2.2403028091644477</v>
      </c>
      <c r="D760" s="6">
        <f t="shared" ref="D760" si="1667">-2*F758*D758</f>
        <v>2.6091774571707647</v>
      </c>
      <c r="E760" s="6">
        <f>0</f>
        <v>0</v>
      </c>
      <c r="F760" s="6">
        <f t="shared" ref="F760" si="1668">-(D758^2)</f>
        <v>-3.7358700567777277</v>
      </c>
      <c r="G760" s="7">
        <f t="shared" ref="G760" si="1669">-2*C758</f>
        <v>2.2510895668813911</v>
      </c>
    </row>
    <row r="761" spans="1:10" x14ac:dyDescent="0.25">
      <c r="C761" s="8">
        <f t="shared" ref="C761" si="1670">-2*F758*D758</f>
        <v>2.6091774571707647</v>
      </c>
      <c r="D761" s="1">
        <f t="shared" ref="D761" si="1671">2-2*F758*C758+4*G758</f>
        <v>-3.5467739856187563E-12</v>
      </c>
      <c r="E761" s="1">
        <f>0</f>
        <v>0</v>
      </c>
      <c r="F761" s="1">
        <f t="shared" ref="F761" si="1672">-2*C758*D758</f>
        <v>4.3509957203828025</v>
      </c>
      <c r="G761" s="9">
        <f t="shared" ref="G761" si="1673">4*D758</f>
        <v>7.7313595769724515</v>
      </c>
    </row>
    <row r="762" spans="1:10" x14ac:dyDescent="0.25">
      <c r="B762" t="s">
        <v>20</v>
      </c>
      <c r="C762" s="8">
        <f>0</f>
        <v>0</v>
      </c>
      <c r="D762" s="1">
        <f>0</f>
        <v>0</v>
      </c>
      <c r="E762" s="1">
        <f>4</f>
        <v>4</v>
      </c>
      <c r="F762" s="1">
        <f>2</f>
        <v>2</v>
      </c>
      <c r="G762" s="9">
        <f>2</f>
        <v>2</v>
      </c>
    </row>
    <row r="763" spans="1:10" x14ac:dyDescent="0.25">
      <c r="C763" s="8">
        <f t="shared" ref="C763" si="1674">(D758^2)</f>
        <v>3.7358700567777277</v>
      </c>
      <c r="D763" s="1">
        <f t="shared" ref="D763" si="1675">2*C758*D758</f>
        <v>-4.3509957203828025</v>
      </c>
      <c r="E763" s="1">
        <f t="shared" ref="E763:E764" si="1676">-2</f>
        <v>-2</v>
      </c>
      <c r="F763" s="1">
        <f>0</f>
        <v>0</v>
      </c>
      <c r="G763" s="9">
        <f>0</f>
        <v>0</v>
      </c>
    </row>
    <row r="764" spans="1:10" x14ac:dyDescent="0.25">
      <c r="C764" s="10">
        <f t="shared" ref="C764" si="1677">2*C758</f>
        <v>-2.2510895668813911</v>
      </c>
      <c r="D764" s="11">
        <f t="shared" ref="D764" si="1678">-4*D758</f>
        <v>-7.7313595769724515</v>
      </c>
      <c r="E764" s="11">
        <f t="shared" si="1676"/>
        <v>-2</v>
      </c>
      <c r="F764" s="11">
        <f>0</f>
        <v>0</v>
      </c>
      <c r="G764" s="12">
        <f>0</f>
        <v>0</v>
      </c>
    </row>
    <row r="765" spans="1:10" x14ac:dyDescent="0.25">
      <c r="B765" t="s">
        <v>21</v>
      </c>
      <c r="C765" s="1" cm="1">
        <f t="array" ref="C765:G765">-MMULT(C759:G759,C760:G764)</f>
        <v>-2.33145790592795E-11</v>
      </c>
      <c r="D765" s="1">
        <v>1.8936517639691552E-11</v>
      </c>
      <c r="E765" s="1">
        <v>-5.547995396426586E-11</v>
      </c>
      <c r="F765" s="1">
        <v>2.0770715953095017E-11</v>
      </c>
      <c r="G765" s="1">
        <v>1.1536969581651068E-12</v>
      </c>
    </row>
    <row r="766" spans="1:10" x14ac:dyDescent="0.25">
      <c r="B766" t="s">
        <v>13</v>
      </c>
      <c r="C766" s="1">
        <f t="shared" ref="C766" si="1679">J759/SUMPRODUCT(_xlfn.ANCHORARRAY(C765),_xlfn.ANCHORARRAY(C765))</f>
        <v>5.3316785790980641E-2</v>
      </c>
    </row>
    <row r="767" spans="1:10" x14ac:dyDescent="0.25">
      <c r="A767" s="1" t="s">
        <v>4</v>
      </c>
      <c r="B767" t="s">
        <v>18</v>
      </c>
      <c r="C767" s="1" cm="1">
        <f t="array" ref="C767:G767">C758:G758+C766*C765:G765</f>
        <v>-1.1255447834419385</v>
      </c>
      <c r="D767" s="1">
        <v>1.9328398942441225</v>
      </c>
      <c r="E767" s="1">
        <v>0.39755547298419747</v>
      </c>
      <c r="F767" s="1">
        <v>-0.67495954138203984</v>
      </c>
      <c r="G767" s="1">
        <v>-0.12015140458216235</v>
      </c>
    </row>
    <row r="768" spans="1:10" x14ac:dyDescent="0.25">
      <c r="A768" s="1">
        <v>86</v>
      </c>
      <c r="B768" t="s">
        <v>19</v>
      </c>
      <c r="C768" s="1">
        <f t="shared" ref="C768" si="1680">2*C767-F767*(D767^2)-2*G767*C767</f>
        <v>2.9983793226051603E-12</v>
      </c>
      <c r="D768" s="1">
        <f t="shared" ref="D768" si="1681">2*D767-2*F767*C767*D767+4*G767*D767</f>
        <v>-4.8046011613678274E-12</v>
      </c>
      <c r="E768" s="1">
        <f t="shared" ref="E768" si="1682">4*E767+2*F767+2*G767</f>
        <v>8.3854867494181917E-12</v>
      </c>
      <c r="F768" s="1">
        <f t="shared" ref="F768" si="1683">C767*(D767^2)-2*E767+5</f>
        <v>4.1016079421751783E-12</v>
      </c>
      <c r="G768" s="1">
        <f t="shared" ref="G768" si="1684">C767^2-2*(D767^2)-2*E767+7</f>
        <v>1.7035262089848402E-12</v>
      </c>
      <c r="J768" s="1">
        <f t="shared" ref="J768" si="1685">0.5*(C768*C768+D768*D768+E768*E768+F768*F768+G768*G768)</f>
        <v>6.1058024081362045E-23</v>
      </c>
    </row>
    <row r="769" spans="1:10" x14ac:dyDescent="0.25">
      <c r="C769" s="5">
        <f t="shared" ref="C769" si="1686">2-2*G767</f>
        <v>2.2403028091643247</v>
      </c>
      <c r="D769" s="6">
        <f t="shared" ref="D769" si="1687">-2*F767*D767</f>
        <v>2.6091774571678465</v>
      </c>
      <c r="E769" s="6">
        <f>0</f>
        <v>0</v>
      </c>
      <c r="F769" s="6">
        <f t="shared" ref="F769" si="1688">-(D767^2)</f>
        <v>-3.7358700567816308</v>
      </c>
      <c r="G769" s="7">
        <f t="shared" ref="G769" si="1689">-2*C767</f>
        <v>2.2510895668838771</v>
      </c>
    </row>
    <row r="770" spans="1:10" x14ac:dyDescent="0.25">
      <c r="C770" s="8">
        <f t="shared" ref="C770" si="1690">-2*F767*D767</f>
        <v>2.6091774571678465</v>
      </c>
      <c r="D770" s="1">
        <f t="shared" ref="D770" si="1691">2-2*F767*C767+4*G767</f>
        <v>-2.4858448632869568E-12</v>
      </c>
      <c r="E770" s="1">
        <f>0</f>
        <v>0</v>
      </c>
      <c r="F770" s="1">
        <f t="shared" ref="F770" si="1692">-2*C767*D767</f>
        <v>4.3509957203898804</v>
      </c>
      <c r="G770" s="9">
        <f t="shared" ref="G770" si="1693">4*D767</f>
        <v>7.73135957697649</v>
      </c>
    </row>
    <row r="771" spans="1:10" x14ac:dyDescent="0.25">
      <c r="B771" t="s">
        <v>20</v>
      </c>
      <c r="C771" s="8">
        <f>0</f>
        <v>0</v>
      </c>
      <c r="D771" s="1">
        <f>0</f>
        <v>0</v>
      </c>
      <c r="E771" s="1">
        <f>4</f>
        <v>4</v>
      </c>
      <c r="F771" s="1">
        <f>2</f>
        <v>2</v>
      </c>
      <c r="G771" s="9">
        <f>2</f>
        <v>2</v>
      </c>
    </row>
    <row r="772" spans="1:10" x14ac:dyDescent="0.25">
      <c r="C772" s="8">
        <f t="shared" ref="C772" si="1694">(D767^2)</f>
        <v>3.7358700567816308</v>
      </c>
      <c r="D772" s="1">
        <f t="shared" ref="D772" si="1695">2*C767*D767</f>
        <v>-4.3509957203898804</v>
      </c>
      <c r="E772" s="1">
        <f t="shared" ref="E772:E773" si="1696">-2</f>
        <v>-2</v>
      </c>
      <c r="F772" s="1">
        <f>0</f>
        <v>0</v>
      </c>
      <c r="G772" s="9">
        <f>0</f>
        <v>0</v>
      </c>
    </row>
    <row r="773" spans="1:10" x14ac:dyDescent="0.25">
      <c r="C773" s="10">
        <f t="shared" ref="C773" si="1697">2*C767</f>
        <v>-2.2510895668838771</v>
      </c>
      <c r="D773" s="11">
        <f t="shared" ref="D773" si="1698">-4*D767</f>
        <v>-7.73135957697649</v>
      </c>
      <c r="E773" s="11">
        <f t="shared" si="1696"/>
        <v>-2</v>
      </c>
      <c r="F773" s="11">
        <f>0</f>
        <v>0</v>
      </c>
      <c r="G773" s="12">
        <f>0</f>
        <v>0</v>
      </c>
    </row>
    <row r="774" spans="1:10" x14ac:dyDescent="0.25">
      <c r="B774" t="s">
        <v>21</v>
      </c>
      <c r="C774" s="1" cm="1">
        <f t="array" ref="C774:G774">-MMULT(C768:G768,C769:G773)</f>
        <v>-5.6695047983201286E-12</v>
      </c>
      <c r="D774" s="1">
        <v>2.3193348536995217E-11</v>
      </c>
      <c r="E774" s="1">
        <v>-2.193167869535273E-11</v>
      </c>
      <c r="F774" s="1">
        <v>1.5335381122649092E-11</v>
      </c>
      <c r="G774" s="1">
        <v>1.3625505292980309E-11</v>
      </c>
    </row>
    <row r="775" spans="1:10" x14ac:dyDescent="0.25">
      <c r="B775" t="s">
        <v>13</v>
      </c>
      <c r="C775" s="1">
        <f t="shared" ref="C775" si="1699">J768/SUMPRODUCT(_xlfn.ANCHORARRAY(C774),_xlfn.ANCHORARRAY(C774))</f>
        <v>4.1482410622446682E-2</v>
      </c>
    </row>
    <row r="776" spans="1:10" x14ac:dyDescent="0.25">
      <c r="A776" s="1" t="s">
        <v>4</v>
      </c>
      <c r="B776" t="s">
        <v>18</v>
      </c>
      <c r="C776" s="1" cm="1">
        <f t="array" ref="C776:G776">C767:G767+C775*C774:G774</f>
        <v>-1.1255447834421737</v>
      </c>
      <c r="D776" s="1">
        <v>1.9328398942450846</v>
      </c>
      <c r="E776" s="1">
        <v>0.39755547298328769</v>
      </c>
      <c r="F776" s="1">
        <v>-0.67495954138140368</v>
      </c>
      <c r="G776" s="1">
        <v>-0.12015140458159713</v>
      </c>
    </row>
    <row r="777" spans="1:10" x14ac:dyDescent="0.25">
      <c r="A777" s="1">
        <v>87</v>
      </c>
      <c r="B777" t="s">
        <v>19</v>
      </c>
      <c r="C777" s="1">
        <f t="shared" ref="C777" si="1700">2*C776-F776*(D776^2)-2*G776*C776</f>
        <v>3.8775649358058217E-12</v>
      </c>
      <c r="D777" s="1">
        <f t="shared" ref="D777" si="1701">2*D776-2*F776*C776*D776+4*G776*D776</f>
        <v>1.7194023982369799E-12</v>
      </c>
      <c r="E777" s="1">
        <f t="shared" ref="E777" si="1702">4*E776+2*F776+2*G776</f>
        <v>7.1491423891956174E-12</v>
      </c>
      <c r="F777" s="1">
        <f t="shared" ref="F777" si="1703">C776*(D776^2)-2*E776+5</f>
        <v>8.5620399659092072E-13</v>
      </c>
      <c r="G777" s="1">
        <f t="shared" ref="G777" si="1704">C776^2-2*(D776^2)-2*E776+7</f>
        <v>-3.3857361358968774E-12</v>
      </c>
      <c r="J777" s="1">
        <f t="shared" ref="J777" si="1705">0.5*(C777*C777+D777*D777+E777*E777+F777*F777+G777*G777)</f>
        <v>4.0649192902571845E-23</v>
      </c>
    </row>
    <row r="778" spans="1:10" x14ac:dyDescent="0.25">
      <c r="C778" s="5">
        <f t="shared" ref="C778" si="1706">2-2*G776</f>
        <v>2.2403028091631945</v>
      </c>
      <c r="D778" s="6">
        <f t="shared" ref="D778" si="1707">-2*F776*D776</f>
        <v>2.6091774571666861</v>
      </c>
      <c r="E778" s="6">
        <f>0</f>
        <v>0</v>
      </c>
      <c r="F778" s="6">
        <f t="shared" ref="F778" si="1708">-(D776^2)</f>
        <v>-3.73587005678535</v>
      </c>
      <c r="G778" s="7">
        <f t="shared" ref="G778" si="1709">-2*C776</f>
        <v>2.2510895668843474</v>
      </c>
    </row>
    <row r="779" spans="1:10" x14ac:dyDescent="0.25">
      <c r="C779" s="8">
        <f t="shared" ref="C779" si="1710">-2*F776*D776</f>
        <v>2.6091774571666861</v>
      </c>
      <c r="D779" s="1">
        <f t="shared" ref="D779" si="1711">2-2*F776*C776+4*G776</f>
        <v>8.8967722078336919E-13</v>
      </c>
      <c r="E779" s="1">
        <f>0</f>
        <v>0</v>
      </c>
      <c r="F779" s="1">
        <f t="shared" ref="F779" si="1712">-2*C776*D776</f>
        <v>4.3509957203929552</v>
      </c>
      <c r="G779" s="9">
        <f t="shared" ref="G779" si="1713">4*D776</f>
        <v>7.7313595769803385</v>
      </c>
    </row>
    <row r="780" spans="1:10" x14ac:dyDescent="0.25">
      <c r="B780" t="s">
        <v>20</v>
      </c>
      <c r="C780" s="8">
        <f>0</f>
        <v>0</v>
      </c>
      <c r="D780" s="1">
        <f>0</f>
        <v>0</v>
      </c>
      <c r="E780" s="1">
        <f>4</f>
        <v>4</v>
      </c>
      <c r="F780" s="1">
        <f>2</f>
        <v>2</v>
      </c>
      <c r="G780" s="9">
        <f>2</f>
        <v>2</v>
      </c>
    </row>
    <row r="781" spans="1:10" x14ac:dyDescent="0.25">
      <c r="C781" s="8">
        <f t="shared" ref="C781" si="1714">(D776^2)</f>
        <v>3.73587005678535</v>
      </c>
      <c r="D781" s="1">
        <f t="shared" ref="D781" si="1715">2*C776*D776</f>
        <v>-4.3509957203929552</v>
      </c>
      <c r="E781" s="1">
        <f t="shared" ref="E781:E782" si="1716">-2</f>
        <v>-2</v>
      </c>
      <c r="F781" s="1">
        <f>0</f>
        <v>0</v>
      </c>
      <c r="G781" s="9">
        <f>0</f>
        <v>0</v>
      </c>
    </row>
    <row r="782" spans="1:10" x14ac:dyDescent="0.25">
      <c r="C782" s="10">
        <f t="shared" ref="C782" si="1717">2*C776</f>
        <v>-2.2510895668843474</v>
      </c>
      <c r="D782" s="11">
        <f t="shared" ref="D782" si="1718">-4*D776</f>
        <v>-7.7313595769803385</v>
      </c>
      <c r="E782" s="11">
        <f t="shared" si="1716"/>
        <v>-2</v>
      </c>
      <c r="F782" s="11">
        <f>0</f>
        <v>0</v>
      </c>
      <c r="G782" s="12">
        <f>0</f>
        <v>0</v>
      </c>
    </row>
    <row r="783" spans="1:10" x14ac:dyDescent="0.25">
      <c r="B783" t="s">
        <v>21</v>
      </c>
      <c r="C783" s="1" cm="1">
        <f t="array" ref="C783:G783">-MMULT(C777:G777,C778:G782)</f>
        <v>-2.3993407760781502E-11</v>
      </c>
      <c r="D783" s="1">
        <v>-3.2568258593650355E-11</v>
      </c>
      <c r="E783" s="1">
        <v>-3.3655633835394383E-11</v>
      </c>
      <c r="F783" s="1">
        <v>-7.2933185178359408E-12</v>
      </c>
      <c r="G783" s="1">
        <v>-3.6320348948592733E-11</v>
      </c>
    </row>
    <row r="784" spans="1:10" x14ac:dyDescent="0.25">
      <c r="B784" t="s">
        <v>13</v>
      </c>
      <c r="C784" s="1">
        <f t="shared" ref="C784" si="1719">J777/SUMPRODUCT(_xlfn.ANCHORARRAY(C783),_xlfn.ANCHORARRAY(C783))</f>
        <v>9.8152387085246109E-3</v>
      </c>
    </row>
    <row r="785" spans="1:10" x14ac:dyDescent="0.25">
      <c r="A785" s="1" t="s">
        <v>4</v>
      </c>
      <c r="B785" t="s">
        <v>18</v>
      </c>
      <c r="C785" s="1" cm="1">
        <f t="array" ref="C785:G785">C776:G776+C784*C783:G783</f>
        <v>-1.1255447834424093</v>
      </c>
      <c r="D785" s="1">
        <v>1.9328398942447649</v>
      </c>
      <c r="E785" s="1">
        <v>0.39755547298295735</v>
      </c>
      <c r="F785" s="1">
        <v>-0.67495954138147529</v>
      </c>
      <c r="G785" s="1">
        <v>-0.12015140458195363</v>
      </c>
    </row>
    <row r="786" spans="1:10" x14ac:dyDescent="0.25">
      <c r="A786" s="1">
        <v>88</v>
      </c>
      <c r="B786" t="s">
        <v>19</v>
      </c>
      <c r="C786" s="1">
        <f t="shared" ref="C786" si="1720">2*C785-F785*(D785^2)-2*G785*C785</f>
        <v>1.9801937867214292E-12</v>
      </c>
      <c r="D786" s="1">
        <f t="shared" ref="D786" si="1721">2*D785-2*F785*C785*D785+4*G785*D785</f>
        <v>-1.9626522629323517E-12</v>
      </c>
      <c r="E786" s="1">
        <f t="shared" ref="E786" si="1722">4*E785+2*F785+2*G785</f>
        <v>4.9715509486958354E-12</v>
      </c>
      <c r="F786" s="1">
        <f t="shared" ref="F786" si="1723">C785*(D785^2)-2*E785+5</f>
        <v>2.028599510595086E-12</v>
      </c>
      <c r="G786" s="1">
        <f t="shared" ref="G786" si="1724">C785^2-2*(D785^2)-2*E785+7</f>
        <v>2.779998453661392E-13</v>
      </c>
      <c r="J786" s="1">
        <f t="shared" ref="J786" si="1725">0.5*(C786*C786+D786*D786+E786*E786+F786*F786+G786*G786)</f>
        <v>1.8340995031026157E-23</v>
      </c>
    </row>
    <row r="787" spans="1:10" x14ac:dyDescent="0.25">
      <c r="C787" s="5">
        <f t="shared" ref="C787" si="1726">2-2*G785</f>
        <v>2.2403028091639072</v>
      </c>
      <c r="D787" s="6">
        <f t="shared" ref="D787" si="1727">-2*F785*D785</f>
        <v>2.6091774571665316</v>
      </c>
      <c r="E787" s="6">
        <f>0</f>
        <v>0</v>
      </c>
      <c r="F787" s="6">
        <f t="shared" ref="F787" si="1728">-(D785^2)</f>
        <v>-3.7358700567841137</v>
      </c>
      <c r="G787" s="7">
        <f t="shared" ref="G787" si="1729">-2*C785</f>
        <v>2.2510895668848185</v>
      </c>
    </row>
    <row r="788" spans="1:10" x14ac:dyDescent="0.25">
      <c r="C788" s="8">
        <f t="shared" ref="C788" si="1730">-2*F785*D785</f>
        <v>2.6091774571665316</v>
      </c>
      <c r="D788" s="1">
        <f t="shared" ref="D788" si="1731">2-2*F785*C785+4*G785</f>
        <v>-1.0154654894733994E-12</v>
      </c>
      <c r="E788" s="1">
        <f>0</f>
        <v>0</v>
      </c>
      <c r="F788" s="1">
        <f t="shared" ref="F788" si="1732">-2*C785*D785</f>
        <v>4.3509957203931462</v>
      </c>
      <c r="G788" s="9">
        <f t="shared" ref="G788" si="1733">4*D785</f>
        <v>7.7313595769790595</v>
      </c>
    </row>
    <row r="789" spans="1:10" x14ac:dyDescent="0.25">
      <c r="B789" t="s">
        <v>20</v>
      </c>
      <c r="C789" s="8">
        <f>0</f>
        <v>0</v>
      </c>
      <c r="D789" s="1">
        <f>0</f>
        <v>0</v>
      </c>
      <c r="E789" s="1">
        <f>4</f>
        <v>4</v>
      </c>
      <c r="F789" s="1">
        <f>2</f>
        <v>2</v>
      </c>
      <c r="G789" s="9">
        <f>2</f>
        <v>2</v>
      </c>
    </row>
    <row r="790" spans="1:10" x14ac:dyDescent="0.25">
      <c r="C790" s="8">
        <f t="shared" ref="C790" si="1734">(D785^2)</f>
        <v>3.7358700567841137</v>
      </c>
      <c r="D790" s="1">
        <f t="shared" ref="D790" si="1735">2*C785*D785</f>
        <v>-4.3509957203931462</v>
      </c>
      <c r="E790" s="1">
        <f t="shared" ref="E790:E791" si="1736">-2</f>
        <v>-2</v>
      </c>
      <c r="F790" s="1">
        <f>0</f>
        <v>0</v>
      </c>
      <c r="G790" s="9">
        <f>0</f>
        <v>0</v>
      </c>
    </row>
    <row r="791" spans="1:10" x14ac:dyDescent="0.25">
      <c r="C791" s="10">
        <f t="shared" ref="C791" si="1737">2*C785</f>
        <v>-2.2510895668848185</v>
      </c>
      <c r="D791" s="11">
        <f t="shared" ref="D791" si="1738">-4*D785</f>
        <v>-7.7313595769790595</v>
      </c>
      <c r="E791" s="11">
        <f t="shared" si="1736"/>
        <v>-2</v>
      </c>
      <c r="F791" s="11">
        <f>0</f>
        <v>0</v>
      </c>
      <c r="G791" s="12">
        <f>0</f>
        <v>0</v>
      </c>
    </row>
    <row r="792" spans="1:10" x14ac:dyDescent="0.25">
      <c r="B792" t="s">
        <v>21</v>
      </c>
      <c r="C792" s="1" cm="1">
        <f t="array" ref="C792:G792">-MMULT(C786:G786,C787:G791)</f>
        <v>-6.2681072797207408E-12</v>
      </c>
      <c r="D792" s="1">
        <v>5.8090675667242723E-12</v>
      </c>
      <c r="E792" s="1">
        <v>-1.5273005082860891E-11</v>
      </c>
      <c r="F792" s="1">
        <v>5.9941363736894495E-12</v>
      </c>
      <c r="G792" s="1">
        <v>7.7327489821124091E-13</v>
      </c>
    </row>
    <row r="793" spans="1:10" x14ac:dyDescent="0.25">
      <c r="B793" t="s">
        <v>13</v>
      </c>
      <c r="C793" s="1">
        <f t="shared" ref="C793" si="1739">J786/SUMPRODUCT(_xlfn.ANCHORARRAY(C792),_xlfn.ANCHORARRAY(C792))</f>
        <v>5.3499312258402022E-2</v>
      </c>
    </row>
    <row r="794" spans="1:10" x14ac:dyDescent="0.25">
      <c r="A794" s="1" t="s">
        <v>4</v>
      </c>
      <c r="B794" t="s">
        <v>18</v>
      </c>
      <c r="C794" s="1" cm="1">
        <f t="array" ref="C794:G794">C785:G785+C793*C792:G792</f>
        <v>-1.1255447834427446</v>
      </c>
      <c r="D794" s="1">
        <v>1.9328398942450757</v>
      </c>
      <c r="E794" s="1">
        <v>0.39755547298214028</v>
      </c>
      <c r="F794" s="1">
        <v>-0.67495954138115466</v>
      </c>
      <c r="G794" s="1">
        <v>-0.12015140458191226</v>
      </c>
    </row>
    <row r="795" spans="1:10" x14ac:dyDescent="0.25">
      <c r="A795" s="1">
        <v>89</v>
      </c>
      <c r="B795" t="s">
        <v>19</v>
      </c>
      <c r="C795" s="1">
        <f t="shared" ref="C795" si="1740">2*C794-F794*(D794^2)-2*G794*C794</f>
        <v>9.3536289824669439E-13</v>
      </c>
      <c r="D795" s="1">
        <f t="shared" ref="D795" si="1741">2*D794-2*F794*C794*D794+4*G794*D794</f>
        <v>-1.1225465001984958E-12</v>
      </c>
      <c r="E795" s="1">
        <f t="shared" ref="E795" si="1742">4*E794+2*F794+2*G794</f>
        <v>2.4272805987379797E-12</v>
      </c>
      <c r="F795" s="1">
        <f t="shared" ref="F795" si="1743">C794*(D794^2)-2*E794+5</f>
        <v>1.0578204978628492E-12</v>
      </c>
      <c r="G795" s="1">
        <f t="shared" ref="G795" si="1744">C794^2-2*(D794^2)-2*E794+7</f>
        <v>2.6378899065093719E-13</v>
      </c>
      <c r="J795" s="1">
        <f t="shared" ref="J795" si="1745">0.5*(C795*C795+D795*D795+E795*E795+F795*F795+G795*G795)</f>
        <v>4.6076371694107996E-24</v>
      </c>
    </row>
    <row r="796" spans="1:10" x14ac:dyDescent="0.25">
      <c r="C796" s="5">
        <f t="shared" ref="C796" si="1746">2-2*G794</f>
        <v>2.2403028091638246</v>
      </c>
      <c r="D796" s="6">
        <f t="shared" ref="D796" si="1747">-2*F794*D794</f>
        <v>2.6091774571657118</v>
      </c>
      <c r="E796" s="6">
        <f>0</f>
        <v>0</v>
      </c>
      <c r="F796" s="6">
        <f t="shared" ref="F796" si="1748">-(D794^2)</f>
        <v>-3.7358700567853154</v>
      </c>
      <c r="G796" s="7">
        <f t="shared" ref="G796" si="1749">-2*C794</f>
        <v>2.2510895668854891</v>
      </c>
    </row>
    <row r="797" spans="1:10" x14ac:dyDescent="0.25">
      <c r="C797" s="8">
        <f t="shared" ref="C797" si="1750">-2*F794*D794</f>
        <v>2.6091774571657118</v>
      </c>
      <c r="D797" s="1">
        <f t="shared" ref="D797" si="1751">2-2*F794*C794+4*G794</f>
        <v>-5.808686864838819E-13</v>
      </c>
      <c r="E797" s="1">
        <f>0</f>
        <v>0</v>
      </c>
      <c r="F797" s="1">
        <f t="shared" ref="F797" si="1752">-2*C794*D794</f>
        <v>4.3509957203951419</v>
      </c>
      <c r="G797" s="9">
        <f t="shared" ref="G797" si="1753">4*D794</f>
        <v>7.731359576980303</v>
      </c>
    </row>
    <row r="798" spans="1:10" x14ac:dyDescent="0.25">
      <c r="B798" t="s">
        <v>20</v>
      </c>
      <c r="C798" s="8">
        <f>0</f>
        <v>0</v>
      </c>
      <c r="D798" s="1">
        <f>0</f>
        <v>0</v>
      </c>
      <c r="E798" s="1">
        <f>4</f>
        <v>4</v>
      </c>
      <c r="F798" s="1">
        <f>2</f>
        <v>2</v>
      </c>
      <c r="G798" s="9">
        <f>2</f>
        <v>2</v>
      </c>
    </row>
    <row r="799" spans="1:10" x14ac:dyDescent="0.25">
      <c r="C799" s="8">
        <f t="shared" ref="C799" si="1754">(D794^2)</f>
        <v>3.7358700567853154</v>
      </c>
      <c r="D799" s="1">
        <f t="shared" ref="D799" si="1755">2*C794*D794</f>
        <v>-4.3509957203951419</v>
      </c>
      <c r="E799" s="1">
        <f t="shared" ref="E799:E800" si="1756">-2</f>
        <v>-2</v>
      </c>
      <c r="F799" s="1">
        <f>0</f>
        <v>0</v>
      </c>
      <c r="G799" s="9">
        <f>0</f>
        <v>0</v>
      </c>
    </row>
    <row r="800" spans="1:10" x14ac:dyDescent="0.25">
      <c r="C800" s="10">
        <f t="shared" ref="C800" si="1757">2*C794</f>
        <v>-2.2510895668854891</v>
      </c>
      <c r="D800" s="11">
        <f t="shared" ref="D800" si="1758">-4*D794</f>
        <v>-7.731359576980303</v>
      </c>
      <c r="E800" s="11">
        <f t="shared" si="1756"/>
        <v>-2</v>
      </c>
      <c r="F800" s="11">
        <f>0</f>
        <v>0</v>
      </c>
      <c r="G800" s="12">
        <f>0</f>
        <v>0</v>
      </c>
    </row>
    <row r="801" spans="1:10" x14ac:dyDescent="0.25">
      <c r="B801" t="s">
        <v>21</v>
      </c>
      <c r="C801" s="1" cm="1">
        <f t="array" ref="C801:G801">-MMULT(C795:G795,C796:G800)</f>
        <v>-2.52464038429748E-12</v>
      </c>
      <c r="D801" s="1">
        <v>4.2014922099434939E-12</v>
      </c>
      <c r="E801" s="1">
        <v>-7.0659034179243463E-12</v>
      </c>
      <c r="F801" s="1">
        <v>3.5240280646199956E-12</v>
      </c>
      <c r="G801" s="1">
        <v>1.7186637759444965E-12</v>
      </c>
    </row>
    <row r="802" spans="1:10" x14ac:dyDescent="0.25">
      <c r="B802" t="s">
        <v>13</v>
      </c>
      <c r="C802" s="1">
        <f t="shared" ref="C802" si="1759">J795/SUMPRODUCT(_xlfn.ANCHORARRAY(C801),_xlfn.ANCHORARRAY(C801))</f>
        <v>5.1582310918174425E-2</v>
      </c>
    </row>
    <row r="803" spans="1:10" x14ac:dyDescent="0.25">
      <c r="A803" s="1" t="s">
        <v>4</v>
      </c>
      <c r="B803" t="s">
        <v>18</v>
      </c>
      <c r="C803" s="1" cm="1">
        <f t="array" ref="C803:G803">C794:G794+C802*C801:G801</f>
        <v>-1.1255447834428747</v>
      </c>
      <c r="D803" s="1">
        <v>1.9328398942452925</v>
      </c>
      <c r="E803" s="1">
        <v>0.39755547298177579</v>
      </c>
      <c r="F803" s="1">
        <v>-0.67495954138097292</v>
      </c>
      <c r="G803" s="1">
        <v>-0.12015140458182361</v>
      </c>
    </row>
    <row r="804" spans="1:10" x14ac:dyDescent="0.25">
      <c r="A804" s="1">
        <v>90</v>
      </c>
      <c r="B804" t="s">
        <v>19</v>
      </c>
      <c r="C804" s="1">
        <f t="shared" ref="C804" si="1760">2*C803-F803*(D803^2)-2*G803*C803</f>
        <v>7.3019368329596546E-13</v>
      </c>
      <c r="D804" s="1">
        <f t="shared" ref="D804" si="1761">2*D803-2*F803*C803*D803+4*G803*D803</f>
        <v>1.4321877017664519E-14</v>
      </c>
      <c r="E804" s="1">
        <f t="shared" ref="E804" si="1762">4*E803+2*F803+2*G803</f>
        <v>1.5101253580951379E-12</v>
      </c>
      <c r="F804" s="1">
        <f t="shared" ref="F804" si="1763">C803*(D803^2)-2*E803+5</f>
        <v>3.5793590313915047E-13</v>
      </c>
      <c r="G804" s="1">
        <f t="shared" ref="G804" si="1764">C803^2-2*(D803^2)-2*E803+7</f>
        <v>-3.8991032624835498E-13</v>
      </c>
      <c r="J804" s="1">
        <f t="shared" ref="J804" si="1765">0.5*(C804*C804+D804*D804+E804*E804+F804*F804+G804*G804)</f>
        <v>1.5470073508598721E-24</v>
      </c>
    </row>
    <row r="805" spans="1:10" x14ac:dyDescent="0.25">
      <c r="C805" s="5">
        <f t="shared" ref="C805" si="1766">2-2*G803</f>
        <v>2.240302809163647</v>
      </c>
      <c r="D805" s="6">
        <f t="shared" ref="D805" si="1767">-2*F803*D803</f>
        <v>2.6091774571653015</v>
      </c>
      <c r="E805" s="6">
        <f>0</f>
        <v>0</v>
      </c>
      <c r="F805" s="6">
        <f t="shared" ref="F805" si="1768">-(D803^2)</f>
        <v>-3.7358700567861534</v>
      </c>
      <c r="G805" s="7">
        <f t="shared" ref="G805" si="1769">-2*C803</f>
        <v>2.2510895668857493</v>
      </c>
    </row>
    <row r="806" spans="1:10" x14ac:dyDescent="0.25">
      <c r="C806" s="8">
        <f t="shared" ref="C806" si="1770">-2*F803*D803</f>
        <v>2.6091774571653015</v>
      </c>
      <c r="D806" s="1">
        <f t="shared" ref="D806" si="1771">2-2*F803*C803+4*G803</f>
        <v>7.3274719625260332E-15</v>
      </c>
      <c r="E806" s="1">
        <f>0</f>
        <v>0</v>
      </c>
      <c r="F806" s="1">
        <f t="shared" ref="F806" si="1772">-2*C803*D803</f>
        <v>4.3509957203961331</v>
      </c>
      <c r="G806" s="9">
        <f t="shared" ref="G806" si="1773">4*D803</f>
        <v>7.7313595769811698</v>
      </c>
    </row>
    <row r="807" spans="1:10" x14ac:dyDescent="0.25">
      <c r="B807" t="s">
        <v>20</v>
      </c>
      <c r="C807" s="8">
        <f>0</f>
        <v>0</v>
      </c>
      <c r="D807" s="1">
        <f>0</f>
        <v>0</v>
      </c>
      <c r="E807" s="1">
        <f>4</f>
        <v>4</v>
      </c>
      <c r="F807" s="1">
        <f>2</f>
        <v>2</v>
      </c>
      <c r="G807" s="9">
        <f>2</f>
        <v>2</v>
      </c>
    </row>
    <row r="808" spans="1:10" x14ac:dyDescent="0.25">
      <c r="C808" s="8">
        <f t="shared" ref="C808" si="1774">(D803^2)</f>
        <v>3.7358700567861534</v>
      </c>
      <c r="D808" s="1">
        <f t="shared" ref="D808" si="1775">2*C803*D803</f>
        <v>-4.3509957203961331</v>
      </c>
      <c r="E808" s="1">
        <f t="shared" ref="E808:E809" si="1776">-2</f>
        <v>-2</v>
      </c>
      <c r="F808" s="1">
        <f>0</f>
        <v>0</v>
      </c>
      <c r="G808" s="9">
        <f>0</f>
        <v>0</v>
      </c>
    </row>
    <row r="809" spans="1:10" x14ac:dyDescent="0.25">
      <c r="C809" s="10">
        <f t="shared" ref="C809" si="1777">2*C803</f>
        <v>-2.2510895668857493</v>
      </c>
      <c r="D809" s="11">
        <f t="shared" ref="D809" si="1778">-4*D803</f>
        <v>-7.7313595769811698</v>
      </c>
      <c r="E809" s="11">
        <f t="shared" si="1776"/>
        <v>-2</v>
      </c>
      <c r="F809" s="11">
        <f>0</f>
        <v>0</v>
      </c>
      <c r="G809" s="12">
        <f>0</f>
        <v>0</v>
      </c>
    </row>
    <row r="810" spans="1:10" x14ac:dyDescent="0.25">
      <c r="B810" t="s">
        <v>21</v>
      </c>
      <c r="C810" s="1" cm="1">
        <f t="array" ref="C810:G810">-MMULT(C804:G804,C805:G809)</f>
        <v>-3.8881483688052375E-12</v>
      </c>
      <c r="D810" s="1">
        <v>-3.3623642500898362E-12</v>
      </c>
      <c r="E810" s="1">
        <v>-6.1044502785989607E-12</v>
      </c>
      <c r="F810" s="1">
        <v>-3.5465642472238516E-13</v>
      </c>
      <c r="G810" s="1">
        <v>-4.7747096795045677E-12</v>
      </c>
    </row>
    <row r="811" spans="1:10" x14ac:dyDescent="0.25">
      <c r="B811" t="s">
        <v>13</v>
      </c>
      <c r="C811" s="1">
        <f t="shared" ref="C811" si="1779">J804/SUMPRODUCT(_xlfn.ANCHORARRAY(C810),_xlfn.ANCHORARRAY(C810))</f>
        <v>1.7861528975017752E-2</v>
      </c>
    </row>
    <row r="812" spans="1:10" x14ac:dyDescent="0.25">
      <c r="A812" s="1" t="s">
        <v>4</v>
      </c>
      <c r="B812" t="s">
        <v>18</v>
      </c>
      <c r="C812" s="1" cm="1">
        <f t="array" ref="C812:G812">C803:G803+C811*C810:G810</f>
        <v>-1.1255447834429442</v>
      </c>
      <c r="D812" s="1">
        <v>1.9328398942452325</v>
      </c>
      <c r="E812" s="1">
        <v>0.39755547298166677</v>
      </c>
      <c r="F812" s="1">
        <v>-0.67495954138097924</v>
      </c>
      <c r="G812" s="1">
        <v>-0.12015140458190889</v>
      </c>
    </row>
    <row r="813" spans="1:10" x14ac:dyDescent="0.25">
      <c r="A813" s="1">
        <v>91</v>
      </c>
      <c r="B813" t="s">
        <v>19</v>
      </c>
      <c r="C813" s="1">
        <f t="shared" ref="C813" si="1780">2*C812-F812*(D812^2)-2*G812*C812</f>
        <v>2.4974466938942896E-13</v>
      </c>
      <c r="D813" s="1">
        <f t="shared" ref="D813" si="1781">2*D812-2*F812*C812*D812+4*G812*D812</f>
        <v>-8.5431661744905796E-13</v>
      </c>
      <c r="E813" s="1">
        <f t="shared" ref="E813" si="1782">4*E812+2*F812+2*G812</f>
        <v>8.9081519938360998E-13</v>
      </c>
      <c r="F813" s="1">
        <f t="shared" ref="F813" si="1783">C812*(D812^2)-2*E812+5</f>
        <v>5.7642779438538128E-13</v>
      </c>
      <c r="G813" s="1">
        <f t="shared" ref="G813" si="1784">C812^2-2*(D812^2)-2*E812+7</f>
        <v>4.4764192352886312E-13</v>
      </c>
      <c r="J813" s="1">
        <f t="shared" ref="J813" si="1785">0.5*(C813*C813+D813*D813+E813*E813+F813*F813+G813*G813)</f>
        <v>1.059216648015756E-24</v>
      </c>
    </row>
    <row r="814" spans="1:10" x14ac:dyDescent="0.25">
      <c r="C814" s="5">
        <f t="shared" ref="C814" si="1786">2-2*G812</f>
        <v>2.240302809163818</v>
      </c>
      <c r="D814" s="6">
        <f t="shared" ref="D814" si="1787">-2*F812*D812</f>
        <v>2.6091774571652451</v>
      </c>
      <c r="E814" s="6">
        <f>0</f>
        <v>0</v>
      </c>
      <c r="F814" s="6">
        <f t="shared" ref="F814" si="1788">-(D812^2)</f>
        <v>-3.7358700567859215</v>
      </c>
      <c r="G814" s="7">
        <f t="shared" ref="G814" si="1789">-2*C812</f>
        <v>2.2510895668858883</v>
      </c>
    </row>
    <row r="815" spans="1:10" x14ac:dyDescent="0.25">
      <c r="C815" s="8">
        <f t="shared" ref="C815" si="1790">-2*F812*D812</f>
        <v>2.6091774571652451</v>
      </c>
      <c r="D815" s="1">
        <f t="shared" ref="D815" si="1791">2-2*F812*C812+4*G812</f>
        <v>-4.4192427495204356E-13</v>
      </c>
      <c r="E815" s="1">
        <f>0</f>
        <v>0</v>
      </c>
      <c r="F815" s="1">
        <f t="shared" ref="F815" si="1792">-2*C812*D812</f>
        <v>4.3509957203962664</v>
      </c>
      <c r="G815" s="9">
        <f t="shared" ref="G815" si="1793">4*D812</f>
        <v>7.73135957698093</v>
      </c>
    </row>
    <row r="816" spans="1:10" x14ac:dyDescent="0.25">
      <c r="B816" t="s">
        <v>20</v>
      </c>
      <c r="C816" s="8">
        <f>0</f>
        <v>0</v>
      </c>
      <c r="D816" s="1">
        <f>0</f>
        <v>0</v>
      </c>
      <c r="E816" s="1">
        <f>4</f>
        <v>4</v>
      </c>
      <c r="F816" s="1">
        <f>2</f>
        <v>2</v>
      </c>
      <c r="G816" s="9">
        <f>2</f>
        <v>2</v>
      </c>
    </row>
    <row r="817" spans="1:10" x14ac:dyDescent="0.25">
      <c r="C817" s="8">
        <f t="shared" ref="C817" si="1794">(D812^2)</f>
        <v>3.7358700567859215</v>
      </c>
      <c r="D817" s="1">
        <f t="shared" ref="D817" si="1795">2*C812*D812</f>
        <v>-4.3509957203962664</v>
      </c>
      <c r="E817" s="1">
        <f t="shared" ref="E817:E818" si="1796">-2</f>
        <v>-2</v>
      </c>
      <c r="F817" s="1">
        <f>0</f>
        <v>0</v>
      </c>
      <c r="G817" s="9">
        <f>0</f>
        <v>0</v>
      </c>
    </row>
    <row r="818" spans="1:10" x14ac:dyDescent="0.25">
      <c r="C818" s="10">
        <f t="shared" ref="C818" si="1797">2*C812</f>
        <v>-2.2510895668858883</v>
      </c>
      <c r="D818" s="11">
        <f t="shared" ref="D818" si="1798">-4*D812</f>
        <v>-7.73135957698093</v>
      </c>
      <c r="E818" s="11">
        <f t="shared" si="1796"/>
        <v>-2</v>
      </c>
      <c r="F818" s="11">
        <f>0</f>
        <v>0</v>
      </c>
      <c r="G818" s="12">
        <f>0</f>
        <v>0</v>
      </c>
    </row>
    <row r="819" spans="1:10" x14ac:dyDescent="0.25">
      <c r="B819" t="s">
        <v>21</v>
      </c>
      <c r="C819" s="1" cm="1">
        <f t="array" ref="C819:G819">-MMULT(C813:G813,C814:G818)</f>
        <v>5.237827019359766E-13</v>
      </c>
      <c r="D819" s="1">
        <v>5.3172873776028316E-12</v>
      </c>
      <c r="E819" s="1">
        <v>-1.5151213617059511E-12</v>
      </c>
      <c r="F819" s="1">
        <v>2.8685111798309122E-12</v>
      </c>
      <c r="G819" s="1">
        <v>4.2612009436735985E-12</v>
      </c>
    </row>
    <row r="820" spans="1:10" x14ac:dyDescent="0.25">
      <c r="B820" t="s">
        <v>13</v>
      </c>
      <c r="C820" s="1">
        <f t="shared" ref="C820" si="1799">J813/SUMPRODUCT(_xlfn.ANCHORARRAY(C819),_xlfn.ANCHORARRAY(C819))</f>
        <v>1.8508171324632176E-2</v>
      </c>
    </row>
    <row r="821" spans="1:10" x14ac:dyDescent="0.25">
      <c r="A821" s="1" t="s">
        <v>4</v>
      </c>
      <c r="B821" t="s">
        <v>18</v>
      </c>
      <c r="C821" s="1" cm="1">
        <f t="array" ref="C821:G821">C812:G812+C820*C819:G819</f>
        <v>-1.1255447834429344</v>
      </c>
      <c r="D821" s="1">
        <v>1.9328398942453309</v>
      </c>
      <c r="E821" s="1">
        <v>0.39755547298163874</v>
      </c>
      <c r="F821" s="1">
        <v>-0.67495954138092618</v>
      </c>
      <c r="G821" s="1">
        <v>-0.12015140458183002</v>
      </c>
    </row>
    <row r="822" spans="1:10" x14ac:dyDescent="0.25">
      <c r="A822" s="1">
        <v>92</v>
      </c>
      <c r="B822" t="s">
        <v>19</v>
      </c>
      <c r="C822" s="1">
        <f t="shared" ref="C822" si="1800">2*C821-F821*(D821^2)-2*G821*C821</f>
        <v>5.0731641110246528E-13</v>
      </c>
      <c r="D822" s="1">
        <f t="shared" ref="D822" si="1801">2*D821-2*F821*C821*D821+4*G821*D821</f>
        <v>1.1990408665951691E-14</v>
      </c>
      <c r="E822" s="1">
        <f t="shared" ref="E822" si="1802">4*E821+2*F821+2*G821</f>
        <v>1.0425549312742532E-12</v>
      </c>
      <c r="F822" s="1">
        <f t="shared" ref="F822" si="1803">C821*(D821^2)-2*E821+5</f>
        <v>2.4158453015843406E-13</v>
      </c>
      <c r="G822" s="1">
        <f t="shared" ref="G822" si="1804">C821^2-2*(D821^2)-2*E821+7</f>
        <v>-2.7888802378583932E-13</v>
      </c>
      <c r="J822" s="1">
        <f t="shared" ref="J822" si="1805">0.5*(C822*C822+D822*D822+E822*E822+F822*F822+G822*G822)</f>
        <v>7.4028805531058361E-25</v>
      </c>
    </row>
    <row r="823" spans="1:10" x14ac:dyDescent="0.25">
      <c r="C823" s="5">
        <f t="shared" ref="C823" si="1806">2-2*G821</f>
        <v>2.2403028091636599</v>
      </c>
      <c r="D823" s="6">
        <f t="shared" ref="D823" si="1807">-2*F821*D821</f>
        <v>2.6091774571651727</v>
      </c>
      <c r="E823" s="6">
        <f>0</f>
        <v>0</v>
      </c>
      <c r="F823" s="6">
        <f t="shared" ref="F823" si="1808">-(D821^2)</f>
        <v>-3.7358700567863017</v>
      </c>
      <c r="G823" s="7">
        <f t="shared" ref="G823" si="1809">-2*C821</f>
        <v>2.2510895668858688</v>
      </c>
    </row>
    <row r="824" spans="1:10" x14ac:dyDescent="0.25">
      <c r="C824" s="8">
        <f t="shared" ref="C824" si="1810">-2*F821*D821</f>
        <v>2.6091774571651727</v>
      </c>
      <c r="D824" s="1">
        <f t="shared" ref="D824" si="1811">2-2*F821*C821+4*G821</f>
        <v>6.106226635438361E-15</v>
      </c>
      <c r="E824" s="1">
        <f>0</f>
        <v>0</v>
      </c>
      <c r="F824" s="1">
        <f t="shared" ref="F824" si="1812">-2*C821*D821</f>
        <v>4.3509957203964502</v>
      </c>
      <c r="G824" s="9">
        <f t="shared" ref="G824" si="1813">4*D821</f>
        <v>7.7313595769813235</v>
      </c>
    </row>
    <row r="825" spans="1:10" x14ac:dyDescent="0.25">
      <c r="B825" t="s">
        <v>20</v>
      </c>
      <c r="C825" s="8">
        <f>0</f>
        <v>0</v>
      </c>
      <c r="D825" s="1">
        <f>0</f>
        <v>0</v>
      </c>
      <c r="E825" s="1">
        <f>4</f>
        <v>4</v>
      </c>
      <c r="F825" s="1">
        <f>2</f>
        <v>2</v>
      </c>
      <c r="G825" s="9">
        <f>2</f>
        <v>2</v>
      </c>
    </row>
    <row r="826" spans="1:10" x14ac:dyDescent="0.25">
      <c r="C826" s="8">
        <f t="shared" ref="C826" si="1814">(D821^2)</f>
        <v>3.7358700567863017</v>
      </c>
      <c r="D826" s="1">
        <f t="shared" ref="D826" si="1815">2*C821*D821</f>
        <v>-4.3509957203964502</v>
      </c>
      <c r="E826" s="1">
        <f t="shared" ref="E826:E827" si="1816">-2</f>
        <v>-2</v>
      </c>
      <c r="F826" s="1">
        <f>0</f>
        <v>0</v>
      </c>
      <c r="G826" s="9">
        <f>0</f>
        <v>0</v>
      </c>
    </row>
    <row r="827" spans="1:10" x14ac:dyDescent="0.25">
      <c r="C827" s="10">
        <f t="shared" ref="C827" si="1817">2*C821</f>
        <v>-2.2510895668858688</v>
      </c>
      <c r="D827" s="11">
        <f t="shared" ref="D827" si="1818">-4*D821</f>
        <v>-7.7313595769813235</v>
      </c>
      <c r="E827" s="11">
        <f t="shared" si="1816"/>
        <v>-2</v>
      </c>
      <c r="F827" s="11">
        <f>0</f>
        <v>0</v>
      </c>
      <c r="G827" s="12">
        <f>0</f>
        <v>0</v>
      </c>
    </row>
    <row r="828" spans="1:10" x14ac:dyDescent="0.25">
      <c r="B828" t="s">
        <v>21</v>
      </c>
      <c r="C828" s="1" cm="1">
        <f t="array" ref="C828:G828">-MMULT(C822:G822,C823:G827)</f>
        <v>-2.6981578179964805E-12</v>
      </c>
      <c r="D828" s="1">
        <v>-2.4287288802672023E-12</v>
      </c>
      <c r="E828" s="1">
        <v>-4.2448267123518235E-12</v>
      </c>
      <c r="F828" s="1">
        <v>-2.4201188978587725E-13</v>
      </c>
      <c r="G828" s="1">
        <v>-3.3198267035626739E-12</v>
      </c>
    </row>
    <row r="829" spans="1:10" x14ac:dyDescent="0.25">
      <c r="B829" t="s">
        <v>13</v>
      </c>
      <c r="C829" s="1">
        <f t="shared" ref="C829" si="1819">J822/SUMPRODUCT(_xlfn.ANCHORARRAY(C828),_xlfn.ANCHORARRAY(C828))</f>
        <v>1.7510357522952432E-2</v>
      </c>
    </row>
    <row r="830" spans="1:10" x14ac:dyDescent="0.25">
      <c r="A830" s="1" t="s">
        <v>4</v>
      </c>
      <c r="B830" t="s">
        <v>18</v>
      </c>
      <c r="C830" s="1" cm="1">
        <f t="array" ref="C830:G830">C821:G821+C829*C828:G828</f>
        <v>-1.1255447834429817</v>
      </c>
      <c r="D830" s="1">
        <v>1.9328398942452882</v>
      </c>
      <c r="E830" s="1">
        <v>0.39755547298156441</v>
      </c>
      <c r="F830" s="1">
        <v>-0.67495954138093039</v>
      </c>
      <c r="G830" s="1">
        <v>-0.12015140458188815</v>
      </c>
    </row>
    <row r="831" spans="1:10" x14ac:dyDescent="0.25">
      <c r="A831" s="1">
        <v>93</v>
      </c>
      <c r="B831" t="s">
        <v>19</v>
      </c>
      <c r="C831" s="1">
        <f t="shared" ref="C831" si="1820">2*C830-F830*(D830^2)-2*G830*C830</f>
        <v>1.7502665983215593E-13</v>
      </c>
      <c r="D831" s="1">
        <f t="shared" ref="D831" si="1821">2*D830-2*F830*C830*D830+4*G830*D830</f>
        <v>-5.7909232964448165E-13</v>
      </c>
      <c r="E831" s="1">
        <f t="shared" ref="E831" si="1822">4*E830+2*F830+2*G830</f>
        <v>6.2053140403861562E-13</v>
      </c>
      <c r="F831" s="1">
        <f t="shared" ref="F831" si="1823">C830*(D830^2)-2*E830+5</f>
        <v>3.9968028886505635E-13</v>
      </c>
      <c r="G831" s="1">
        <f t="shared" ref="G831" si="1824">C830^2-2*(D830^2)-2*E830+7</f>
        <v>3.0642155479654321E-13</v>
      </c>
      <c r="J831" s="1">
        <f t="shared" ref="J831" si="1825">0.5*(C831*C831+D831*D831+E831*E831+F831*F831+G831*G831)</f>
        <v>5.0233999192719784E-25</v>
      </c>
    </row>
    <row r="832" spans="1:10" x14ac:dyDescent="0.25">
      <c r="C832" s="5">
        <f t="shared" ref="C832" si="1826">2-2*G830</f>
        <v>2.2403028091637762</v>
      </c>
      <c r="D832" s="6">
        <f t="shared" ref="D832" si="1827">-2*F830*D830</f>
        <v>2.6091774571651314</v>
      </c>
      <c r="E832" s="6">
        <f>0</f>
        <v>0</v>
      </c>
      <c r="F832" s="6">
        <f t="shared" ref="F832" si="1828">-(D830^2)</f>
        <v>-3.7358700567861369</v>
      </c>
      <c r="G832" s="7">
        <f t="shared" ref="G832" si="1829">-2*C830</f>
        <v>2.2510895668859634</v>
      </c>
    </row>
    <row r="833" spans="1:10" x14ac:dyDescent="0.25">
      <c r="C833" s="8">
        <f t="shared" ref="C833" si="1830">-2*F830*D830</f>
        <v>2.6091774571651314</v>
      </c>
      <c r="D833" s="1">
        <f t="shared" ref="D833" si="1831">2-2*F830*C830+4*G830</f>
        <v>-2.9970470549756101E-13</v>
      </c>
      <c r="E833" s="1">
        <f>0</f>
        <v>0</v>
      </c>
      <c r="F833" s="1">
        <f t="shared" ref="F833" si="1832">-2*C830*D830</f>
        <v>4.3509957203965373</v>
      </c>
      <c r="G833" s="9">
        <f t="shared" ref="G833" si="1833">4*D830</f>
        <v>7.7313595769811529</v>
      </c>
    </row>
    <row r="834" spans="1:10" x14ac:dyDescent="0.25">
      <c r="B834" t="s">
        <v>20</v>
      </c>
      <c r="C834" s="8">
        <f>0</f>
        <v>0</v>
      </c>
      <c r="D834" s="1">
        <f>0</f>
        <v>0</v>
      </c>
      <c r="E834" s="1">
        <f>4</f>
        <v>4</v>
      </c>
      <c r="F834" s="1">
        <f>2</f>
        <v>2</v>
      </c>
      <c r="G834" s="9">
        <f>2</f>
        <v>2</v>
      </c>
    </row>
    <row r="835" spans="1:10" x14ac:dyDescent="0.25">
      <c r="C835" s="8">
        <f t="shared" ref="C835" si="1834">(D830^2)</f>
        <v>3.7358700567861369</v>
      </c>
      <c r="D835" s="1">
        <f t="shared" ref="D835" si="1835">2*C830*D830</f>
        <v>-4.3509957203965373</v>
      </c>
      <c r="E835" s="1">
        <f t="shared" ref="E835:E836" si="1836">-2</f>
        <v>-2</v>
      </c>
      <c r="F835" s="1">
        <f>0</f>
        <v>0</v>
      </c>
      <c r="G835" s="9">
        <f>0</f>
        <v>0</v>
      </c>
    </row>
    <row r="836" spans="1:10" x14ac:dyDescent="0.25">
      <c r="C836" s="10">
        <f t="shared" ref="C836" si="1837">2*C830</f>
        <v>-2.2510895668859634</v>
      </c>
      <c r="D836" s="11">
        <f t="shared" ref="D836" si="1838">-4*D830</f>
        <v>-7.7313595769811529</v>
      </c>
      <c r="E836" s="11">
        <f t="shared" si="1836"/>
        <v>-2</v>
      </c>
      <c r="F836" s="11">
        <f>0</f>
        <v>0</v>
      </c>
      <c r="G836" s="12">
        <f>0</f>
        <v>0</v>
      </c>
    </row>
    <row r="837" spans="1:10" x14ac:dyDescent="0.25">
      <c r="B837" t="s">
        <v>21</v>
      </c>
      <c r="C837" s="1" cm="1">
        <f t="array" ref="C837:G837">-MMULT(C831:G831,C832:G836)</f>
        <v>3.1547067603796551E-13</v>
      </c>
      <c r="D837" s="1">
        <v>3.6513868334112766E-12</v>
      </c>
      <c r="E837" s="1">
        <v>-1.0699219288312634E-12</v>
      </c>
      <c r="F837" s="1">
        <v>1.9324422975266136E-12</v>
      </c>
      <c r="G837" s="1">
        <v>2.8421075328008941E-12</v>
      </c>
    </row>
    <row r="838" spans="1:10" x14ac:dyDescent="0.25">
      <c r="B838" t="s">
        <v>13</v>
      </c>
      <c r="C838" s="1">
        <f t="shared" ref="C838" si="1839">J831/SUMPRODUCT(_xlfn.ANCHORARRAY(C837),_xlfn.ANCHORARRAY(C837))</f>
        <v>1.9036113892319885E-2</v>
      </c>
    </row>
    <row r="839" spans="1:10" x14ac:dyDescent="0.25">
      <c r="A839" s="1" t="s">
        <v>4</v>
      </c>
      <c r="B839" t="s">
        <v>18</v>
      </c>
      <c r="C839" s="1" cm="1">
        <f t="array" ref="C839:G839">C830:G830+C838*C837:G837</f>
        <v>-1.1255447834429757</v>
      </c>
      <c r="D839" s="1">
        <v>1.9328398942453577</v>
      </c>
      <c r="E839" s="1">
        <v>0.39755547298154403</v>
      </c>
      <c r="F839" s="1">
        <v>-0.67495954138089365</v>
      </c>
      <c r="G839" s="1">
        <v>-0.12015140458183404</v>
      </c>
    </row>
    <row r="840" spans="1:10" x14ac:dyDescent="0.25">
      <c r="A840" s="1">
        <v>94</v>
      </c>
      <c r="B840" t="s">
        <v>19</v>
      </c>
      <c r="C840" s="1">
        <f t="shared" ref="C840" si="1840">2*C839-F839*(D839^2)-2*G839*C839</f>
        <v>3.5466074521650626E-13</v>
      </c>
      <c r="D840" s="1">
        <f t="shared" ref="D840" si="1841">2*D839-2*F839*C839*D839+4*G839*D839</f>
        <v>1.4543921622589551E-14</v>
      </c>
      <c r="E840" s="1">
        <f t="shared" ref="E840" si="1842">4*E839+2*F839+2*G839</f>
        <v>7.2075678758665163E-13</v>
      </c>
      <c r="F840" s="1">
        <f t="shared" ref="F840" si="1843">C839*(D839^2)-2*E839+5</f>
        <v>1.5987211554602254E-13</v>
      </c>
      <c r="G840" s="1">
        <f t="shared" ref="G840" si="1844">C839^2-2*(D839^2)-2*E839+7</f>
        <v>-2.042810365310288E-13</v>
      </c>
      <c r="J840" s="1">
        <f t="shared" ref="J840" si="1845">0.5*(C840*C840+D840*D840+E840*E840+F840*F840+G840*G840)</f>
        <v>3.5638797596063678E-25</v>
      </c>
    </row>
    <row r="841" spans="1:10" x14ac:dyDescent="0.25">
      <c r="C841" s="5">
        <f t="shared" ref="C841" si="1846">2-2*G839</f>
        <v>2.2403028091636683</v>
      </c>
      <c r="D841" s="6">
        <f t="shared" ref="D841" si="1847">-2*F839*D839</f>
        <v>2.6091774571650834</v>
      </c>
      <c r="E841" s="6">
        <f>0</f>
        <v>0</v>
      </c>
      <c r="F841" s="6">
        <f t="shared" ref="F841" si="1848">-(D839^2)</f>
        <v>-3.7358700567864056</v>
      </c>
      <c r="G841" s="7">
        <f t="shared" ref="G841" si="1849">-2*C839</f>
        <v>2.2510895668859514</v>
      </c>
    </row>
    <row r="842" spans="1:10" x14ac:dyDescent="0.25">
      <c r="C842" s="8">
        <f t="shared" ref="C842" si="1850">-2*F839*D839</f>
        <v>2.6091774571650834</v>
      </c>
      <c r="D842" s="1">
        <f t="shared" ref="D842" si="1851">2-2*F839*C839+4*G839</f>
        <v>7.5495165674510645E-15</v>
      </c>
      <c r="E842" s="1">
        <f>0</f>
        <v>0</v>
      </c>
      <c r="F842" s="1">
        <f t="shared" ref="F842" si="1852">-2*C839*D839</f>
        <v>4.3509957203966705</v>
      </c>
      <c r="G842" s="9">
        <f t="shared" ref="G842" si="1853">4*D839</f>
        <v>7.7313595769814309</v>
      </c>
    </row>
    <row r="843" spans="1:10" x14ac:dyDescent="0.25">
      <c r="B843" t="s">
        <v>20</v>
      </c>
      <c r="C843" s="8">
        <f>0</f>
        <v>0</v>
      </c>
      <c r="D843" s="1">
        <f>0</f>
        <v>0</v>
      </c>
      <c r="E843" s="1">
        <f>4</f>
        <v>4</v>
      </c>
      <c r="F843" s="1">
        <f>2</f>
        <v>2</v>
      </c>
      <c r="G843" s="9">
        <f>2</f>
        <v>2</v>
      </c>
    </row>
    <row r="844" spans="1:10" x14ac:dyDescent="0.25">
      <c r="C844" s="8">
        <f t="shared" ref="C844" si="1854">(D839^2)</f>
        <v>3.7358700567864056</v>
      </c>
      <c r="D844" s="1">
        <f t="shared" ref="D844" si="1855">2*C839*D839</f>
        <v>-4.3509957203966705</v>
      </c>
      <c r="E844" s="1">
        <f t="shared" ref="E844:E845" si="1856">-2</f>
        <v>-2</v>
      </c>
      <c r="F844" s="1">
        <f>0</f>
        <v>0</v>
      </c>
      <c r="G844" s="9">
        <f>0</f>
        <v>0</v>
      </c>
    </row>
    <row r="845" spans="1:10" x14ac:dyDescent="0.25">
      <c r="C845" s="10">
        <f t="shared" ref="C845" si="1857">2*C839</f>
        <v>-2.2510895668859514</v>
      </c>
      <c r="D845" s="11">
        <f t="shared" ref="D845" si="1858">-4*D839</f>
        <v>-7.7313595769814309</v>
      </c>
      <c r="E845" s="11">
        <f t="shared" si="1856"/>
        <v>-2</v>
      </c>
      <c r="F845" s="11">
        <f>0</f>
        <v>0</v>
      </c>
      <c r="G845" s="12">
        <f>0</f>
        <v>0</v>
      </c>
    </row>
    <row r="846" spans="1:10" x14ac:dyDescent="0.25">
      <c r="B846" t="s">
        <v>21</v>
      </c>
      <c r="C846" s="1" cm="1">
        <f t="array" ref="C846:G846">-MMULT(C840:G840,C841:G845)</f>
        <v>-1.8896114956761845E-12</v>
      </c>
      <c r="D846" s="1">
        <v>-1.8091400789886346E-12</v>
      </c>
      <c r="E846" s="1">
        <v>-2.971844992316619E-12</v>
      </c>
      <c r="F846" s="1">
        <v>-1.7982765753907689E-13</v>
      </c>
      <c r="G846" s="1">
        <v>-2.352330966237852E-12</v>
      </c>
    </row>
    <row r="847" spans="1:10" x14ac:dyDescent="0.25">
      <c r="B847" t="s">
        <v>13</v>
      </c>
      <c r="C847" s="1">
        <f t="shared" ref="C847" si="1859">J840/SUMPRODUCT(_xlfn.ANCHORARRAY(C846),_xlfn.ANCHORARRAY(C846))</f>
        <v>1.6778082975800686E-2</v>
      </c>
    </row>
    <row r="848" spans="1:10" x14ac:dyDescent="0.25">
      <c r="A848" s="1" t="s">
        <v>4</v>
      </c>
      <c r="B848" t="s">
        <v>18</v>
      </c>
      <c r="C848" s="1" cm="1">
        <f t="array" ref="C848:G848">C839:G839+C847*C846:G846</f>
        <v>-1.1255447834430075</v>
      </c>
      <c r="D848" s="1">
        <v>1.9328398942453273</v>
      </c>
      <c r="E848" s="1">
        <v>0.39755547298149418</v>
      </c>
      <c r="F848" s="1">
        <v>-0.67495954138089664</v>
      </c>
      <c r="G848" s="1">
        <v>-0.12015140458187351</v>
      </c>
    </row>
    <row r="849" spans="1:10" x14ac:dyDescent="0.25">
      <c r="A849" s="1">
        <v>95</v>
      </c>
      <c r="B849" t="s">
        <v>19</v>
      </c>
      <c r="C849" s="1">
        <f t="shared" ref="C849" si="1860">2*C848-F848*(D848^2)-2*G848*C848</f>
        <v>1.2628786905111156E-13</v>
      </c>
      <c r="D849" s="1">
        <f t="shared" ref="D849" si="1861">2*D848-2*F848*C848*D848+4*G848*D848</f>
        <v>-3.8613556796462944E-13</v>
      </c>
      <c r="E849" s="1">
        <f t="shared" ref="E849" si="1862">4*E848+2*F848+2*G848</f>
        <v>4.3642867098014904E-13</v>
      </c>
      <c r="F849" s="1">
        <f t="shared" ref="F849" si="1863">C848*(D848^2)-2*E848+5</f>
        <v>2.7355895326763857E-13</v>
      </c>
      <c r="G849" s="1">
        <f t="shared" ref="G849" si="1864">C848^2-2*(D848^2)-2*E848+7</f>
        <v>2.0250467969162855E-13</v>
      </c>
      <c r="J849" s="1">
        <f t="shared" ref="J849" si="1865">0.5*(C849*C849+D849*D849+E849*E849+F849*F849+G849*G849)</f>
        <v>2.3568096689011599E-25</v>
      </c>
    </row>
    <row r="850" spans="1:10" x14ac:dyDescent="0.25">
      <c r="C850" s="5">
        <f t="shared" ref="C850" si="1866">2-2*G848</f>
        <v>2.2403028091637469</v>
      </c>
      <c r="D850" s="6">
        <f t="shared" ref="D850" si="1867">-2*F848*D848</f>
        <v>2.6091774571650537</v>
      </c>
      <c r="E850" s="6">
        <f>0</f>
        <v>0</v>
      </c>
      <c r="F850" s="6">
        <f t="shared" ref="F850" si="1868">-(D848^2)</f>
        <v>-3.7358700567862879</v>
      </c>
      <c r="G850" s="7">
        <f t="shared" ref="G850" si="1869">-2*C848</f>
        <v>2.2510895668860149</v>
      </c>
    </row>
    <row r="851" spans="1:10" x14ac:dyDescent="0.25">
      <c r="C851" s="8">
        <f t="shared" ref="C851" si="1870">-2*F848*D848</f>
        <v>2.6091774571650537</v>
      </c>
      <c r="D851" s="1">
        <f t="shared" ref="D851" si="1871">2-2*F848*C848+4*G848</f>
        <v>-1.9984014443252818E-13</v>
      </c>
      <c r="E851" s="1">
        <f>0</f>
        <v>0</v>
      </c>
      <c r="F851" s="1">
        <f t="shared" ref="F851" si="1872">-2*C848*D848</f>
        <v>4.3509957203967247</v>
      </c>
      <c r="G851" s="9">
        <f t="shared" ref="G851" si="1873">4*D848</f>
        <v>7.7313595769813093</v>
      </c>
    </row>
    <row r="852" spans="1:10" x14ac:dyDescent="0.25">
      <c r="B852" t="s">
        <v>20</v>
      </c>
      <c r="C852" s="8">
        <f>0</f>
        <v>0</v>
      </c>
      <c r="D852" s="1">
        <f>0</f>
        <v>0</v>
      </c>
      <c r="E852" s="1">
        <f>4</f>
        <v>4</v>
      </c>
      <c r="F852" s="1">
        <f>2</f>
        <v>2</v>
      </c>
      <c r="G852" s="9">
        <f>2</f>
        <v>2</v>
      </c>
    </row>
    <row r="853" spans="1:10" x14ac:dyDescent="0.25">
      <c r="C853" s="8">
        <f t="shared" ref="C853" si="1874">(D848^2)</f>
        <v>3.7358700567862879</v>
      </c>
      <c r="D853" s="1">
        <f t="shared" ref="D853" si="1875">2*C848*D848</f>
        <v>-4.3509957203967247</v>
      </c>
      <c r="E853" s="1">
        <f t="shared" ref="E853:E854" si="1876">-2</f>
        <v>-2</v>
      </c>
      <c r="F853" s="1">
        <f>0</f>
        <v>0</v>
      </c>
      <c r="G853" s="9">
        <f>0</f>
        <v>0</v>
      </c>
    </row>
    <row r="854" spans="1:10" x14ac:dyDescent="0.25">
      <c r="C854" s="10">
        <f t="shared" ref="C854" si="1877">2*C848</f>
        <v>-2.2510895668860149</v>
      </c>
      <c r="D854" s="11">
        <f t="shared" ref="D854" si="1878">-4*D848</f>
        <v>-7.7313595769813093</v>
      </c>
      <c r="E854" s="11">
        <f t="shared" si="1876"/>
        <v>-2</v>
      </c>
      <c r="F854" s="11">
        <f>0</f>
        <v>0</v>
      </c>
      <c r="G854" s="12">
        <f>0</f>
        <v>0</v>
      </c>
    </row>
    <row r="855" spans="1:10" x14ac:dyDescent="0.25">
      <c r="B855" t="s">
        <v>21</v>
      </c>
      <c r="C855" s="1" cm="1">
        <f t="array" ref="C855:G855">-MMULT(C849:G849,C850:G854)</f>
        <v>1.5844862096547595E-13</v>
      </c>
      <c r="D855" s="1">
        <v>2.4263828686194584E-12</v>
      </c>
      <c r="E855" s="1">
        <v>-7.935874180020619E-13</v>
      </c>
      <c r="F855" s="1">
        <v>1.2790119302701584E-12</v>
      </c>
      <c r="G855" s="1">
        <v>1.8282102749909326E-12</v>
      </c>
    </row>
    <row r="856" spans="1:10" x14ac:dyDescent="0.25">
      <c r="B856" t="s">
        <v>13</v>
      </c>
      <c r="C856" s="1">
        <f t="shared" ref="C856" si="1879">J849/SUMPRODUCT(_xlfn.ANCHORARRAY(C855),_xlfn.ANCHORARRAY(C855))</f>
        <v>2.0457626826137634E-2</v>
      </c>
    </row>
    <row r="857" spans="1:10" x14ac:dyDescent="0.25">
      <c r="A857" s="1" t="s">
        <v>4</v>
      </c>
      <c r="B857" t="s">
        <v>18</v>
      </c>
      <c r="C857" s="1" cm="1">
        <f t="array" ref="C857:G857">C848:G848+C856*C855:G855</f>
        <v>-1.1255447834430041</v>
      </c>
      <c r="D857" s="1">
        <v>1.9328398942453771</v>
      </c>
      <c r="E857" s="1">
        <v>0.39755547298147798</v>
      </c>
      <c r="F857" s="1">
        <v>-0.67495954138087044</v>
      </c>
      <c r="G857" s="1">
        <v>-0.12015140458183611</v>
      </c>
    </row>
    <row r="858" spans="1:10" x14ac:dyDescent="0.25">
      <c r="A858" s="1">
        <v>96</v>
      </c>
      <c r="B858" t="s">
        <v>19</v>
      </c>
      <c r="C858" s="1">
        <f t="shared" ref="C858" si="1880">2*C857-F857*(D857^2)-2*G857*C857</f>
        <v>2.4991120284312274E-13</v>
      </c>
      <c r="D858" s="1">
        <f t="shared" ref="D858" si="1881">2*D857-2*F857*C857*D857+4*G857*D857</f>
        <v>2.5313084961453569E-14</v>
      </c>
      <c r="E858" s="1">
        <f t="shared" ref="E858" si="1882">4*E857+2*F857+2*G857</f>
        <v>4.987954493884672E-13</v>
      </c>
      <c r="F858" s="1">
        <f t="shared" ref="F858" si="1883">C857*(D857^2)-2*E857+5</f>
        <v>1.0125233984581428E-13</v>
      </c>
      <c r="G858" s="1">
        <f t="shared" ref="G858" si="1884">C857^2-2*(D857^2)-2*E857+7</f>
        <v>-1.5720758028692217E-13</v>
      </c>
      <c r="J858" s="1">
        <f t="shared" ref="J858" si="1885">0.5*(C858*C858+D858*D858+E858*E858+F858*F858+G858*G858)</f>
        <v>1.7342976076566325E-25</v>
      </c>
    </row>
    <row r="859" spans="1:10" x14ac:dyDescent="0.25">
      <c r="C859" s="5">
        <f t="shared" ref="C859" si="1886">2-2*G857</f>
        <v>2.2403028091636723</v>
      </c>
      <c r="D859" s="6">
        <f t="shared" ref="D859" si="1887">-2*F857*D857</f>
        <v>2.6091774571650195</v>
      </c>
      <c r="E859" s="6">
        <f>0</f>
        <v>0</v>
      </c>
      <c r="F859" s="6">
        <f t="shared" ref="F859" si="1888">-(D857^2)</f>
        <v>-3.7358700567864802</v>
      </c>
      <c r="G859" s="7">
        <f t="shared" ref="G859" si="1889">-2*C857</f>
        <v>2.2510895668860083</v>
      </c>
    </row>
    <row r="860" spans="1:10" x14ac:dyDescent="0.25">
      <c r="C860" s="8">
        <f t="shared" ref="C860" si="1890">-2*F857*D857</f>
        <v>2.6091774571650195</v>
      </c>
      <c r="D860" s="1">
        <f t="shared" ref="D860" si="1891">2-2*F857*C857+4*G857</f>
        <v>1.3045120539345589E-14</v>
      </c>
      <c r="E860" s="1">
        <f>0</f>
        <v>0</v>
      </c>
      <c r="F860" s="1">
        <f t="shared" ref="F860" si="1892">-2*C857*D857</f>
        <v>4.3509957203968241</v>
      </c>
      <c r="G860" s="9">
        <f t="shared" ref="G860" si="1893">4*D857</f>
        <v>7.7313595769815082</v>
      </c>
    </row>
    <row r="861" spans="1:10" x14ac:dyDescent="0.25">
      <c r="B861" t="s">
        <v>20</v>
      </c>
      <c r="C861" s="8">
        <f>0</f>
        <v>0</v>
      </c>
      <c r="D861" s="1">
        <f>0</f>
        <v>0</v>
      </c>
      <c r="E861" s="1">
        <f>4</f>
        <v>4</v>
      </c>
      <c r="F861" s="1">
        <f>2</f>
        <v>2</v>
      </c>
      <c r="G861" s="9">
        <f>2</f>
        <v>2</v>
      </c>
    </row>
    <row r="862" spans="1:10" x14ac:dyDescent="0.25">
      <c r="C862" s="8">
        <f t="shared" ref="C862" si="1894">(D857^2)</f>
        <v>3.7358700567864802</v>
      </c>
      <c r="D862" s="1">
        <f t="shared" ref="D862" si="1895">2*C857*D857</f>
        <v>-4.3509957203968241</v>
      </c>
      <c r="E862" s="1">
        <f t="shared" ref="E862:E863" si="1896">-2</f>
        <v>-2</v>
      </c>
      <c r="F862" s="1">
        <f>0</f>
        <v>0</v>
      </c>
      <c r="G862" s="9">
        <f>0</f>
        <v>0</v>
      </c>
    </row>
    <row r="863" spans="1:10" x14ac:dyDescent="0.25">
      <c r="C863" s="10">
        <f t="shared" ref="C863" si="1897">2*C857</f>
        <v>-2.2510895668860083</v>
      </c>
      <c r="D863" s="11">
        <f t="shared" ref="D863" si="1898">-4*D857</f>
        <v>-7.7313595769815082</v>
      </c>
      <c r="E863" s="11">
        <f t="shared" si="1896"/>
        <v>-2</v>
      </c>
      <c r="F863" s="11">
        <f>0</f>
        <v>0</v>
      </c>
      <c r="G863" s="12">
        <f>0</f>
        <v>0</v>
      </c>
    </row>
    <row r="864" spans="1:10" x14ac:dyDescent="0.25">
      <c r="B864" t="s">
        <v>21</v>
      </c>
      <c r="C864" s="1" cm="1">
        <f t="array" ref="C864:G864">-MMULT(C858:G858,C859:G863)</f>
        <v>-1.3580770288524789E-12</v>
      </c>
      <c r="D864" s="1">
        <v>-1.426942510827353E-12</v>
      </c>
      <c r="E864" s="1">
        <v>-2.1070922784360846E-12</v>
      </c>
      <c r="F864" s="1">
        <v>-1.7409224355714555E-13</v>
      </c>
      <c r="G864" s="1">
        <v>-1.7558679619847015E-12</v>
      </c>
    </row>
    <row r="865" spans="1:10" x14ac:dyDescent="0.25">
      <c r="B865" t="s">
        <v>13</v>
      </c>
      <c r="C865" s="1">
        <f t="shared" ref="C865" si="1899">J858/SUMPRODUCT(_xlfn.ANCHORARRAY(C864),_xlfn.ANCHORARRAY(C864))</f>
        <v>1.5168222439429349E-2</v>
      </c>
    </row>
    <row r="866" spans="1:10" x14ac:dyDescent="0.25">
      <c r="A866" s="1" t="s">
        <v>4</v>
      </c>
      <c r="B866" t="s">
        <v>18</v>
      </c>
      <c r="C866" s="1" cm="1">
        <f t="array" ref="C866:G866">C857:G857+C865*C864:G864</f>
        <v>-1.1255447834430248</v>
      </c>
      <c r="D866" s="1">
        <v>1.9328398942453555</v>
      </c>
      <c r="E866" s="1">
        <v>0.397555472981446</v>
      </c>
      <c r="F866" s="1">
        <v>-0.67495954138087311</v>
      </c>
      <c r="G866" s="1">
        <v>-0.12015140458186274</v>
      </c>
    </row>
    <row r="867" spans="1:10" x14ac:dyDescent="0.25">
      <c r="A867" s="1">
        <v>97</v>
      </c>
      <c r="B867" t="s">
        <v>19</v>
      </c>
      <c r="C867" s="1">
        <f t="shared" ref="C867" si="1900">2*C866-F866*(D866^2)-2*G866*C866</f>
        <v>9.7533092713320002E-14</v>
      </c>
      <c r="D867" s="1">
        <f t="shared" ref="D867" si="1901">2*D866-2*F866*C866*D866+4*G866*D866</f>
        <v>-2.4580337765200966E-13</v>
      </c>
      <c r="E867" s="1">
        <f t="shared" ref="E867" si="1902">4*E866+2*F866+2*G866</f>
        <v>3.1230573682705653E-13</v>
      </c>
      <c r="F867" s="1">
        <f t="shared" ref="F867" si="1903">C866*(D866^2)-2*E866+5</f>
        <v>1.8207657603852567E-13</v>
      </c>
      <c r="G867" s="1">
        <f t="shared" ref="G867" si="1904">C866^2-2*(D866^2)-2*E866+7</f>
        <v>1.1901590823981678E-13</v>
      </c>
      <c r="J867" s="1">
        <f t="shared" ref="J867" si="1905">0.5*(C867*C867+D867*D867+E867*E867+F867*F867+G867*G867)</f>
        <v>1.0739177192525688E-25</v>
      </c>
    </row>
    <row r="868" spans="1:10" x14ac:dyDescent="0.25">
      <c r="C868" s="5">
        <f t="shared" ref="C868" si="1906">2-2*G866</f>
        <v>2.2403028091637256</v>
      </c>
      <c r="D868" s="6">
        <f t="shared" ref="D868" si="1907">-2*F866*D866</f>
        <v>2.6091774571650008</v>
      </c>
      <c r="E868" s="6">
        <f>0</f>
        <v>0</v>
      </c>
      <c r="F868" s="6">
        <f t="shared" ref="F868" si="1908">-(D866^2)</f>
        <v>-3.7358700567863972</v>
      </c>
      <c r="G868" s="7">
        <f t="shared" ref="G868" si="1909">-2*C866</f>
        <v>2.2510895668860496</v>
      </c>
    </row>
    <row r="869" spans="1:10" x14ac:dyDescent="0.25">
      <c r="C869" s="8">
        <f t="shared" ref="C869" si="1910">-2*F866*D866</f>
        <v>2.6091774571650008</v>
      </c>
      <c r="D869" s="1">
        <f t="shared" ref="D869" si="1911">2-2*F866*C866+4*G866</f>
        <v>-1.2723155862204294E-13</v>
      </c>
      <c r="E869" s="1">
        <f>0</f>
        <v>0</v>
      </c>
      <c r="F869" s="1">
        <f t="shared" ref="F869" si="1912">-2*C866*D866</f>
        <v>4.3509957203968552</v>
      </c>
      <c r="G869" s="9">
        <f t="shared" ref="G869" si="1913">4*D866</f>
        <v>7.7313595769814221</v>
      </c>
    </row>
    <row r="870" spans="1:10" x14ac:dyDescent="0.25">
      <c r="B870" t="s">
        <v>20</v>
      </c>
      <c r="C870" s="8">
        <f>0</f>
        <v>0</v>
      </c>
      <c r="D870" s="1">
        <f>0</f>
        <v>0</v>
      </c>
      <c r="E870" s="1">
        <f>4</f>
        <v>4</v>
      </c>
      <c r="F870" s="1">
        <f>2</f>
        <v>2</v>
      </c>
      <c r="G870" s="9">
        <f>2</f>
        <v>2</v>
      </c>
    </row>
    <row r="871" spans="1:10" x14ac:dyDescent="0.25">
      <c r="C871" s="8">
        <f t="shared" ref="C871" si="1914">(D866^2)</f>
        <v>3.7358700567863972</v>
      </c>
      <c r="D871" s="1">
        <f t="shared" ref="D871" si="1915">2*C866*D866</f>
        <v>-4.3509957203968552</v>
      </c>
      <c r="E871" s="1">
        <f t="shared" ref="E871:E872" si="1916">-2</f>
        <v>-2</v>
      </c>
      <c r="F871" s="1">
        <f>0</f>
        <v>0</v>
      </c>
      <c r="G871" s="9">
        <f>0</f>
        <v>0</v>
      </c>
    </row>
    <row r="872" spans="1:10" x14ac:dyDescent="0.25">
      <c r="C872" s="10">
        <f t="shared" ref="C872" si="1917">2*C866</f>
        <v>-2.2510895668860496</v>
      </c>
      <c r="D872" s="11">
        <f t="shared" ref="D872" si="1918">-4*D866</f>
        <v>-7.7313595769814221</v>
      </c>
      <c r="E872" s="11">
        <f t="shared" si="1916"/>
        <v>-2</v>
      </c>
      <c r="F872" s="11">
        <f>0</f>
        <v>0</v>
      </c>
      <c r="G872" s="12">
        <f>0</f>
        <v>0</v>
      </c>
    </row>
    <row r="873" spans="1:10" x14ac:dyDescent="0.25">
      <c r="B873" t="s">
        <v>21</v>
      </c>
      <c r="C873" s="1" cm="1">
        <f t="array" ref="C873:G873">-MMULT(C867:G867,C868:G872)</f>
        <v>1.0542011140161293E-14</v>
      </c>
      <c r="D873" s="1">
        <v>1.4578880382759776E-12</v>
      </c>
      <c r="E873" s="1">
        <v>-6.4703797875154123E-13</v>
      </c>
      <c r="F873" s="1">
        <v>8.0924893118233658E-13</v>
      </c>
      <c r="G873" s="1">
        <v>1.0562270967770486E-12</v>
      </c>
    </row>
    <row r="874" spans="1:10" x14ac:dyDescent="0.25">
      <c r="B874" t="s">
        <v>13</v>
      </c>
      <c r="C874" s="1">
        <f t="shared" ref="C874" si="1919">J867/SUMPRODUCT(_xlfn.ANCHORARRAY(C873),_xlfn.ANCHORARRAY(C873))</f>
        <v>2.4889706006405301E-2</v>
      </c>
    </row>
    <row r="875" spans="1:10" x14ac:dyDescent="0.25">
      <c r="A875" s="1" t="s">
        <v>4</v>
      </c>
      <c r="B875" t="s">
        <v>18</v>
      </c>
      <c r="C875" s="1" cm="1">
        <f t="array" ref="C875:G875">C866:G866+C874*C873:G873</f>
        <v>-1.1255447834430246</v>
      </c>
      <c r="D875" s="1">
        <v>1.9328398942453917</v>
      </c>
      <c r="E875" s="1">
        <v>0.3975554729814299</v>
      </c>
      <c r="F875" s="1">
        <v>-0.67495954138085301</v>
      </c>
      <c r="G875" s="1">
        <v>-0.12015140458183646</v>
      </c>
    </row>
    <row r="876" spans="1:10" x14ac:dyDescent="0.25">
      <c r="A876" s="1">
        <v>98</v>
      </c>
      <c r="B876" t="s">
        <v>19</v>
      </c>
      <c r="C876" s="1">
        <f t="shared" ref="C876" si="1920">2*C875-F875*(D875^2)-2*G875*C875</f>
        <v>1.7674750552032492E-13</v>
      </c>
      <c r="D876" s="1">
        <f t="shared" ref="D876" si="1921">2*D875-2*F875*C875*D875+4*G875*D875</f>
        <v>4.5297099404706387E-14</v>
      </c>
      <c r="E876" s="1">
        <f t="shared" ref="E876" si="1922">4*E875+2*F875+2*G875</f>
        <v>3.4067193510622928E-13</v>
      </c>
      <c r="F876" s="1">
        <f t="shared" ref="F876" si="1923">C875*(D875^2)-2*E875+5</f>
        <v>5.6843418860808015E-14</v>
      </c>
      <c r="G876" s="1">
        <f t="shared" ref="G876" si="1924">C875^2-2*(D875^2)-2*E875+7</f>
        <v>-1.2789769243681803E-13</v>
      </c>
      <c r="J876" s="1">
        <f t="shared" ref="J876" si="1925">0.5*(C876*C876+D876*D876+E876*E876+F876*F876+G876*G876)</f>
        <v>8.4468934644804101E-26</v>
      </c>
    </row>
    <row r="877" spans="1:10" x14ac:dyDescent="0.25">
      <c r="C877" s="5">
        <f t="shared" ref="C877" si="1926">2-2*G875</f>
        <v>2.2403028091636727</v>
      </c>
      <c r="D877" s="6">
        <f t="shared" ref="D877" si="1927">-2*F875*D875</f>
        <v>2.609177457164972</v>
      </c>
      <c r="E877" s="6">
        <f>0</f>
        <v>0</v>
      </c>
      <c r="F877" s="6">
        <f t="shared" ref="F877" si="1928">-(D875^2)</f>
        <v>-3.7358700567865371</v>
      </c>
      <c r="G877" s="7">
        <f t="shared" ref="G877" si="1929">-2*C875</f>
        <v>2.2510895668860491</v>
      </c>
    </row>
    <row r="878" spans="1:10" x14ac:dyDescent="0.25">
      <c r="C878" s="8">
        <f t="shared" ref="C878" si="1930">-2*F875*D875</f>
        <v>2.609177457164972</v>
      </c>
      <c r="D878" s="1">
        <f t="shared" ref="D878" si="1931">2-2*F875*C875+4*G875</f>
        <v>2.3425705819590803E-14</v>
      </c>
      <c r="E878" s="1">
        <f>0</f>
        <v>0</v>
      </c>
      <c r="F878" s="1">
        <f t="shared" ref="F878" si="1932">-2*C875*D875</f>
        <v>4.3509957203969361</v>
      </c>
      <c r="G878" s="9">
        <f t="shared" ref="G878" si="1933">4*D875</f>
        <v>7.7313595769815668</v>
      </c>
    </row>
    <row r="879" spans="1:10" x14ac:dyDescent="0.25">
      <c r="B879" t="s">
        <v>20</v>
      </c>
      <c r="C879" s="8">
        <f>0</f>
        <v>0</v>
      </c>
      <c r="D879" s="1">
        <f>0</f>
        <v>0</v>
      </c>
      <c r="E879" s="1">
        <f>4</f>
        <v>4</v>
      </c>
      <c r="F879" s="1">
        <f>2</f>
        <v>2</v>
      </c>
      <c r="G879" s="9">
        <f>2</f>
        <v>2</v>
      </c>
    </row>
    <row r="880" spans="1:10" x14ac:dyDescent="0.25">
      <c r="C880" s="8">
        <f t="shared" ref="C880" si="1934">(D875^2)</f>
        <v>3.7358700567865371</v>
      </c>
      <c r="D880" s="1">
        <f t="shared" ref="D880" si="1935">2*C875*D875</f>
        <v>-4.3509957203969361</v>
      </c>
      <c r="E880" s="1">
        <f t="shared" ref="E880:E881" si="1936">-2</f>
        <v>-2</v>
      </c>
      <c r="F880" s="1">
        <f>0</f>
        <v>0</v>
      </c>
      <c r="G880" s="9">
        <f>0</f>
        <v>0</v>
      </c>
    </row>
    <row r="881" spans="1:10" x14ac:dyDescent="0.25">
      <c r="C881" s="10">
        <f t="shared" ref="C881" si="1937">2*C875</f>
        <v>-2.2510895668860491</v>
      </c>
      <c r="D881" s="11">
        <f t="shared" ref="D881" si="1938">-4*D875</f>
        <v>-7.7313595769815668</v>
      </c>
      <c r="E881" s="11">
        <f t="shared" si="1936"/>
        <v>-2</v>
      </c>
      <c r="F881" s="11">
        <f>0</f>
        <v>0</v>
      </c>
      <c r="G881" s="12">
        <f>0</f>
        <v>0</v>
      </c>
    </row>
    <row r="882" spans="1:10" x14ac:dyDescent="0.25">
      <c r="B882" t="s">
        <v>21</v>
      </c>
      <c r="C882" s="1" cm="1">
        <f t="array" ref="C882:G882">-MMULT(C876:G876,C877:G881)</f>
        <v>-1.0144248912923659E-12</v>
      </c>
      <c r="D882" s="1">
        <v>-1.2026631841129041E-12</v>
      </c>
      <c r="E882" s="1">
        <v>-1.5047962875769372E-12</v>
      </c>
      <c r="F882" s="1">
        <v>-2.1812564238363557E-13</v>
      </c>
      <c r="G882" s="1">
        <v>-1.4294264991544591E-12</v>
      </c>
    </row>
    <row r="883" spans="1:10" x14ac:dyDescent="0.25">
      <c r="B883" t="s">
        <v>13</v>
      </c>
      <c r="C883" s="1">
        <f t="shared" ref="C883" si="1939">J876/SUMPRODUCT(_xlfn.ANCHORARRAY(C882),_xlfn.ANCHORARRAY(C882))</f>
        <v>1.2366059621722885E-2</v>
      </c>
    </row>
    <row r="884" spans="1:10" x14ac:dyDescent="0.25">
      <c r="A884" s="1" t="s">
        <v>4</v>
      </c>
      <c r="B884" t="s">
        <v>18</v>
      </c>
      <c r="C884" s="1" cm="1">
        <f t="array" ref="C884:G884">C875:G875+C883*C882:G882</f>
        <v>-1.125544783443037</v>
      </c>
      <c r="D884" s="1">
        <v>1.9328398942453768</v>
      </c>
      <c r="E884" s="1">
        <v>0.39755547298141131</v>
      </c>
      <c r="F884" s="1">
        <v>-0.67495954138085568</v>
      </c>
      <c r="G884" s="1">
        <v>-0.12015140458185414</v>
      </c>
    </row>
    <row r="885" spans="1:10" x14ac:dyDescent="0.25">
      <c r="A885" s="1">
        <v>99</v>
      </c>
      <c r="B885" t="s">
        <v>19</v>
      </c>
      <c r="C885" s="1">
        <f t="shared" ref="C885" si="1940">2*C884-F884*(D884^2)-2*G884*C884</f>
        <v>7.9769524319317497E-14</v>
      </c>
      <c r="D885" s="1">
        <f t="shared" ref="D885" si="1941">2*D884-2*F884*C884*D884+4*G884*D884</f>
        <v>-1.3578027591165664E-13</v>
      </c>
      <c r="E885" s="1">
        <f t="shared" ref="E885" si="1942">4*E884+2*F884+2*G884</f>
        <v>2.2559731860383181E-13</v>
      </c>
      <c r="F885" s="1">
        <f t="shared" ref="F885" si="1943">C884*(D884^2)-2*E884+5</f>
        <v>1.127986593019159E-13</v>
      </c>
      <c r="G885" s="1">
        <f t="shared" ref="G885" si="1944">C884^2-2*(D884^2)-2*E884+7</f>
        <v>5.1514348342607263E-14</v>
      </c>
      <c r="J885" s="1">
        <f t="shared" ref="J885" si="1945">0.5*(C885*C885+D885*D885+E885*E885+F885*F885+G885*G885)</f>
        <v>4.5535438061743886E-26</v>
      </c>
    </row>
    <row r="886" spans="1:10" x14ac:dyDescent="0.25">
      <c r="C886" s="5">
        <f t="shared" ref="C886" si="1946">2-2*G884</f>
        <v>2.2403028091637083</v>
      </c>
      <c r="D886" s="6">
        <f t="shared" ref="D886" si="1947">-2*F884*D884</f>
        <v>2.6091774571649622</v>
      </c>
      <c r="E886" s="6">
        <f>0</f>
        <v>0</v>
      </c>
      <c r="F886" s="6">
        <f t="shared" ref="F886" si="1948">-(D884^2)</f>
        <v>-3.7358700567864793</v>
      </c>
      <c r="G886" s="7">
        <f t="shared" ref="G886" si="1949">-2*C884</f>
        <v>2.251089566886074</v>
      </c>
    </row>
    <row r="887" spans="1:10" x14ac:dyDescent="0.25">
      <c r="C887" s="8">
        <f t="shared" ref="C887" si="1950">-2*F884*D884</f>
        <v>2.6091774571649622</v>
      </c>
      <c r="D887" s="1">
        <f t="shared" ref="D887" si="1951">2-2*F884*C884+4*G884</f>
        <v>-7.0166095156309893E-14</v>
      </c>
      <c r="E887" s="1">
        <f>0</f>
        <v>0</v>
      </c>
      <c r="F887" s="1">
        <f t="shared" ref="F887" si="1952">-2*C884*D884</f>
        <v>4.3509957203969503</v>
      </c>
      <c r="G887" s="9">
        <f t="shared" ref="G887" si="1953">4*D884</f>
        <v>7.7313595769815073</v>
      </c>
    </row>
    <row r="888" spans="1:10" x14ac:dyDescent="0.25">
      <c r="B888" t="s">
        <v>20</v>
      </c>
      <c r="C888" s="8">
        <f>0</f>
        <v>0</v>
      </c>
      <c r="D888" s="1">
        <f>0</f>
        <v>0</v>
      </c>
      <c r="E888" s="1">
        <f>4</f>
        <v>4</v>
      </c>
      <c r="F888" s="1">
        <f>2</f>
        <v>2</v>
      </c>
      <c r="G888" s="9">
        <f>2</f>
        <v>2</v>
      </c>
    </row>
    <row r="889" spans="1:10" x14ac:dyDescent="0.25">
      <c r="C889" s="8">
        <f t="shared" ref="C889" si="1954">(D884^2)</f>
        <v>3.7358700567864793</v>
      </c>
      <c r="D889" s="1">
        <f t="shared" ref="D889" si="1955">2*C884*D884</f>
        <v>-4.3509957203969503</v>
      </c>
      <c r="E889" s="1">
        <f t="shared" ref="E889:E890" si="1956">-2</f>
        <v>-2</v>
      </c>
      <c r="F889" s="1">
        <f>0</f>
        <v>0</v>
      </c>
      <c r="G889" s="9">
        <f>0</f>
        <v>0</v>
      </c>
    </row>
    <row r="890" spans="1:10" x14ac:dyDescent="0.25">
      <c r="C890" s="10">
        <f t="shared" ref="C890" si="1957">2*C884</f>
        <v>-2.251089566886074</v>
      </c>
      <c r="D890" s="11">
        <f t="shared" ref="D890" si="1958">-4*D884</f>
        <v>-7.7313595769815073</v>
      </c>
      <c r="E890" s="11">
        <f t="shared" si="1956"/>
        <v>-2</v>
      </c>
      <c r="F890" s="11">
        <f>0</f>
        <v>0</v>
      </c>
      <c r="G890" s="12">
        <f>0</f>
        <v>0</v>
      </c>
    </row>
    <row r="891" spans="1:10" x14ac:dyDescent="0.25">
      <c r="B891" t="s">
        <v>21</v>
      </c>
      <c r="C891" s="1" cm="1">
        <f t="array" ref="C891:G891">-MMULT(C885:G885,C886:G890)</f>
        <v>-1.2987077601459569E-13</v>
      </c>
      <c r="D891" s="1">
        <v>6.8092958967698293E-13</v>
      </c>
      <c r="E891" s="1">
        <v>-5.737632591262809E-13</v>
      </c>
      <c r="F891" s="1">
        <v>4.3759333954691059E-13</v>
      </c>
      <c r="G891" s="1">
        <v>4.190031553764338E-13</v>
      </c>
    </row>
    <row r="892" spans="1:10" x14ac:dyDescent="0.25">
      <c r="B892" t="s">
        <v>13</v>
      </c>
      <c r="C892" s="1">
        <f t="shared" ref="C892" si="1959">J885/SUMPRODUCT(_xlfn.ANCHORARRAY(C891),_xlfn.ANCHORARRAY(C891))</f>
        <v>3.8694703008616854E-2</v>
      </c>
    </row>
    <row r="893" spans="1:10" x14ac:dyDescent="0.25">
      <c r="A893" s="1" t="s">
        <v>4</v>
      </c>
      <c r="B893" t="s">
        <v>18</v>
      </c>
      <c r="C893" s="1" cm="1">
        <f t="array" ref="C893:G893">C884:G884+C892*C891:G891</f>
        <v>-1.1255447834430421</v>
      </c>
      <c r="D893" s="1">
        <v>1.9328398942454033</v>
      </c>
      <c r="E893" s="1">
        <v>0.3975554729813891</v>
      </c>
      <c r="F893" s="1">
        <v>-0.67495954138083869</v>
      </c>
      <c r="G893" s="1">
        <v>-0.12015140458183793</v>
      </c>
    </row>
    <row r="894" spans="1:10" x14ac:dyDescent="0.25">
      <c r="A894" s="1">
        <v>100</v>
      </c>
      <c r="B894" t="s">
        <v>19</v>
      </c>
      <c r="C894" s="1">
        <f t="shared" ref="C894" si="1960">2*C893-F893*(D893^2)-2*G893*C893</f>
        <v>1.1057821325266559E-13</v>
      </c>
      <c r="D894" s="1">
        <f t="shared" ref="D894" si="1961">2*D893-2*F893*C893*D893+4*G893*D893</f>
        <v>5.0626169922907138E-14</v>
      </c>
      <c r="E894" s="1">
        <f t="shared" ref="E894" si="1962">4*E893+2*F893+2*G893</f>
        <v>2.0317081350640365E-13</v>
      </c>
      <c r="F894" s="1">
        <f t="shared" ref="F894" si="1963">C893*(D893^2)-2*E893+5</f>
        <v>2.3092638912203256E-14</v>
      </c>
      <c r="G894" s="1">
        <f t="shared" ref="G894" si="1964">C893^2-2*(D893^2)-2*E893+7</f>
        <v>-9.681144774731365E-14</v>
      </c>
      <c r="J894" s="1">
        <f t="shared" ref="J894" si="1965">0.5*(C894*C894+D894*D894+E894*E894+F894*F894+G894*G894)</f>
        <v>3.2987328087464576E-26</v>
      </c>
    </row>
    <row r="895" spans="1:10" x14ac:dyDescent="0.25">
      <c r="C895" s="5">
        <f t="shared" ref="C895" si="1966">2-2*G893</f>
        <v>2.2403028091636759</v>
      </c>
      <c r="D895" s="6">
        <f t="shared" ref="D895" si="1967">-2*F893*D893</f>
        <v>2.6091774571649324</v>
      </c>
      <c r="E895" s="6">
        <f>0</f>
        <v>0</v>
      </c>
      <c r="F895" s="6">
        <f t="shared" ref="F895" si="1968">-(D893^2)</f>
        <v>-3.7358700567865815</v>
      </c>
      <c r="G895" s="7">
        <f t="shared" ref="G895" si="1969">-2*C893</f>
        <v>2.2510895668860842</v>
      </c>
    </row>
    <row r="896" spans="1:10" x14ac:dyDescent="0.25">
      <c r="C896" s="8">
        <f t="shared" ref="C896" si="1970">-2*F893*D893</f>
        <v>2.6091774571649324</v>
      </c>
      <c r="D896" s="1">
        <f t="shared" ref="D896" si="1971">2-2*F893*C893+4*G893</f>
        <v>2.6201263381153694E-14</v>
      </c>
      <c r="E896" s="1">
        <f>0</f>
        <v>0</v>
      </c>
      <c r="F896" s="1">
        <f t="shared" ref="F896" si="1972">-2*C893*D893</f>
        <v>4.3509957203970293</v>
      </c>
      <c r="G896" s="9">
        <f t="shared" ref="G896" si="1973">4*D893</f>
        <v>7.731359576981613</v>
      </c>
    </row>
    <row r="897" spans="1:10" x14ac:dyDescent="0.25">
      <c r="B897" t="s">
        <v>20</v>
      </c>
      <c r="C897" s="8">
        <f>0</f>
        <v>0</v>
      </c>
      <c r="D897" s="1">
        <f>0</f>
        <v>0</v>
      </c>
      <c r="E897" s="1">
        <f>4</f>
        <v>4</v>
      </c>
      <c r="F897" s="1">
        <f>2</f>
        <v>2</v>
      </c>
      <c r="G897" s="9">
        <f>2</f>
        <v>2</v>
      </c>
    </row>
    <row r="898" spans="1:10" x14ac:dyDescent="0.25">
      <c r="C898" s="8">
        <f t="shared" ref="C898" si="1974">(D893^2)</f>
        <v>3.7358700567865815</v>
      </c>
      <c r="D898" s="1">
        <f t="shared" ref="D898" si="1975">2*C893*D893</f>
        <v>-4.3509957203970293</v>
      </c>
      <c r="E898" s="1">
        <f t="shared" ref="E898:E899" si="1976">-2</f>
        <v>-2</v>
      </c>
      <c r="F898" s="1">
        <f>0</f>
        <v>0</v>
      </c>
      <c r="G898" s="9">
        <f>0</f>
        <v>0</v>
      </c>
    </row>
    <row r="899" spans="1:10" x14ac:dyDescent="0.25">
      <c r="C899" s="10">
        <f t="shared" ref="C899" si="1977">2*C893</f>
        <v>-2.2510895668860842</v>
      </c>
      <c r="D899" s="11">
        <f t="shared" ref="D899" si="1978">-4*D893</f>
        <v>-7.731359576981613</v>
      </c>
      <c r="E899" s="11">
        <f t="shared" si="1976"/>
        <v>-2</v>
      </c>
      <c r="F899" s="11">
        <f>0</f>
        <v>0</v>
      </c>
      <c r="G899" s="12">
        <f>0</f>
        <v>0</v>
      </c>
    </row>
    <row r="900" spans="1:10" x14ac:dyDescent="0.25">
      <c r="B900" t="s">
        <v>21</v>
      </c>
      <c r="C900" s="1" cm="1">
        <f t="array" ref="C900:G900">-MMULT(C894:G894,C895:G899)</f>
        <v>-6.8402368131109732E-13</v>
      </c>
      <c r="D900" s="1">
        <v>-9.3652632189541117E-13</v>
      </c>
      <c r="E900" s="1">
        <v>-9.6012087169583538E-13</v>
      </c>
      <c r="F900" s="1">
        <v>-2.1351003986387455E-13</v>
      </c>
      <c r="G900" s="1">
        <v>-1.0466722128701539E-12</v>
      </c>
    </row>
    <row r="901" spans="1:10" x14ac:dyDescent="0.25">
      <c r="B901" t="s">
        <v>13</v>
      </c>
      <c r="C901" s="1">
        <f t="shared" ref="C901" si="1979">J894/SUMPRODUCT(_xlfn.ANCHORARRAY(C900),_xlfn.ANCHORARRAY(C900))</f>
        <v>9.6796322539226855E-3</v>
      </c>
    </row>
    <row r="902" spans="1:10" x14ac:dyDescent="0.25">
      <c r="A902" s="1" t="s">
        <v>4</v>
      </c>
      <c r="B902" t="s">
        <v>18</v>
      </c>
      <c r="C902" s="1" cm="1">
        <f t="array" ref="C902:G902">C893:G893+C901*C900:G900</f>
        <v>-1.1255447834430488</v>
      </c>
      <c r="D902" s="1">
        <v>1.9328398942453942</v>
      </c>
      <c r="E902" s="1">
        <v>0.39755547298137983</v>
      </c>
      <c r="F902" s="1">
        <v>-0.6749595413808408</v>
      </c>
      <c r="G902" s="1">
        <v>-0.12015140458184806</v>
      </c>
    </row>
    <row r="903" spans="1:10" x14ac:dyDescent="0.25">
      <c r="A903" s="1">
        <v>101</v>
      </c>
      <c r="B903" t="s">
        <v>19</v>
      </c>
      <c r="C903" s="1">
        <f t="shared" ref="C903" si="1980">2*C902-F902*(D902^2)-2*G902*C902</f>
        <v>5.6898930012039273E-14</v>
      </c>
      <c r="D903" s="1">
        <f t="shared" ref="D903" si="1981">2*D902-2*F902*C902*D902+4*G902*D902</f>
        <v>-5.4511950509095186E-14</v>
      </c>
      <c r="E903" s="1">
        <f t="shared" ref="E903" si="1982">4*E902+2*F902+2*G902</f>
        <v>1.4160894679093872E-13</v>
      </c>
      <c r="F903" s="1">
        <f t="shared" ref="F903" si="1983">C902*(D902^2)-2*E902+5</f>
        <v>5.6843418860808015E-14</v>
      </c>
      <c r="G903" s="1">
        <f t="shared" ref="G903" si="1984">C902^2-2*(D902^2)-2*E902+7</f>
        <v>7.1054273576010019E-15</v>
      </c>
      <c r="J903" s="1">
        <f t="shared" ref="J903" si="1985">0.5*(C903*C903+D903*D903+E903*E903+F903*F903+G903*G903)</f>
        <v>1.4771898080889654E-26</v>
      </c>
    </row>
    <row r="904" spans="1:10" x14ac:dyDescent="0.25">
      <c r="C904" s="5">
        <f t="shared" ref="C904" si="1986">2-2*G902</f>
        <v>2.2403028091636963</v>
      </c>
      <c r="D904" s="6">
        <f t="shared" ref="D904" si="1987">-2*F902*D902</f>
        <v>2.609177457164928</v>
      </c>
      <c r="E904" s="6">
        <f>0</f>
        <v>0</v>
      </c>
      <c r="F904" s="6">
        <f t="shared" ref="F904" si="1988">-(D902^2)</f>
        <v>-3.7358700567865464</v>
      </c>
      <c r="G904" s="7">
        <f t="shared" ref="G904" si="1989">-2*C902</f>
        <v>2.2510895668860975</v>
      </c>
    </row>
    <row r="905" spans="1:10" x14ac:dyDescent="0.25">
      <c r="C905" s="8">
        <f t="shared" ref="C905" si="1990">-2*F902*D902</f>
        <v>2.609177457164928</v>
      </c>
      <c r="D905" s="1">
        <f t="shared" ref="D905" si="1991">2-2*F902*C902+4*G902</f>
        <v>-2.808864252301646E-14</v>
      </c>
      <c r="E905" s="1">
        <f>0</f>
        <v>0</v>
      </c>
      <c r="F905" s="1">
        <f t="shared" ref="F905" si="1992">-2*C902*D902</f>
        <v>4.3509957203970346</v>
      </c>
      <c r="G905" s="9">
        <f t="shared" ref="G905" si="1993">4*D902</f>
        <v>7.7313595769815766</v>
      </c>
    </row>
    <row r="906" spans="1:10" x14ac:dyDescent="0.25">
      <c r="B906" t="s">
        <v>20</v>
      </c>
      <c r="C906" s="8">
        <f>0</f>
        <v>0</v>
      </c>
      <c r="D906" s="1">
        <f>0</f>
        <v>0</v>
      </c>
      <c r="E906" s="1">
        <f>4</f>
        <v>4</v>
      </c>
      <c r="F906" s="1">
        <f>2</f>
        <v>2</v>
      </c>
      <c r="G906" s="9">
        <f>2</f>
        <v>2</v>
      </c>
    </row>
    <row r="907" spans="1:10" x14ac:dyDescent="0.25">
      <c r="C907" s="8">
        <f t="shared" ref="C907" si="1994">(D902^2)</f>
        <v>3.7358700567865464</v>
      </c>
      <c r="D907" s="1">
        <f t="shared" ref="D907" si="1995">2*C902*D902</f>
        <v>-4.3509957203970346</v>
      </c>
      <c r="E907" s="1">
        <f t="shared" ref="E907:E908" si="1996">-2</f>
        <v>-2</v>
      </c>
      <c r="F907" s="1">
        <f>0</f>
        <v>0</v>
      </c>
      <c r="G907" s="9">
        <f>0</f>
        <v>0</v>
      </c>
    </row>
    <row r="908" spans="1:10" x14ac:dyDescent="0.25">
      <c r="C908" s="10">
        <f t="shared" ref="C908" si="1997">2*C902</f>
        <v>-2.2510895668860975</v>
      </c>
      <c r="D908" s="11">
        <f t="shared" ref="D908" si="1998">-4*D902</f>
        <v>-7.7313595769815766</v>
      </c>
      <c r="E908" s="11">
        <f t="shared" si="1996"/>
        <v>-2</v>
      </c>
      <c r="F908" s="11">
        <f>0</f>
        <v>0</v>
      </c>
      <c r="G908" s="12">
        <f>0</f>
        <v>0</v>
      </c>
    </row>
    <row r="909" spans="1:10" x14ac:dyDescent="0.25">
      <c r="B909" t="s">
        <v>21</v>
      </c>
      <c r="C909" s="1" cm="1">
        <f t="array" ref="C909:G909">-MMULT(C903:G903,C904:G908)</f>
        <v>-1.8160415338446436E-13</v>
      </c>
      <c r="D909" s="1">
        <v>1.5380068052162779E-13</v>
      </c>
      <c r="E909" s="1">
        <v>-4.3853809472693683E-13</v>
      </c>
      <c r="F909" s="1">
        <v>1.6653037868886158E-13</v>
      </c>
      <c r="G909" s="1">
        <v>1.0149009329477547E-14</v>
      </c>
    </row>
    <row r="910" spans="1:10" x14ac:dyDescent="0.25">
      <c r="B910" t="s">
        <v>13</v>
      </c>
      <c r="C910" s="1">
        <f t="shared" ref="C910" si="1999">J903/SUMPRODUCT(_xlfn.ANCHORARRAY(C909),_xlfn.ANCHORARRAY(C909))</f>
        <v>5.3369431765791842E-2</v>
      </c>
    </row>
    <row r="911" spans="1:10" x14ac:dyDescent="0.25">
      <c r="A911" s="1" t="s">
        <v>4</v>
      </c>
      <c r="B911" t="s">
        <v>18</v>
      </c>
      <c r="C911" s="1" cm="1">
        <f t="array" ref="C911:G911">C902:G902+C910*C909:G909</f>
        <v>-1.1255447834430585</v>
      </c>
      <c r="D911" s="1">
        <v>1.9328398942454024</v>
      </c>
      <c r="E911" s="1">
        <v>0.39755547298135641</v>
      </c>
      <c r="F911" s="1">
        <v>-0.67495954138083192</v>
      </c>
      <c r="G911" s="1">
        <v>-0.12015140458184752</v>
      </c>
    </row>
    <row r="912" spans="1:10" x14ac:dyDescent="0.25">
      <c r="A912" s="1">
        <v>102</v>
      </c>
      <c r="B912" t="s">
        <v>19</v>
      </c>
      <c r="C912" s="1">
        <f t="shared" ref="C912" si="2000">2*C911-F911*(D911^2)-2*G911*C911</f>
        <v>2.4646951146678475E-14</v>
      </c>
      <c r="D912" s="1">
        <f t="shared" ref="D912" si="2001">2*D911-2*F911*C911*D911+4*G911*D911</f>
        <v>-3.730349362740526E-14</v>
      </c>
      <c r="E912" s="1">
        <f t="shared" ref="E912" si="2002">4*E911+2*F911+2*G911</f>
        <v>6.6752159355587537E-14</v>
      </c>
      <c r="F912" s="1">
        <f t="shared" ref="F912" si="2003">C911*(D911^2)-2*E911+5</f>
        <v>3.1086244689504383E-14</v>
      </c>
      <c r="G912" s="1">
        <f t="shared" ref="G912" si="2004">C911^2-2*(D911^2)-2*E911+7</f>
        <v>1.1546319456101628E-14</v>
      </c>
      <c r="J912" s="1">
        <f t="shared" ref="J912" si="2005">0.5*(C912*C912+D912*D912+E912*E912+F912*F912+G912*G912)</f>
        <v>3.7772728590742317E-27</v>
      </c>
    </row>
    <row r="913" spans="1:10" x14ac:dyDescent="0.25">
      <c r="C913" s="5">
        <f t="shared" ref="C913" si="2006">2-2*G911</f>
        <v>2.240302809163695</v>
      </c>
      <c r="D913" s="6">
        <f t="shared" ref="D913" si="2007">-2*F911*D911</f>
        <v>2.6091774571649049</v>
      </c>
      <c r="E913" s="6">
        <f>0</f>
        <v>0</v>
      </c>
      <c r="F913" s="6">
        <f t="shared" ref="F913" si="2008">-(D911^2)</f>
        <v>-3.7358700567865784</v>
      </c>
      <c r="G913" s="7">
        <f t="shared" ref="G913" si="2009">-2*C911</f>
        <v>2.2510895668861171</v>
      </c>
    </row>
    <row r="914" spans="1:10" x14ac:dyDescent="0.25">
      <c r="C914" s="8">
        <f t="shared" ref="C914" si="2010">-2*F911*D911</f>
        <v>2.6091774571649049</v>
      </c>
      <c r="D914" s="1">
        <f t="shared" ref="D914" si="2011">2-2*F911*C911+4*G911</f>
        <v>-1.9262369477246466E-14</v>
      </c>
      <c r="E914" s="1">
        <f>0</f>
        <v>0</v>
      </c>
      <c r="F914" s="1">
        <f t="shared" ref="F914" si="2012">-2*C911*D911</f>
        <v>4.3509957203970915</v>
      </c>
      <c r="G914" s="9">
        <f t="shared" ref="G914" si="2013">4*D911</f>
        <v>7.7313595769816095</v>
      </c>
    </row>
    <row r="915" spans="1:10" x14ac:dyDescent="0.25">
      <c r="B915" t="s">
        <v>20</v>
      </c>
      <c r="C915" s="8">
        <f>0</f>
        <v>0</v>
      </c>
      <c r="D915" s="1">
        <f>0</f>
        <v>0</v>
      </c>
      <c r="E915" s="1">
        <f>4</f>
        <v>4</v>
      </c>
      <c r="F915" s="1">
        <f>2</f>
        <v>2</v>
      </c>
      <c r="G915" s="9">
        <f>2</f>
        <v>2</v>
      </c>
    </row>
    <row r="916" spans="1:10" x14ac:dyDescent="0.25">
      <c r="C916" s="8">
        <f t="shared" ref="C916" si="2014">(D911^2)</f>
        <v>3.7358700567865784</v>
      </c>
      <c r="D916" s="1">
        <f t="shared" ref="D916" si="2015">2*C911*D911</f>
        <v>-4.3509957203970915</v>
      </c>
      <c r="E916" s="1">
        <f t="shared" ref="E916:E917" si="2016">-2</f>
        <v>-2</v>
      </c>
      <c r="F916" s="1">
        <f>0</f>
        <v>0</v>
      </c>
      <c r="G916" s="9">
        <f>0</f>
        <v>0</v>
      </c>
    </row>
    <row r="917" spans="1:10" x14ac:dyDescent="0.25">
      <c r="C917" s="10">
        <f t="shared" ref="C917" si="2017">2*C911</f>
        <v>-2.2510895668861171</v>
      </c>
      <c r="D917" s="11">
        <f t="shared" ref="D917" si="2018">-4*D911</f>
        <v>-7.7313595769816095</v>
      </c>
      <c r="E917" s="11">
        <f t="shared" si="2016"/>
        <v>-2</v>
      </c>
      <c r="F917" s="11">
        <f>0</f>
        <v>0</v>
      </c>
      <c r="G917" s="12">
        <f>0</f>
        <v>0</v>
      </c>
    </row>
    <row r="918" spans="1:10" x14ac:dyDescent="0.25">
      <c r="B918" t="s">
        <v>21</v>
      </c>
      <c r="C918" s="1" cm="1">
        <f t="array" ref="C918:G918">-MMULT(C912:G912,C913:G917)</f>
        <v>-4.8027570694999301E-14</v>
      </c>
      <c r="D918" s="1">
        <v>1.6021659579331191E-13</v>
      </c>
      <c r="E918" s="1">
        <v>-1.8174350913113813E-13</v>
      </c>
      <c r="F918" s="1">
        <v>1.2088082919748314E-13</v>
      </c>
      <c r="G918" s="1">
        <v>9.9419909418097294E-14</v>
      </c>
    </row>
    <row r="919" spans="1:10" x14ac:dyDescent="0.25">
      <c r="B919" t="s">
        <v>13</v>
      </c>
      <c r="C919" s="1">
        <f t="shared" ref="C919" si="2019">J912/SUMPRODUCT(_xlfn.ANCHORARRAY(C918),_xlfn.ANCHORARRAY(C918))</f>
        <v>4.4176975757712539E-2</v>
      </c>
    </row>
    <row r="920" spans="1:10" x14ac:dyDescent="0.25">
      <c r="A920" s="1" t="s">
        <v>4</v>
      </c>
      <c r="B920" t="s">
        <v>18</v>
      </c>
      <c r="C920" s="1" cm="1">
        <f t="array" ref="C920:G920">C911:G911+C919*C918:G918</f>
        <v>-1.1255447834430607</v>
      </c>
      <c r="D920" s="1">
        <v>1.9328398942454095</v>
      </c>
      <c r="E920" s="1">
        <v>0.39755547298134836</v>
      </c>
      <c r="F920" s="1">
        <v>-0.67495954138082659</v>
      </c>
      <c r="G920" s="1">
        <v>-0.12015140458184313</v>
      </c>
    </row>
    <row r="921" spans="1:10" x14ac:dyDescent="0.25">
      <c r="A921" s="1">
        <v>103</v>
      </c>
      <c r="B921" t="s">
        <v>19</v>
      </c>
      <c r="C921" s="1">
        <f t="shared" ref="C921" si="2020">2*C920-F920*(D920^2)-2*G920*C920</f>
        <v>2.8199664825478976E-14</v>
      </c>
      <c r="D921" s="1">
        <f t="shared" ref="D921" si="2021">2*D920-2*F920*C920*D920+4*G920*D920</f>
        <v>1.4432899320127035E-14</v>
      </c>
      <c r="E921" s="1">
        <f t="shared" ref="E921" si="2022">4*E920+2*F920+2*G920</f>
        <v>5.3984594572398237E-14</v>
      </c>
      <c r="F921" s="1">
        <f t="shared" ref="F921" si="2023">C920*(D920^2)-2*E920+5</f>
        <v>7.9936057773011271E-15</v>
      </c>
      <c r="G921" s="1">
        <f t="shared" ref="G921" si="2024">C920^2-2*(D920^2)-2*E920+7</f>
        <v>-2.2204460492503131E-14</v>
      </c>
      <c r="J921" s="1">
        <f t="shared" ref="J921" si="2025">0.5*(C921*C921+D921*D921+E921*E921+F921*F921+G921*G921)</f>
        <v>2.2374009646432616E-27</v>
      </c>
    </row>
    <row r="922" spans="1:10" x14ac:dyDescent="0.25">
      <c r="C922" s="5">
        <f t="shared" ref="C922" si="2026">2-2*G920</f>
        <v>2.2403028091636861</v>
      </c>
      <c r="D922" s="6">
        <f t="shared" ref="D922" si="2027">-2*F920*D920</f>
        <v>2.6091774571648938</v>
      </c>
      <c r="E922" s="6">
        <f>0</f>
        <v>0</v>
      </c>
      <c r="F922" s="6">
        <f t="shared" ref="F922" si="2028">-(D920^2)</f>
        <v>-3.7358700567866059</v>
      </c>
      <c r="G922" s="7">
        <f t="shared" ref="G922" si="2029">-2*C920</f>
        <v>2.2510895668861215</v>
      </c>
    </row>
    <row r="923" spans="1:10" x14ac:dyDescent="0.25">
      <c r="C923" s="8">
        <f t="shared" ref="C923" si="2030">-2*F920*D920</f>
        <v>2.6091774571648938</v>
      </c>
      <c r="D923" s="1">
        <f t="shared" ref="D923" si="2031">2-2*F920*C920+4*G920</f>
        <v>7.382983113757291E-15</v>
      </c>
      <c r="E923" s="1">
        <f>0</f>
        <v>0</v>
      </c>
      <c r="F923" s="1">
        <f t="shared" ref="F923" si="2032">-2*C920*D920</f>
        <v>4.3509957203971155</v>
      </c>
      <c r="G923" s="9">
        <f t="shared" ref="G923" si="2033">4*D920</f>
        <v>7.7313595769816379</v>
      </c>
    </row>
    <row r="924" spans="1:10" x14ac:dyDescent="0.25">
      <c r="B924" t="s">
        <v>20</v>
      </c>
      <c r="C924" s="8">
        <f>0</f>
        <v>0</v>
      </c>
      <c r="D924" s="1">
        <f>0</f>
        <v>0</v>
      </c>
      <c r="E924" s="1">
        <f>4</f>
        <v>4</v>
      </c>
      <c r="F924" s="1">
        <f>2</f>
        <v>2</v>
      </c>
      <c r="G924" s="9">
        <f>2</f>
        <v>2</v>
      </c>
    </row>
    <row r="925" spans="1:10" x14ac:dyDescent="0.25">
      <c r="C925" s="8">
        <f t="shared" ref="C925" si="2034">(D920^2)</f>
        <v>3.7358700567866059</v>
      </c>
      <c r="D925" s="1">
        <f t="shared" ref="D925" si="2035">2*C920*D920</f>
        <v>-4.3509957203971155</v>
      </c>
      <c r="E925" s="1">
        <f t="shared" ref="E925:E926" si="2036">-2</f>
        <v>-2</v>
      </c>
      <c r="F925" s="1">
        <f>0</f>
        <v>0</v>
      </c>
      <c r="G925" s="9">
        <f>0</f>
        <v>0</v>
      </c>
    </row>
    <row r="926" spans="1:10" x14ac:dyDescent="0.25">
      <c r="C926" s="10">
        <f t="shared" ref="C926" si="2037">2*C920</f>
        <v>-2.2510895668861215</v>
      </c>
      <c r="D926" s="11">
        <f t="shared" ref="D926" si="2038">-4*D920</f>
        <v>-7.7313595769816379</v>
      </c>
      <c r="E926" s="11">
        <f t="shared" si="2036"/>
        <v>-2</v>
      </c>
      <c r="F926" s="11">
        <f>0</f>
        <v>0</v>
      </c>
      <c r="G926" s="12">
        <f>0</f>
        <v>0</v>
      </c>
    </row>
    <row r="927" spans="1:10" x14ac:dyDescent="0.25">
      <c r="B927" t="s">
        <v>21</v>
      </c>
      <c r="C927" s="1" cm="1">
        <f t="array" ref="C927:G927">-MMULT(C921:G921,C922:G926)</f>
        <v>-1.8068108569578549E-13</v>
      </c>
      <c r="D927" s="1">
        <v>-2.1046845351509126E-13</v>
      </c>
      <c r="E927" s="1">
        <v>-2.4436008771999695E-13</v>
      </c>
      <c r="F927" s="1">
        <v>-6.5416388886666248E-14</v>
      </c>
      <c r="G927" s="1">
        <v>-2.8303509480539367E-13</v>
      </c>
    </row>
    <row r="928" spans="1:10" x14ac:dyDescent="0.25">
      <c r="B928" t="s">
        <v>13</v>
      </c>
      <c r="C928" s="1">
        <f t="shared" ref="C928" si="2039">J921/SUMPRODUCT(_xlfn.ANCHORARRAY(C927),_xlfn.ANCHORARRAY(C927))</f>
        <v>1.0122033035864817E-2</v>
      </c>
    </row>
    <row r="929" spans="1:10" x14ac:dyDescent="0.25">
      <c r="A929" s="1" t="s">
        <v>4</v>
      </c>
      <c r="B929" t="s">
        <v>18</v>
      </c>
      <c r="C929" s="1" cm="1">
        <f t="array" ref="C929:G929">C920:G920+C928*C927:G927</f>
        <v>-1.1255447834430625</v>
      </c>
      <c r="D929" s="1">
        <v>1.9328398942454073</v>
      </c>
      <c r="E929" s="1">
        <v>0.39755547298134586</v>
      </c>
      <c r="F929" s="1">
        <v>-0.67495954138082725</v>
      </c>
      <c r="G929" s="1">
        <v>-0.12015140458184599</v>
      </c>
    </row>
    <row r="930" spans="1:10" x14ac:dyDescent="0.25">
      <c r="A930" s="1">
        <v>104</v>
      </c>
      <c r="B930" t="s">
        <v>19</v>
      </c>
      <c r="C930" s="1">
        <f t="shared" ref="C930" si="2040">2*C929-F929*(D929^2)-2*G929*C929</f>
        <v>1.4266365866433262E-14</v>
      </c>
      <c r="D930" s="1">
        <f t="shared" ref="D930" si="2041">2*D929-2*F929*C929*D929+4*G929*D929</f>
        <v>-1.5432100042289676E-14</v>
      </c>
      <c r="E930" s="1">
        <f t="shared" ref="E930" si="2042">4*E929+2*F929+2*G929</f>
        <v>3.6942671144402084E-14</v>
      </c>
      <c r="F930" s="1">
        <f t="shared" ref="F930" si="2043">C929*(D929^2)-2*E929+5</f>
        <v>1.6875389974302379E-14</v>
      </c>
      <c r="G930" s="1">
        <f t="shared" ref="G930" si="2044">C929^2-2*(D929^2)-2*E929+7</f>
        <v>0</v>
      </c>
      <c r="J930" s="1">
        <f t="shared" ref="J930" si="2045">0.5*(C930*C930+D930*D930+E930*E930+F930*F930+G930*G930)</f>
        <v>1.0456093224091964E-27</v>
      </c>
    </row>
    <row r="931" spans="1:10" x14ac:dyDescent="0.25">
      <c r="C931" s="5">
        <f t="shared" ref="C931" si="2046">2-2*G929</f>
        <v>2.2403028091636918</v>
      </c>
      <c r="D931" s="6">
        <f t="shared" ref="D931" si="2047">-2*F929*D929</f>
        <v>2.6091774571648934</v>
      </c>
      <c r="E931" s="6">
        <f>0</f>
        <v>0</v>
      </c>
      <c r="F931" s="6">
        <f t="shared" ref="F931" si="2048">-(D929^2)</f>
        <v>-3.735870056786597</v>
      </c>
      <c r="G931" s="7">
        <f t="shared" ref="G931" si="2049">-2*C929</f>
        <v>2.251089566886125</v>
      </c>
    </row>
    <row r="932" spans="1:10" x14ac:dyDescent="0.25">
      <c r="C932" s="8">
        <f t="shared" ref="C932" si="2050">-2*F929*D929</f>
        <v>2.6091774571648934</v>
      </c>
      <c r="D932" s="1">
        <f t="shared" ref="D932" si="2051">2-2*F929*C929+4*G929</f>
        <v>-8.0491169285323849E-15</v>
      </c>
      <c r="E932" s="1">
        <f>0</f>
        <v>0</v>
      </c>
      <c r="F932" s="1">
        <f t="shared" ref="F932" si="2052">-2*C929*D929</f>
        <v>4.3509957203971172</v>
      </c>
      <c r="G932" s="9">
        <f t="shared" ref="G932" si="2053">4*D929</f>
        <v>7.731359576981629</v>
      </c>
    </row>
    <row r="933" spans="1:10" x14ac:dyDescent="0.25">
      <c r="B933" t="s">
        <v>20</v>
      </c>
      <c r="C933" s="8">
        <f>0</f>
        <v>0</v>
      </c>
      <c r="D933" s="1">
        <f>0</f>
        <v>0</v>
      </c>
      <c r="E933" s="1">
        <f>4</f>
        <v>4</v>
      </c>
      <c r="F933" s="1">
        <f>2</f>
        <v>2</v>
      </c>
      <c r="G933" s="9">
        <f>2</f>
        <v>2</v>
      </c>
    </row>
    <row r="934" spans="1:10" x14ac:dyDescent="0.25">
      <c r="C934" s="8">
        <f t="shared" ref="C934" si="2054">(D929^2)</f>
        <v>3.735870056786597</v>
      </c>
      <c r="D934" s="1">
        <f t="shared" ref="D934" si="2055">2*C929*D929</f>
        <v>-4.3509957203971172</v>
      </c>
      <c r="E934" s="1">
        <f t="shared" ref="E934:E935" si="2056">-2</f>
        <v>-2</v>
      </c>
      <c r="F934" s="1">
        <f>0</f>
        <v>0</v>
      </c>
      <c r="G934" s="9">
        <f>0</f>
        <v>0</v>
      </c>
    </row>
    <row r="935" spans="1:10" x14ac:dyDescent="0.25">
      <c r="C935" s="10">
        <f t="shared" ref="C935" si="2057">2*C929</f>
        <v>-2.251089566886125</v>
      </c>
      <c r="D935" s="11">
        <f t="shared" ref="D935" si="2058">-4*D929</f>
        <v>-7.731359576981629</v>
      </c>
      <c r="E935" s="11">
        <f t="shared" si="2056"/>
        <v>-2</v>
      </c>
      <c r="F935" s="11">
        <f>0</f>
        <v>0</v>
      </c>
      <c r="G935" s="12">
        <f>0</f>
        <v>0</v>
      </c>
    </row>
    <row r="936" spans="1:10" x14ac:dyDescent="0.25">
      <c r="B936" t="s">
        <v>21</v>
      </c>
      <c r="C936" s="1" cm="1">
        <f t="array" ref="C936:G936">-MMULT(C930:G930,C931:G935)</f>
        <v>-5.4740156081664818E-14</v>
      </c>
      <c r="D936" s="1">
        <v>3.6201269343857576E-14</v>
      </c>
      <c r="E936" s="1">
        <v>-1.1401990462900358E-13</v>
      </c>
      <c r="F936" s="1">
        <v>4.6556948011508761E-14</v>
      </c>
      <c r="G936" s="1">
        <v>1.3310904806782484E-14</v>
      </c>
    </row>
    <row r="937" spans="1:10" x14ac:dyDescent="0.25">
      <c r="B937" t="s">
        <v>13</v>
      </c>
      <c r="C937" s="1">
        <f t="shared" ref="C937" si="2059">J930/SUMPRODUCT(_xlfn.ANCHORARRAY(C936),_xlfn.ANCHORARRAY(C936))</f>
        <v>5.3205483795362621E-2</v>
      </c>
    </row>
    <row r="938" spans="1:10" x14ac:dyDescent="0.25">
      <c r="A938" s="1" t="s">
        <v>4</v>
      </c>
      <c r="B938" t="s">
        <v>18</v>
      </c>
      <c r="C938" s="1" cm="1">
        <f t="array" ref="C938:G938">C929:G929+C937*C936:G936</f>
        <v>-1.1255447834430654</v>
      </c>
      <c r="D938" s="1">
        <v>1.9328398942454093</v>
      </c>
      <c r="E938" s="1">
        <v>0.39755547298133981</v>
      </c>
      <c r="F938" s="1">
        <v>-0.67495954138082481</v>
      </c>
      <c r="G938" s="1">
        <v>-0.12015140458184528</v>
      </c>
    </row>
    <row r="939" spans="1:10" x14ac:dyDescent="0.25">
      <c r="A939" s="1">
        <v>105</v>
      </c>
      <c r="B939" t="s">
        <v>19</v>
      </c>
      <c r="C939" s="1">
        <f t="shared" ref="C939" si="2060">2*C938-F938*(D938^2)-2*G938*C938</f>
        <v>5.8286708792820718E-15</v>
      </c>
      <c r="D939" s="1">
        <f t="shared" ref="D939" si="2061">2*D938-2*F938*C938*D938+4*G938*D938</f>
        <v>-6.9944050551384862E-15</v>
      </c>
      <c r="E939" s="1">
        <f t="shared" ref="E939" si="2062">4*E938+2*F938+2*G938</f>
        <v>1.9040324872321435E-14</v>
      </c>
      <c r="F939" s="1">
        <f t="shared" ref="F939" si="2063">C938*(D938^2)-2*E938+5</f>
        <v>7.9936057773011271E-15</v>
      </c>
      <c r="G939" s="1">
        <f t="shared" ref="G939" si="2064">C938^2-2*(D938^2)-2*E938+7</f>
        <v>7.1054273576010019E-15</v>
      </c>
      <c r="J939" s="1">
        <f t="shared" ref="J939" si="2065">0.5*(C939*C939+D939*D939+E939*E939+F939*F939+G939*G939)</f>
        <v>2.7990695439746331E-28</v>
      </c>
    </row>
    <row r="940" spans="1:10" x14ac:dyDescent="0.25">
      <c r="C940" s="5">
        <f t="shared" ref="C940" si="2066">2-2*G938</f>
        <v>2.2403028091636905</v>
      </c>
      <c r="D940" s="6">
        <f t="shared" ref="D940" si="2067">-2*F938*D938</f>
        <v>2.6091774571648867</v>
      </c>
      <c r="E940" s="6">
        <f>0</f>
        <v>0</v>
      </c>
      <c r="F940" s="6">
        <f t="shared" ref="F940" si="2068">-(D938^2)</f>
        <v>-3.735870056786605</v>
      </c>
      <c r="G940" s="7">
        <f t="shared" ref="G940" si="2069">-2*C938</f>
        <v>2.2510895668861308</v>
      </c>
    </row>
    <row r="941" spans="1:10" x14ac:dyDescent="0.25">
      <c r="C941" s="8">
        <f t="shared" ref="C941" si="2070">-2*F938*D938</f>
        <v>2.6091774571648867</v>
      </c>
      <c r="D941" s="1">
        <f t="shared" ref="D941" si="2071">2-2*F938*C938+4*G938</f>
        <v>-3.6637359812630166E-15</v>
      </c>
      <c r="E941" s="1">
        <f>0</f>
        <v>0</v>
      </c>
      <c r="F941" s="1">
        <f t="shared" ref="F941" si="2072">-2*C938*D938</f>
        <v>4.3509957203971332</v>
      </c>
      <c r="G941" s="9">
        <f t="shared" ref="G941" si="2073">4*D938</f>
        <v>7.731359576981637</v>
      </c>
    </row>
    <row r="942" spans="1:10" x14ac:dyDescent="0.25">
      <c r="B942" t="s">
        <v>20</v>
      </c>
      <c r="C942" s="8">
        <f>0</f>
        <v>0</v>
      </c>
      <c r="D942" s="1">
        <f>0</f>
        <v>0</v>
      </c>
      <c r="E942" s="1">
        <f>4</f>
        <v>4</v>
      </c>
      <c r="F942" s="1">
        <f>2</f>
        <v>2</v>
      </c>
      <c r="G942" s="9">
        <f>2</f>
        <v>2</v>
      </c>
    </row>
    <row r="943" spans="1:10" x14ac:dyDescent="0.25">
      <c r="C943" s="8">
        <f t="shared" ref="C943" si="2074">(D938^2)</f>
        <v>3.735870056786605</v>
      </c>
      <c r="D943" s="1">
        <f t="shared" ref="D943" si="2075">2*C938*D938</f>
        <v>-4.3509957203971332</v>
      </c>
      <c r="E943" s="1">
        <f t="shared" ref="E943:E944" si="2076">-2</f>
        <v>-2</v>
      </c>
      <c r="F943" s="1">
        <f>0</f>
        <v>0</v>
      </c>
      <c r="G943" s="9">
        <f>0</f>
        <v>0</v>
      </c>
    </row>
    <row r="944" spans="1:10" x14ac:dyDescent="0.25">
      <c r="C944" s="10">
        <f t="shared" ref="C944" si="2077">2*C938</f>
        <v>-2.2510895668861308</v>
      </c>
      <c r="D944" s="11">
        <f t="shared" ref="D944" si="2078">-4*D938</f>
        <v>-7.731359576981637</v>
      </c>
      <c r="E944" s="11">
        <f t="shared" si="2076"/>
        <v>-2</v>
      </c>
      <c r="F944" s="11">
        <f>0</f>
        <v>0</v>
      </c>
      <c r="G944" s="12">
        <f>0</f>
        <v>0</v>
      </c>
    </row>
    <row r="945" spans="1:10" x14ac:dyDescent="0.25">
      <c r="B945" t="s">
        <v>21</v>
      </c>
      <c r="C945" s="1" cm="1">
        <f t="array" ref="C945:G945">-MMULT(C939:G939,C940:G944)</f>
        <v>-8.6764628246115484E-15</v>
      </c>
      <c r="D945" s="1">
        <v>7.4506721713858591E-14</v>
      </c>
      <c r="E945" s="1">
        <v>-4.5963233219481481E-14</v>
      </c>
      <c r="F945" s="1">
        <v>1.4127133725762702E-14</v>
      </c>
      <c r="G945" s="1">
        <v>2.8747505585259609E-15</v>
      </c>
    </row>
    <row r="946" spans="1:10" x14ac:dyDescent="0.25">
      <c r="B946" t="s">
        <v>13</v>
      </c>
      <c r="C946" s="1">
        <f t="shared" ref="C946" si="2079">J939/SUMPRODUCT(_xlfn.ANCHORARRAY(C945),_xlfn.ANCHORARRAY(C945))</f>
        <v>3.5221750849640597E-2</v>
      </c>
    </row>
    <row r="947" spans="1:10" x14ac:dyDescent="0.25">
      <c r="A947" s="1" t="s">
        <v>4</v>
      </c>
      <c r="B947" t="s">
        <v>18</v>
      </c>
      <c r="C947" s="1" cm="1">
        <f t="array" ref="C947:G947">C938:G938+C946*C945:G945</f>
        <v>-1.1255447834430656</v>
      </c>
      <c r="D947" s="1">
        <v>1.9328398942454119</v>
      </c>
      <c r="E947" s="1">
        <v>0.3975554729813382</v>
      </c>
      <c r="F947" s="1">
        <v>-0.67495954138082437</v>
      </c>
      <c r="G947" s="1">
        <v>-0.12015140458184519</v>
      </c>
    </row>
    <row r="948" spans="1:10" x14ac:dyDescent="0.25">
      <c r="A948" s="1">
        <v>106</v>
      </c>
      <c r="B948" t="s">
        <v>19</v>
      </c>
      <c r="C948" s="1">
        <f t="shared" ref="C948" si="2080">2*C947-F947*(D947^2)-2*G947*C947</f>
        <v>1.0436096431476471E-14</v>
      </c>
      <c r="D948" s="1">
        <f t="shared" ref="D948" si="2081">2*D947-2*F947*C947*D947+4*G947*D947</f>
        <v>-4.7739590058881731E-15</v>
      </c>
      <c r="E948" s="1">
        <f t="shared" ref="E948" si="2082">4*E947+2*F947+2*G947</f>
        <v>1.3683498778505054E-14</v>
      </c>
      <c r="F948" s="1">
        <f t="shared" ref="F948" si="2083">C947*(D947^2)-2*E947+5</f>
        <v>0</v>
      </c>
      <c r="G948" s="1">
        <f t="shared" ref="G948" si="2084">C947^2-2*(D947^2)-2*E947+7</f>
        <v>-8.8817841970012523E-15</v>
      </c>
      <c r="J948" s="1">
        <f t="shared" ref="J948" si="2085">0.5*(C948*C948+D948*D948+E948*E948+F948*F948+G948*G948)</f>
        <v>1.9891351133021362E-28</v>
      </c>
    </row>
    <row r="949" spans="1:10" x14ac:dyDescent="0.25">
      <c r="C949" s="5">
        <f t="shared" ref="C949" si="2086">2-2*G947</f>
        <v>2.2403028091636905</v>
      </c>
      <c r="D949" s="6">
        <f t="shared" ref="D949" si="2087">-2*F947*D947</f>
        <v>2.6091774571648885</v>
      </c>
      <c r="E949" s="6">
        <f>0</f>
        <v>0</v>
      </c>
      <c r="F949" s="6">
        <f t="shared" ref="F949" si="2088">-(D947^2)</f>
        <v>-3.7358700567866152</v>
      </c>
      <c r="G949" s="7">
        <f t="shared" ref="G949" si="2089">-2*C947</f>
        <v>2.2510895668861313</v>
      </c>
    </row>
    <row r="950" spans="1:10" x14ac:dyDescent="0.25">
      <c r="C950" s="8">
        <f t="shared" ref="C950" si="2090">-2*F947*D947</f>
        <v>2.6091774571648885</v>
      </c>
      <c r="D950" s="1">
        <f t="shared" ref="D950" si="2091">2-2*F947*C947+4*G947</f>
        <v>-2.3869795029440866E-15</v>
      </c>
      <c r="E950" s="1">
        <f>0</f>
        <v>0</v>
      </c>
      <c r="F950" s="1">
        <f t="shared" ref="F950" si="2092">-2*C947*D947</f>
        <v>4.3509957203971403</v>
      </c>
      <c r="G950" s="9">
        <f t="shared" ref="G950" si="2093">4*D947</f>
        <v>7.7313595769816477</v>
      </c>
    </row>
    <row r="951" spans="1:10" x14ac:dyDescent="0.25">
      <c r="B951" t="s">
        <v>20</v>
      </c>
      <c r="C951" s="8">
        <f>0</f>
        <v>0</v>
      </c>
      <c r="D951" s="1">
        <f>0</f>
        <v>0</v>
      </c>
      <c r="E951" s="1">
        <f>4</f>
        <v>4</v>
      </c>
      <c r="F951" s="1">
        <f>2</f>
        <v>2</v>
      </c>
      <c r="G951" s="9">
        <f>2</f>
        <v>2</v>
      </c>
    </row>
    <row r="952" spans="1:10" x14ac:dyDescent="0.25">
      <c r="C952" s="8">
        <f t="shared" ref="C952" si="2094">(D947^2)</f>
        <v>3.7358700567866152</v>
      </c>
      <c r="D952" s="1">
        <f t="shared" ref="D952" si="2095">2*C947*D947</f>
        <v>-4.3509957203971403</v>
      </c>
      <c r="E952" s="1">
        <f t="shared" ref="E952:E953" si="2096">-2</f>
        <v>-2</v>
      </c>
      <c r="F952" s="1">
        <f>0</f>
        <v>0</v>
      </c>
      <c r="G952" s="9">
        <f>0</f>
        <v>0</v>
      </c>
    </row>
    <row r="953" spans="1:10" x14ac:dyDescent="0.25">
      <c r="C953" s="10">
        <f t="shared" ref="C953" si="2097">2*C947</f>
        <v>-2.2510895668861313</v>
      </c>
      <c r="D953" s="11">
        <f t="shared" ref="D953" si="2098">-4*D947</f>
        <v>-7.7313595769816477</v>
      </c>
      <c r="E953" s="11">
        <f t="shared" si="2096"/>
        <v>-2</v>
      </c>
      <c r="F953" s="11">
        <f>0</f>
        <v>0</v>
      </c>
      <c r="G953" s="12">
        <f>0</f>
        <v>0</v>
      </c>
    </row>
    <row r="954" spans="1:10" x14ac:dyDescent="0.25">
      <c r="B954" t="s">
        <v>21</v>
      </c>
      <c r="C954" s="1" cm="1">
        <f t="array" ref="C954:G954">-MMULT(C948:G948,C949:G953)</f>
        <v>-3.0917601673750819E-14</v>
      </c>
      <c r="D954" s="1">
        <v>-9.5897894861977243E-14</v>
      </c>
      <c r="E954" s="1">
        <v>-7.2497563508022722E-14</v>
      </c>
      <c r="F954" s="1">
        <v>3.2392377815051323E-14</v>
      </c>
      <c r="G954" s="1">
        <v>-1.3950391672633063E-14</v>
      </c>
    </row>
    <row r="955" spans="1:10" x14ac:dyDescent="0.25">
      <c r="B955" t="s">
        <v>13</v>
      </c>
      <c r="C955" s="1">
        <f t="shared" ref="C955" si="2099">J948/SUMPRODUCT(_xlfn.ANCHORARRAY(C954),_xlfn.ANCHORARRAY(C954))</f>
        <v>1.1945264734622039E-2</v>
      </c>
    </row>
    <row r="956" spans="1:10" x14ac:dyDescent="0.25">
      <c r="A956" s="1" t="s">
        <v>4</v>
      </c>
      <c r="B956" t="s">
        <v>18</v>
      </c>
      <c r="C956" s="1" cm="1">
        <f t="array" ref="C956:G956">C947:G947+C955*C954:G954</f>
        <v>-1.1255447834430661</v>
      </c>
      <c r="D956" s="1">
        <v>1.9328398942454108</v>
      </c>
      <c r="E956" s="1">
        <v>0.39755547298133731</v>
      </c>
      <c r="F956" s="1">
        <v>-0.67495954138082404</v>
      </c>
      <c r="G956" s="1">
        <v>-0.12015140458184535</v>
      </c>
    </row>
    <row r="957" spans="1:10" x14ac:dyDescent="0.25">
      <c r="A957" s="1">
        <v>107</v>
      </c>
      <c r="B957" t="s">
        <v>19</v>
      </c>
      <c r="C957" s="1">
        <f t="shared" ref="C957" si="2100">2*C956-F956*(D956^2)-2*G956*C956</f>
        <v>5.0515147620444623E-15</v>
      </c>
      <c r="D957" s="1">
        <f t="shared" ref="D957" si="2101">2*D956-2*F956*C956*D956+4*G956*D956</f>
        <v>-5.9952043329758453E-15</v>
      </c>
      <c r="E957" s="1">
        <f t="shared" ref="E957" si="2102">4*E956+2*F956+2*G956</f>
        <v>1.04638520070921E-14</v>
      </c>
      <c r="F957" s="1">
        <f t="shared" ref="F957" si="2103">C956*(D956^2)-2*E956+5</f>
        <v>0</v>
      </c>
      <c r="G957" s="1">
        <f t="shared" ref="G957" si="2104">C956^2-2*(D956^2)-2*E956+7</f>
        <v>0</v>
      </c>
      <c r="J957" s="1">
        <f t="shared" ref="J957" si="2105">0.5*(C957*C957+D957*D957+E957*E957+F957*F957+G957*G957)</f>
        <v>8.5476237605805424E-29</v>
      </c>
    </row>
    <row r="958" spans="1:10" x14ac:dyDescent="0.25">
      <c r="C958" s="5">
        <f t="shared" ref="C958" si="2106">2-2*G956</f>
        <v>2.2403028091636905</v>
      </c>
      <c r="D958" s="6">
        <f t="shared" ref="D958" si="2107">-2*F956*D956</f>
        <v>2.6091774571648858</v>
      </c>
      <c r="E958" s="6">
        <f>0</f>
        <v>0</v>
      </c>
      <c r="F958" s="6">
        <f t="shared" ref="F958" si="2108">-(D956^2)</f>
        <v>-3.7358700567866108</v>
      </c>
      <c r="G958" s="7">
        <f t="shared" ref="G958" si="2109">-2*C956</f>
        <v>2.2510895668861322</v>
      </c>
    </row>
    <row r="959" spans="1:10" x14ac:dyDescent="0.25">
      <c r="C959" s="8">
        <f t="shared" ref="C959" si="2110">-2*F956*D956</f>
        <v>2.6091774571648858</v>
      </c>
      <c r="D959" s="1">
        <f t="shared" ref="D959" si="2111">2-2*F956*C956+4*G956</f>
        <v>-3.0531133177191805E-15</v>
      </c>
      <c r="E959" s="1">
        <f>0</f>
        <v>0</v>
      </c>
      <c r="F959" s="1">
        <f t="shared" ref="F959" si="2112">-2*C956*D956</f>
        <v>4.3509957203971394</v>
      </c>
      <c r="G959" s="9">
        <f t="shared" ref="G959" si="2113">4*D956</f>
        <v>7.7313595769816432</v>
      </c>
    </row>
    <row r="960" spans="1:10" x14ac:dyDescent="0.25">
      <c r="B960" t="s">
        <v>20</v>
      </c>
      <c r="C960" s="8">
        <f>0</f>
        <v>0</v>
      </c>
      <c r="D960" s="1">
        <f>0</f>
        <v>0</v>
      </c>
      <c r="E960" s="1">
        <f>4</f>
        <v>4</v>
      </c>
      <c r="F960" s="1">
        <f>2</f>
        <v>2</v>
      </c>
      <c r="G960" s="9">
        <f>2</f>
        <v>2</v>
      </c>
    </row>
    <row r="961" spans="1:10" x14ac:dyDescent="0.25">
      <c r="C961" s="8">
        <f t="shared" ref="C961" si="2114">(D956^2)</f>
        <v>3.7358700567866108</v>
      </c>
      <c r="D961" s="1">
        <f t="shared" ref="D961" si="2115">2*C956*D956</f>
        <v>-4.3509957203971394</v>
      </c>
      <c r="E961" s="1">
        <f t="shared" ref="E961:E962" si="2116">-2</f>
        <v>-2</v>
      </c>
      <c r="F961" s="1">
        <f>0</f>
        <v>0</v>
      </c>
      <c r="G961" s="9">
        <f>0</f>
        <v>0</v>
      </c>
    </row>
    <row r="962" spans="1:10" x14ac:dyDescent="0.25">
      <c r="C962" s="10">
        <f t="shared" ref="C962" si="2117">2*C956</f>
        <v>-2.2510895668861322</v>
      </c>
      <c r="D962" s="11">
        <f t="shared" ref="D962" si="2118">-4*D956</f>
        <v>-7.7313595769816432</v>
      </c>
      <c r="E962" s="11">
        <f t="shared" si="2116"/>
        <v>-2</v>
      </c>
      <c r="F962" s="11">
        <f>0</f>
        <v>0</v>
      </c>
      <c r="G962" s="12">
        <f>0</f>
        <v>0</v>
      </c>
    </row>
    <row r="963" spans="1:10" x14ac:dyDescent="0.25">
      <c r="B963" t="s">
        <v>21</v>
      </c>
      <c r="C963" s="1" cm="1">
        <f t="array" ref="C963:G963">-MMULT(C957:G957,C958:G962)</f>
        <v>4.3256292847577591E-15</v>
      </c>
      <c r="D963" s="1">
        <v>-1.3180298441662072E-14</v>
      </c>
      <c r="E963" s="1">
        <v>-4.1855408028368402E-14</v>
      </c>
      <c r="F963" s="1">
        <v>2.4029207122437533E-14</v>
      </c>
      <c r="G963" s="1">
        <v>1.4051964243720874E-14</v>
      </c>
    </row>
    <row r="964" spans="1:10" x14ac:dyDescent="0.25">
      <c r="B964" t="s">
        <v>13</v>
      </c>
      <c r="C964" s="1">
        <f t="shared" ref="C964" si="2119">J957/SUMPRODUCT(_xlfn.ANCHORARRAY(C963),_xlfn.ANCHORARRAY(C963))</f>
        <v>3.143471410936019E-2</v>
      </c>
    </row>
    <row r="965" spans="1:10" x14ac:dyDescent="0.25">
      <c r="A965" s="1" t="s">
        <v>4</v>
      </c>
      <c r="B965" t="s">
        <v>18</v>
      </c>
      <c r="C965" s="1" cm="1">
        <f t="array" ref="C965:G965">C956:G956+C964*C963:G963</f>
        <v>-1.1255447834430659</v>
      </c>
      <c r="D965" s="1">
        <v>1.9328398942454104</v>
      </c>
      <c r="E965" s="1">
        <v>0.39755547298133598</v>
      </c>
      <c r="F965" s="1">
        <v>-0.67495954138082326</v>
      </c>
      <c r="G965" s="1">
        <v>-0.12015140458184491</v>
      </c>
    </row>
    <row r="966" spans="1:10" x14ac:dyDescent="0.25">
      <c r="A966" s="1">
        <v>108</v>
      </c>
      <c r="B966" t="s">
        <v>19</v>
      </c>
      <c r="C966" s="1">
        <f t="shared" ref="C966" si="2120">2*C965-F965*(D965^2)-2*G965*C965</f>
        <v>2.55351295663786E-15</v>
      </c>
      <c r="D966" s="1">
        <f t="shared" ref="D966" si="2121">2*D965-2*F965*C965*D965+4*G965*D965</f>
        <v>1.6653345369377348E-15</v>
      </c>
      <c r="E966" s="1">
        <f t="shared" ref="E966" si="2122">4*E965+2*F965+2*G965</f>
        <v>7.5772721430666934E-15</v>
      </c>
      <c r="F966" s="1">
        <f t="shared" ref="F966" si="2123">C965*(D965^2)-2*E965+5</f>
        <v>9.7699626167013776E-15</v>
      </c>
      <c r="G966" s="1">
        <f t="shared" ref="G966" si="2124">C965^2-2*(D965^2)-2*E965+7</f>
        <v>7.9936057773011271E-15</v>
      </c>
      <c r="J966" s="1">
        <f t="shared" ref="J966" si="2125">0.5*(C966*C966+D966*D966+E966*E966+F966*F966+G966*G966)</f>
        <v>1.1302936176218698E-28</v>
      </c>
    </row>
    <row r="967" spans="1:10" x14ac:dyDescent="0.25">
      <c r="C967" s="5">
        <f t="shared" ref="C967" si="2126">2-2*G965</f>
        <v>2.2403028091636896</v>
      </c>
      <c r="D967" s="6">
        <f t="shared" ref="D967" si="2127">-2*F965*D965</f>
        <v>2.6091774571648823</v>
      </c>
      <c r="E967" s="6">
        <f>0</f>
        <v>0</v>
      </c>
      <c r="F967" s="6">
        <f t="shared" ref="F967" si="2128">-(D965^2)</f>
        <v>-3.735870056786609</v>
      </c>
      <c r="G967" s="7">
        <f t="shared" ref="G967" si="2129">-2*C965</f>
        <v>2.2510895668861317</v>
      </c>
    </row>
    <row r="968" spans="1:10" x14ac:dyDescent="0.25">
      <c r="C968" s="8">
        <f t="shared" ref="C968" si="2130">-2*F965*D965</f>
        <v>2.6091774571648823</v>
      </c>
      <c r="D968" s="1">
        <f t="shared" ref="D968" si="2131">2-2*F965*C965+4*G965</f>
        <v>9.4368957093138306E-16</v>
      </c>
      <c r="E968" s="1">
        <f>0</f>
        <v>0</v>
      </c>
      <c r="F968" s="1">
        <f t="shared" ref="F968" si="2132">-2*C965*D965</f>
        <v>4.3509957203971377</v>
      </c>
      <c r="G968" s="9">
        <f t="shared" ref="G968" si="2133">4*D965</f>
        <v>7.7313595769816414</v>
      </c>
    </row>
    <row r="969" spans="1:10" x14ac:dyDescent="0.25">
      <c r="B969" t="s">
        <v>20</v>
      </c>
      <c r="C969" s="8">
        <f>0</f>
        <v>0</v>
      </c>
      <c r="D969" s="1">
        <f>0</f>
        <v>0</v>
      </c>
      <c r="E969" s="1">
        <f>4</f>
        <v>4</v>
      </c>
      <c r="F969" s="1">
        <f>2</f>
        <v>2</v>
      </c>
      <c r="G969" s="9">
        <f>2</f>
        <v>2</v>
      </c>
    </row>
    <row r="970" spans="1:10" x14ac:dyDescent="0.25">
      <c r="C970" s="8">
        <f t="shared" ref="C970" si="2134">(D965^2)</f>
        <v>3.735870056786609</v>
      </c>
      <c r="D970" s="1">
        <f t="shared" ref="D970" si="2135">2*C965*D965</f>
        <v>-4.3509957203971377</v>
      </c>
      <c r="E970" s="1">
        <f t="shared" ref="E970:E971" si="2136">-2</f>
        <v>-2</v>
      </c>
      <c r="F970" s="1">
        <f>0</f>
        <v>0</v>
      </c>
      <c r="G970" s="9">
        <f>0</f>
        <v>0</v>
      </c>
    </row>
    <row r="971" spans="1:10" x14ac:dyDescent="0.25">
      <c r="C971" s="10">
        <f t="shared" ref="C971" si="2137">2*C965</f>
        <v>-2.2510895668861317</v>
      </c>
      <c r="D971" s="11">
        <f t="shared" ref="D971" si="2138">-4*D965</f>
        <v>-7.7313595769816414</v>
      </c>
      <c r="E971" s="11">
        <f t="shared" si="2136"/>
        <v>-2</v>
      </c>
      <c r="F971" s="11">
        <f>0</f>
        <v>0</v>
      </c>
      <c r="G971" s="12">
        <f>0</f>
        <v>0</v>
      </c>
    </row>
    <row r="972" spans="1:10" x14ac:dyDescent="0.25">
      <c r="B972" t="s">
        <v>21</v>
      </c>
      <c r="C972" s="1" cm="1">
        <f t="array" ref="C972:G972">-MMULT(C966:G966,C967:G971)</f>
        <v>-2.8570783810983679E-14</v>
      </c>
      <c r="D972" s="1">
        <v>9.7647937671622598E-14</v>
      </c>
      <c r="E972" s="1">
        <v>5.2180482157382357E-15</v>
      </c>
      <c r="F972" s="1">
        <v>-1.2860815135058996E-14</v>
      </c>
      <c r="G972" s="1">
        <v>-3.3778030782761278E-14</v>
      </c>
    </row>
    <row r="973" spans="1:10" x14ac:dyDescent="0.25">
      <c r="B973" t="s">
        <v>13</v>
      </c>
      <c r="C973" s="1">
        <f t="shared" ref="C973" si="2139">J966/SUMPRODUCT(_xlfn.ANCHORARRAY(C972),_xlfn.ANCHORARRAY(C972))</f>
        <v>9.6730360152796555E-3</v>
      </c>
    </row>
    <row r="974" spans="1:10" x14ac:dyDescent="0.25">
      <c r="A974" s="1" t="s">
        <v>4</v>
      </c>
      <c r="B974" t="s">
        <v>18</v>
      </c>
      <c r="C974" s="1" cm="1">
        <f t="array" ref="C974:G974">C965:G965+C973*C972:G972</f>
        <v>-1.1255447834430661</v>
      </c>
      <c r="D974" s="1">
        <v>1.9328398942454112</v>
      </c>
      <c r="E974" s="1">
        <v>0.39755547298133603</v>
      </c>
      <c r="F974" s="1">
        <v>-0.67495954138082337</v>
      </c>
      <c r="G974" s="1">
        <v>-0.12015140458184524</v>
      </c>
    </row>
    <row r="975" spans="1:10" x14ac:dyDescent="0.25">
      <c r="A975" s="1">
        <v>109</v>
      </c>
      <c r="B975" t="s">
        <v>19</v>
      </c>
      <c r="C975" s="1">
        <f t="shared" ref="C975" si="2140">2*C974-F974*(D974^2)-2*G974*C974</f>
        <v>3.9968028886505635E-15</v>
      </c>
      <c r="D975" s="1">
        <f t="shared" ref="D975" si="2141">2*D974-2*F974*C974*D974+4*G974*D974</f>
        <v>-1.7763568394002505E-15</v>
      </c>
      <c r="E975" s="1">
        <f t="shared" ref="E975" si="2142">4*E974+2*F974+2*G974</f>
        <v>6.9111383282915995E-15</v>
      </c>
      <c r="F975" s="1">
        <f t="shared" ref="F975" si="2143">C974*(D974^2)-2*E974+5</f>
        <v>0</v>
      </c>
      <c r="G975" s="1">
        <f t="shared" ref="G975" si="2144">C974^2-2*(D974^2)-2*E974+7</f>
        <v>0</v>
      </c>
      <c r="J975" s="1">
        <f t="shared" ref="J975" si="2145">0.5*(C975*C975+D975*D975+E975*E975+F975*F975+G975*G975)</f>
        <v>3.344685497219537E-29</v>
      </c>
    </row>
    <row r="976" spans="1:10" x14ac:dyDescent="0.25">
      <c r="C976" s="5">
        <f t="shared" ref="C976" si="2146">2-2*G974</f>
        <v>2.2403028091636905</v>
      </c>
      <c r="D976" s="6">
        <f t="shared" ref="D976" si="2147">-2*F974*D974</f>
        <v>2.609177457164884</v>
      </c>
      <c r="E976" s="6">
        <f>0</f>
        <v>0</v>
      </c>
      <c r="F976" s="6">
        <f t="shared" ref="F976" si="2148">-(D974^2)</f>
        <v>-3.7358700567866125</v>
      </c>
      <c r="G976" s="7">
        <f t="shared" ref="G976" si="2149">-2*C974</f>
        <v>2.2510895668861322</v>
      </c>
    </row>
    <row r="977" spans="1:10" x14ac:dyDescent="0.25">
      <c r="C977" s="8">
        <f t="shared" ref="C977" si="2150">-2*F974*D974</f>
        <v>2.609177457164884</v>
      </c>
      <c r="D977" s="1">
        <f t="shared" ref="D977" si="2151">2-2*F974*C974+4*G974</f>
        <v>-1.0547118733938987E-15</v>
      </c>
      <c r="E977" s="1">
        <f>0</f>
        <v>0</v>
      </c>
      <c r="F977" s="1">
        <f t="shared" ref="F977" si="2152">-2*C974*D974</f>
        <v>4.3509957203971403</v>
      </c>
      <c r="G977" s="9">
        <f t="shared" ref="G977" si="2153">4*D974</f>
        <v>7.731359576981645</v>
      </c>
    </row>
    <row r="978" spans="1:10" x14ac:dyDescent="0.25">
      <c r="B978" t="s">
        <v>20</v>
      </c>
      <c r="C978" s="8">
        <f>0</f>
        <v>0</v>
      </c>
      <c r="D978" s="1">
        <f>0</f>
        <v>0</v>
      </c>
      <c r="E978" s="1">
        <f>4</f>
        <v>4</v>
      </c>
      <c r="F978" s="1">
        <f>2</f>
        <v>2</v>
      </c>
      <c r="G978" s="9">
        <f>2</f>
        <v>2</v>
      </c>
    </row>
    <row r="979" spans="1:10" x14ac:dyDescent="0.25">
      <c r="C979" s="8">
        <f t="shared" ref="C979" si="2154">(D974^2)</f>
        <v>3.7358700567866125</v>
      </c>
      <c r="D979" s="1">
        <f t="shared" ref="D979" si="2155">2*C974*D974</f>
        <v>-4.3509957203971403</v>
      </c>
      <c r="E979" s="1">
        <f t="shared" ref="E979:E980" si="2156">-2</f>
        <v>-2</v>
      </c>
      <c r="F979" s="1">
        <f>0</f>
        <v>0</v>
      </c>
      <c r="G979" s="9">
        <f>0</f>
        <v>0</v>
      </c>
    </row>
    <row r="980" spans="1:10" x14ac:dyDescent="0.25">
      <c r="C980" s="10">
        <f t="shared" ref="C980" si="2157">2*C974</f>
        <v>-2.2510895668861322</v>
      </c>
      <c r="D980" s="11">
        <f t="shared" ref="D980" si="2158">-4*D974</f>
        <v>-7.731359576981645</v>
      </c>
      <c r="E980" s="11">
        <f t="shared" si="2156"/>
        <v>-2</v>
      </c>
      <c r="F980" s="11">
        <f>0</f>
        <v>0</v>
      </c>
      <c r="G980" s="12">
        <f>0</f>
        <v>0</v>
      </c>
    </row>
    <row r="981" spans="1:10" x14ac:dyDescent="0.25">
      <c r="B981" t="s">
        <v>21</v>
      </c>
      <c r="C981" s="1" cm="1">
        <f t="array" ref="C981:G981">-MMULT(C975:G975,C976:G980)</f>
        <v>-4.3192185178736147E-15</v>
      </c>
      <c r="D981" s="1">
        <v>-1.0428367997798542E-14</v>
      </c>
      <c r="E981" s="1">
        <v>-2.7644553313166398E-14</v>
      </c>
      <c r="F981" s="1">
        <v>8.8381805841333593E-15</v>
      </c>
      <c r="G981" s="1">
        <v>-9.085784477690866E-15</v>
      </c>
    </row>
    <row r="982" spans="1:10" x14ac:dyDescent="0.25">
      <c r="B982" t="s">
        <v>13</v>
      </c>
      <c r="C982" s="1">
        <f t="shared" ref="C982" si="2159">J975/SUMPRODUCT(_xlfn.ANCHORARRAY(C981),_xlfn.ANCHORARRAY(C981))</f>
        <v>3.1784743298911115E-2</v>
      </c>
    </row>
    <row r="983" spans="1:10" x14ac:dyDescent="0.25">
      <c r="A983" s="1" t="s">
        <v>4</v>
      </c>
      <c r="B983" t="s">
        <v>18</v>
      </c>
      <c r="C983" s="1" cm="1">
        <f t="array" ref="C983:G983">C974:G974+C982*C981:G981</f>
        <v>-1.1255447834430663</v>
      </c>
      <c r="D983" s="1">
        <v>1.932839894245411</v>
      </c>
      <c r="E983" s="1">
        <v>0.39755547298133515</v>
      </c>
      <c r="F983" s="1">
        <v>-0.67495954138082304</v>
      </c>
      <c r="G983" s="1">
        <v>-0.12015140458184553</v>
      </c>
    </row>
    <row r="984" spans="1:10" x14ac:dyDescent="0.25">
      <c r="A984" s="1">
        <v>110</v>
      </c>
      <c r="B984" t="s">
        <v>19</v>
      </c>
      <c r="C984" s="1">
        <f t="shared" ref="C984" si="2160">2*C983-F983*(D983^2)-2*G983*C983</f>
        <v>1.0547118733938987E-15</v>
      </c>
      <c r="D984" s="1">
        <f t="shared" ref="D984" si="2161">2*D983-2*F983*C983*D983+4*G983*D983</f>
        <v>-3.5527136788005009E-15</v>
      </c>
      <c r="E984" s="1">
        <f t="shared" ref="E984" si="2162">4*E983+2*F983+2*G983</f>
        <v>3.4416913763379853E-15</v>
      </c>
      <c r="F984" s="1">
        <f t="shared" ref="F984" si="2163">C983*(D983^2)-2*E983+5</f>
        <v>7.1054273576010019E-15</v>
      </c>
      <c r="G984" s="1">
        <f t="shared" ref="G984" si="2164">C983^2-2*(D983^2)-2*E983+7</f>
        <v>0</v>
      </c>
      <c r="J984" s="1">
        <f t="shared" ref="J984" si="2165">0.5*(C984*C984+D984*D984+E984*E984+F984*F984+G984*G984)</f>
        <v>3.8033264541759134E-29</v>
      </c>
    </row>
    <row r="985" spans="1:10" x14ac:dyDescent="0.25">
      <c r="C985" s="5">
        <f t="shared" ref="C985" si="2166">2-2*G983</f>
        <v>2.240302809163691</v>
      </c>
      <c r="D985" s="6">
        <f t="shared" ref="D985" si="2167">-2*F983*D983</f>
        <v>2.6091774571648823</v>
      </c>
      <c r="E985" s="6">
        <f>0</f>
        <v>0</v>
      </c>
      <c r="F985" s="6">
        <f t="shared" ref="F985" si="2168">-(D983^2)</f>
        <v>-3.7358700567866117</v>
      </c>
      <c r="G985" s="7">
        <f t="shared" ref="G985" si="2169">-2*C983</f>
        <v>2.2510895668861326</v>
      </c>
    </row>
    <row r="986" spans="1:10" x14ac:dyDescent="0.25">
      <c r="C986" s="8">
        <f t="shared" ref="C986" si="2170">-2*F983*D983</f>
        <v>2.6091774571648823</v>
      </c>
      <c r="D986" s="1">
        <f t="shared" ref="D986" si="2171">2-2*F983*C983+4*G983</f>
        <v>-1.7763568394002505E-15</v>
      </c>
      <c r="E986" s="1">
        <f>0</f>
        <v>0</v>
      </c>
      <c r="F986" s="1">
        <f t="shared" ref="F986" si="2172">-2*C983*D983</f>
        <v>4.3509957203971403</v>
      </c>
      <c r="G986" s="9">
        <f t="shared" ref="G986" si="2173">4*D983</f>
        <v>7.7313595769816441</v>
      </c>
    </row>
    <row r="987" spans="1:10" x14ac:dyDescent="0.25">
      <c r="B987" t="s">
        <v>20</v>
      </c>
      <c r="C987" s="8">
        <f>0</f>
        <v>0</v>
      </c>
      <c r="D987" s="1">
        <f>0</f>
        <v>0</v>
      </c>
      <c r="E987" s="1">
        <f>4</f>
        <v>4</v>
      </c>
      <c r="F987" s="1">
        <f>2</f>
        <v>2</v>
      </c>
      <c r="G987" s="9">
        <f>2</f>
        <v>2</v>
      </c>
    </row>
    <row r="988" spans="1:10" x14ac:dyDescent="0.25">
      <c r="C988" s="8">
        <f t="shared" ref="C988" si="2174">(D983^2)</f>
        <v>3.7358700567866117</v>
      </c>
      <c r="D988" s="1">
        <f t="shared" ref="D988" si="2175">2*C983*D983</f>
        <v>-4.3509957203971403</v>
      </c>
      <c r="E988" s="1">
        <f t="shared" ref="E988:E989" si="2176">-2</f>
        <v>-2</v>
      </c>
      <c r="F988" s="1">
        <f>0</f>
        <v>0</v>
      </c>
      <c r="G988" s="9">
        <f>0</f>
        <v>0</v>
      </c>
    </row>
    <row r="989" spans="1:10" x14ac:dyDescent="0.25">
      <c r="C989" s="10">
        <f t="shared" ref="C989" si="2177">2*C983</f>
        <v>-2.2510895668861326</v>
      </c>
      <c r="D989" s="11">
        <f t="shared" ref="D989" si="2178">-4*D983</f>
        <v>-7.7313595769816441</v>
      </c>
      <c r="E989" s="11">
        <f t="shared" si="2176"/>
        <v>-2</v>
      </c>
      <c r="F989" s="11">
        <f>0</f>
        <v>0</v>
      </c>
      <c r="G989" s="12">
        <f>0</f>
        <v>0</v>
      </c>
    </row>
    <row r="990" spans="1:10" x14ac:dyDescent="0.25">
      <c r="B990" t="s">
        <v>21</v>
      </c>
      <c r="C990" s="1" cm="1">
        <f t="array" ref="C990:G990">-MMULT(C984:G984,C985:G989)</f>
        <v>-1.9638166836269064E-14</v>
      </c>
      <c r="D990" s="1">
        <v>2.8163753580651214E-14</v>
      </c>
      <c r="E990" s="1">
        <v>4.4408920985006262E-16</v>
      </c>
      <c r="F990" s="1">
        <v>1.2514725765930968E-14</v>
      </c>
      <c r="G990" s="1">
        <v>1.8209673277924038E-14</v>
      </c>
    </row>
    <row r="991" spans="1:10" x14ac:dyDescent="0.25">
      <c r="B991" t="s">
        <v>13</v>
      </c>
      <c r="C991" s="1">
        <f t="shared" ref="C991" si="2179">J984/SUMPRODUCT(_xlfn.ANCHORARRAY(C990),_xlfn.ANCHORARRAY(C990))</f>
        <v>2.281180501646914E-2</v>
      </c>
    </row>
    <row r="992" spans="1:10" x14ac:dyDescent="0.25">
      <c r="A992" s="1" t="s">
        <v>4</v>
      </c>
      <c r="B992" t="s">
        <v>18</v>
      </c>
      <c r="C992" s="1" cm="1">
        <f t="array" ref="C992:G992">C983:G983+C991*C990:G990</f>
        <v>-1.1255447834430667</v>
      </c>
      <c r="D992" s="1">
        <v>1.9328398942454117</v>
      </c>
      <c r="E992" s="1">
        <v>0.39755547298133515</v>
      </c>
      <c r="F992" s="1">
        <v>-0.6749595413808227</v>
      </c>
      <c r="G992" s="1">
        <v>-0.12015140458184512</v>
      </c>
    </row>
    <row r="993" spans="1:10" x14ac:dyDescent="0.25">
      <c r="A993" s="1">
        <v>111</v>
      </c>
      <c r="B993" t="s">
        <v>19</v>
      </c>
      <c r="C993" s="1">
        <f t="shared" ref="C993" si="2180">2*C992-F992*(D992^2)-2*G992*C992</f>
        <v>1.4432899320127035E-15</v>
      </c>
      <c r="D993" s="1">
        <f t="shared" ref="D993" si="2181">2*D992-2*F992*C992*D992+4*G992*D992</f>
        <v>0</v>
      </c>
      <c r="E993" s="1">
        <f t="shared" ref="E993" si="2182">4*E992+2*F992+2*G992</f>
        <v>4.9404924595819466E-15</v>
      </c>
      <c r="F993" s="1">
        <f t="shared" ref="F993" si="2183">C992*(D992^2)-2*E992+5</f>
        <v>0</v>
      </c>
      <c r="G993" s="1">
        <f t="shared" ref="G993" si="2184">C992^2-2*(D992^2)-2*E992+7</f>
        <v>0</v>
      </c>
      <c r="J993" s="1">
        <f t="shared" ref="J993" si="2185">0.5*(C993*C993+D993*D993+E993*E993+F993*F993+G993*G993)</f>
        <v>1.3245775785517653E-29</v>
      </c>
    </row>
    <row r="994" spans="1:10" x14ac:dyDescent="0.25">
      <c r="C994" s="5">
        <f t="shared" ref="C994" si="2186">2-2*G992</f>
        <v>2.2403028091636901</v>
      </c>
      <c r="D994" s="6">
        <f t="shared" ref="D994" si="2187">-2*F992*D992</f>
        <v>2.6091774571648818</v>
      </c>
      <c r="E994" s="6">
        <f>0</f>
        <v>0</v>
      </c>
      <c r="F994" s="6">
        <f t="shared" ref="F994" si="2188">-(D992^2)</f>
        <v>-3.7358700567866143</v>
      </c>
      <c r="G994" s="7">
        <f t="shared" ref="G994" si="2189">-2*C992</f>
        <v>2.2510895668861335</v>
      </c>
    </row>
    <row r="995" spans="1:10" x14ac:dyDescent="0.25">
      <c r="C995" s="8">
        <f t="shared" ref="C995" si="2190">-2*F992*D992</f>
        <v>2.6091774571648818</v>
      </c>
      <c r="D995" s="1">
        <f t="shared" ref="D995" si="2191">2-2*F992*C992+4*G992</f>
        <v>0</v>
      </c>
      <c r="E995" s="1">
        <f>0</f>
        <v>0</v>
      </c>
      <c r="F995" s="1">
        <f t="shared" ref="F995" si="2192">-2*C992*D992</f>
        <v>4.3509957203971439</v>
      </c>
      <c r="G995" s="9">
        <f t="shared" ref="G995" si="2193">4*D992</f>
        <v>7.7313595769816468</v>
      </c>
    </row>
    <row r="996" spans="1:10" x14ac:dyDescent="0.25">
      <c r="B996" t="s">
        <v>20</v>
      </c>
      <c r="C996" s="8">
        <f>0</f>
        <v>0</v>
      </c>
      <c r="D996" s="1">
        <f>0</f>
        <v>0</v>
      </c>
      <c r="E996" s="1">
        <f>4</f>
        <v>4</v>
      </c>
      <c r="F996" s="1">
        <f>2</f>
        <v>2</v>
      </c>
      <c r="G996" s="9">
        <f>2</f>
        <v>2</v>
      </c>
    </row>
    <row r="997" spans="1:10" x14ac:dyDescent="0.25">
      <c r="C997" s="8">
        <f t="shared" ref="C997" si="2194">(D992^2)</f>
        <v>3.7358700567866143</v>
      </c>
      <c r="D997" s="1">
        <f t="shared" ref="D997" si="2195">2*C992*D992</f>
        <v>-4.3509957203971439</v>
      </c>
      <c r="E997" s="1">
        <f t="shared" ref="E997:E998" si="2196">-2</f>
        <v>-2</v>
      </c>
      <c r="F997" s="1">
        <f>0</f>
        <v>0</v>
      </c>
      <c r="G997" s="9">
        <f>0</f>
        <v>0</v>
      </c>
    </row>
    <row r="998" spans="1:10" x14ac:dyDescent="0.25">
      <c r="C998" s="10">
        <f t="shared" ref="C998" si="2197">2*C992</f>
        <v>-2.2510895668861335</v>
      </c>
      <c r="D998" s="11">
        <f t="shared" ref="D998" si="2198">-4*D992</f>
        <v>-7.7313595769816468</v>
      </c>
      <c r="E998" s="11">
        <f t="shared" si="2196"/>
        <v>-2</v>
      </c>
      <c r="F998" s="11">
        <f>0</f>
        <v>0</v>
      </c>
      <c r="G998" s="12">
        <f>0</f>
        <v>0</v>
      </c>
    </row>
    <row r="999" spans="1:10" x14ac:dyDescent="0.25">
      <c r="B999" t="s">
        <v>21</v>
      </c>
      <c r="C999" s="1" cm="1">
        <f t="array" ref="C999:G999">-MMULT(C993:G993,C994:G998)</f>
        <v>-3.2334064891257308E-15</v>
      </c>
      <c r="D999" s="1">
        <v>-3.7657995547605806E-15</v>
      </c>
      <c r="E999" s="1">
        <v>-1.9761969838327786E-14</v>
      </c>
      <c r="F999" s="1">
        <v>-4.4890412788960458E-15</v>
      </c>
      <c r="G999" s="1">
        <v>-1.3129959827109487E-14</v>
      </c>
    </row>
    <row r="1000" spans="1:10" x14ac:dyDescent="0.25">
      <c r="B1000" t="s">
        <v>13</v>
      </c>
      <c r="C1000" s="1">
        <f t="shared" ref="C1000" si="2199">J993/SUMPRODUCT(_xlfn.ANCHORARRAY(C999),_xlfn.ANCHORARRAY(C999))</f>
        <v>2.1795890573979772E-2</v>
      </c>
    </row>
    <row r="1001" spans="1:10" x14ac:dyDescent="0.25">
      <c r="A1001" s="1" t="s">
        <v>4</v>
      </c>
      <c r="B1001" t="s">
        <v>18</v>
      </c>
      <c r="C1001" s="1" cm="1">
        <f t="array" ref="C1001:G1001">C992:G992+C1000*C999:G999</f>
        <v>-1.1255447834430667</v>
      </c>
      <c r="D1001" s="1">
        <v>1.9328398942454117</v>
      </c>
      <c r="E1001" s="1">
        <v>0.3975554729813347</v>
      </c>
      <c r="F1001" s="1">
        <v>-0.67495954138082281</v>
      </c>
      <c r="G1001" s="1">
        <v>-0.12015140458184541</v>
      </c>
    </row>
    <row r="1002" spans="1:10" x14ac:dyDescent="0.25">
      <c r="A1002" s="1">
        <v>112</v>
      </c>
      <c r="B1002" t="s">
        <v>19</v>
      </c>
      <c r="C1002" s="1">
        <f t="shared" ref="C1002" si="2200">2*C1001-F1001*(D1001^2)-2*G1001*C1001</f>
        <v>1.2212453270876722E-15</v>
      </c>
      <c r="D1002" s="1">
        <f t="shared" ref="D1002" si="2201">2*D1001-2*F1001*C1001*D1001+4*G1001*D1001</f>
        <v>-2.4424906541753444E-15</v>
      </c>
      <c r="E1002" s="1">
        <f t="shared" ref="E1002" si="2202">4*E1001+2*F1001+2*G1001</f>
        <v>2.3592239273284576E-15</v>
      </c>
      <c r="F1002" s="1">
        <f t="shared" ref="F1002" si="2203">C1001*(D1001^2)-2*E1001+5</f>
        <v>0</v>
      </c>
      <c r="G1002" s="1">
        <f t="shared" ref="G1002" si="2204">C1001^2-2*(D1001^2)-2*E1001+7</f>
        <v>0</v>
      </c>
      <c r="J1002" s="1">
        <f t="shared" ref="J1002" si="2205">0.5*(C1002*C1002+D1002*D1002+E1002*E1002+F1002*F1002+G1002*G1002)</f>
        <v>6.5115691419732444E-30</v>
      </c>
    </row>
    <row r="1003" spans="1:10" x14ac:dyDescent="0.25">
      <c r="C1003" s="5">
        <f t="shared" ref="C1003" si="2206">2-2*G1001</f>
        <v>2.240302809163691</v>
      </c>
      <c r="D1003" s="6">
        <f t="shared" ref="D1003" si="2207">-2*F1001*D1001</f>
        <v>2.6091774571648823</v>
      </c>
      <c r="E1003" s="6">
        <f>0</f>
        <v>0</v>
      </c>
      <c r="F1003" s="6">
        <f t="shared" ref="F1003" si="2208">-(D1001^2)</f>
        <v>-3.7358700567866143</v>
      </c>
      <c r="G1003" s="7">
        <f t="shared" ref="G1003" si="2209">-2*C1001</f>
        <v>2.2510895668861335</v>
      </c>
    </row>
    <row r="1004" spans="1:10" x14ac:dyDescent="0.25">
      <c r="C1004" s="8">
        <f t="shared" ref="C1004" si="2210">-2*F1001*D1001</f>
        <v>2.6091774571648823</v>
      </c>
      <c r="D1004" s="1">
        <f t="shared" ref="D1004" si="2211">2-2*F1001*C1001+4*G1001</f>
        <v>-1.27675647831893E-15</v>
      </c>
      <c r="E1004" s="1">
        <f>0</f>
        <v>0</v>
      </c>
      <c r="F1004" s="1">
        <f t="shared" ref="F1004" si="2212">-2*C1001*D1001</f>
        <v>4.3509957203971439</v>
      </c>
      <c r="G1004" s="9">
        <f t="shared" ref="G1004" si="2213">4*D1001</f>
        <v>7.7313595769816468</v>
      </c>
    </row>
    <row r="1005" spans="1:10" x14ac:dyDescent="0.25">
      <c r="B1005" t="s">
        <v>20</v>
      </c>
      <c r="C1005" s="8">
        <f>0</f>
        <v>0</v>
      </c>
      <c r="D1005" s="1">
        <f>0</f>
        <v>0</v>
      </c>
      <c r="E1005" s="1">
        <f>4</f>
        <v>4</v>
      </c>
      <c r="F1005" s="1">
        <f>2</f>
        <v>2</v>
      </c>
      <c r="G1005" s="9">
        <f>2</f>
        <v>2</v>
      </c>
    </row>
    <row r="1006" spans="1:10" x14ac:dyDescent="0.25">
      <c r="C1006" s="8">
        <f t="shared" ref="C1006" si="2214">(D1001^2)</f>
        <v>3.7358700567866143</v>
      </c>
      <c r="D1006" s="1">
        <f t="shared" ref="D1006" si="2215">2*C1001*D1001</f>
        <v>-4.3509957203971439</v>
      </c>
      <c r="E1006" s="1">
        <f t="shared" ref="E1006:E1007" si="2216">-2</f>
        <v>-2</v>
      </c>
      <c r="F1006" s="1">
        <f>0</f>
        <v>0</v>
      </c>
      <c r="G1006" s="9">
        <f>0</f>
        <v>0</v>
      </c>
    </row>
    <row r="1007" spans="1:10" x14ac:dyDescent="0.25">
      <c r="C1007" s="10">
        <f t="shared" ref="C1007" si="2217">2*C1001</f>
        <v>-2.2510895668861335</v>
      </c>
      <c r="D1007" s="11">
        <f t="shared" ref="D1007" si="2218">-4*D1001</f>
        <v>-7.7313595769816468</v>
      </c>
      <c r="E1007" s="11">
        <f t="shared" si="2216"/>
        <v>-2</v>
      </c>
      <c r="F1007" s="11">
        <f>0</f>
        <v>0</v>
      </c>
      <c r="G1007" s="12">
        <f>0</f>
        <v>0</v>
      </c>
    </row>
    <row r="1008" spans="1:10" x14ac:dyDescent="0.25">
      <c r="B1008" t="s">
        <v>21</v>
      </c>
      <c r="C1008" s="1" cm="1">
        <f t="array" ref="C1008:G1008">-MMULT(C1002:G1002,C1003:G1007)</f>
        <v>3.6369322172576727E-15</v>
      </c>
      <c r="D1008" s="1">
        <v>-3.1864457771051107E-15</v>
      </c>
      <c r="E1008" s="1">
        <v>-9.4368957093138306E-15</v>
      </c>
      <c r="F1008" s="1">
        <v>1.0471232378227437E-14</v>
      </c>
      <c r="G1008" s="1">
        <v>1.1416193041774301E-14</v>
      </c>
    </row>
    <row r="1009" spans="1:10" x14ac:dyDescent="0.25">
      <c r="B1009" t="s">
        <v>13</v>
      </c>
      <c r="C1009" s="1">
        <f t="shared" ref="C1009" si="2219">J1002/SUMPRODUCT(_xlfn.ANCHORARRAY(C1008),_xlfn.ANCHORARRAY(C1008))</f>
        <v>1.8477155371308732E-2</v>
      </c>
    </row>
    <row r="1010" spans="1:10" x14ac:dyDescent="0.25">
      <c r="A1010" s="1" t="s">
        <v>4</v>
      </c>
      <c r="B1010" t="s">
        <v>18</v>
      </c>
      <c r="C1010" s="1" cm="1">
        <f t="array" ref="C1010:G1010">C1001:G1001+C1009*C1008:G1008</f>
        <v>-1.1255447834430667</v>
      </c>
      <c r="D1010" s="1">
        <v>1.9328398942454117</v>
      </c>
      <c r="E1010" s="1">
        <v>0.39755547298133453</v>
      </c>
      <c r="F1010" s="1">
        <v>-0.67495954138082259</v>
      </c>
      <c r="G1010" s="1">
        <v>-0.1201514045818452</v>
      </c>
    </row>
    <row r="1011" spans="1:10" x14ac:dyDescent="0.25">
      <c r="A1011" s="1">
        <v>113</v>
      </c>
      <c r="B1011" t="s">
        <v>19</v>
      </c>
      <c r="C1011" s="1">
        <f t="shared" ref="C1011" si="2220">2*C1010-F1010*(D1010^2)-2*G1010*C1010</f>
        <v>8.3266726846886741E-16</v>
      </c>
      <c r="D1011" s="1">
        <f t="shared" ref="D1011" si="2221">2*D1010-2*F1010*C1010*D1010+4*G1010*D1010</f>
        <v>0</v>
      </c>
      <c r="E1011" s="1">
        <f t="shared" ref="E1011" si="2222">4*E1010+2*F1010+2*G1010</f>
        <v>2.55351295663786E-15</v>
      </c>
      <c r="F1011" s="1">
        <f t="shared" ref="F1011" si="2223">C1010*(D1010^2)-2*E1010+5</f>
        <v>0</v>
      </c>
      <c r="G1011" s="1">
        <f t="shared" ref="G1011" si="2224">C1010^2-2*(D1010^2)-2*E1010+7</f>
        <v>0</v>
      </c>
      <c r="J1011" s="1">
        <f t="shared" ref="J1011" si="2225">0.5*(C1011*C1011+D1011*D1011+E1011*E1011+F1011*F1011+G1011*G1011)</f>
        <v>3.6068815998484153E-30</v>
      </c>
    </row>
    <row r="1012" spans="1:10" x14ac:dyDescent="0.25">
      <c r="C1012" s="5">
        <f t="shared" ref="C1012" si="2226">2-2*G1010</f>
        <v>2.2403028091636905</v>
      </c>
      <c r="D1012" s="6">
        <f t="shared" ref="D1012" si="2227">-2*F1010*D1010</f>
        <v>2.6091774571648814</v>
      </c>
      <c r="E1012" s="6">
        <f>0</f>
        <v>0</v>
      </c>
      <c r="F1012" s="6">
        <f t="shared" ref="F1012" si="2228">-(D1010^2)</f>
        <v>-3.7358700567866143</v>
      </c>
      <c r="G1012" s="7">
        <f t="shared" ref="G1012" si="2229">-2*C1010</f>
        <v>2.2510895668861335</v>
      </c>
    </row>
    <row r="1013" spans="1:10" x14ac:dyDescent="0.25">
      <c r="C1013" s="8">
        <f t="shared" ref="C1013" si="2230">-2*F1010*D1010</f>
        <v>2.6091774571648814</v>
      </c>
      <c r="D1013" s="1">
        <f t="shared" ref="D1013" si="2231">2-2*F1010*C1010+4*G1010</f>
        <v>0</v>
      </c>
      <c r="E1013" s="1">
        <f>0</f>
        <v>0</v>
      </c>
      <c r="F1013" s="1">
        <f t="shared" ref="F1013" si="2232">-2*C1010*D1010</f>
        <v>4.3509957203971439</v>
      </c>
      <c r="G1013" s="9">
        <f t="shared" ref="G1013" si="2233">4*D1010</f>
        <v>7.7313595769816468</v>
      </c>
    </row>
    <row r="1014" spans="1:10" x14ac:dyDescent="0.25">
      <c r="B1014" t="s">
        <v>20</v>
      </c>
      <c r="C1014" s="8">
        <f>0</f>
        <v>0</v>
      </c>
      <c r="D1014" s="1">
        <f>0</f>
        <v>0</v>
      </c>
      <c r="E1014" s="1">
        <f>4</f>
        <v>4</v>
      </c>
      <c r="F1014" s="1">
        <f>2</f>
        <v>2</v>
      </c>
      <c r="G1014" s="9">
        <f>2</f>
        <v>2</v>
      </c>
    </row>
    <row r="1015" spans="1:10" x14ac:dyDescent="0.25">
      <c r="C1015" s="8">
        <f t="shared" ref="C1015" si="2234">(D1010^2)</f>
        <v>3.7358700567866143</v>
      </c>
      <c r="D1015" s="1">
        <f t="shared" ref="D1015" si="2235">2*C1010*D1010</f>
        <v>-4.3509957203971439</v>
      </c>
      <c r="E1015" s="1">
        <f t="shared" ref="E1015:E1016" si="2236">-2</f>
        <v>-2</v>
      </c>
      <c r="F1015" s="1">
        <f>0</f>
        <v>0</v>
      </c>
      <c r="G1015" s="9">
        <f>0</f>
        <v>0</v>
      </c>
    </row>
    <row r="1016" spans="1:10" x14ac:dyDescent="0.25">
      <c r="C1016" s="10">
        <f t="shared" ref="C1016" si="2237">2*C1010</f>
        <v>-2.2510895668861335</v>
      </c>
      <c r="D1016" s="11">
        <f t="shared" ref="D1016" si="2238">-4*D1010</f>
        <v>-7.7313595769816468</v>
      </c>
      <c r="E1016" s="11">
        <f t="shared" si="2236"/>
        <v>-2</v>
      </c>
      <c r="F1016" s="11">
        <f>0</f>
        <v>0</v>
      </c>
      <c r="G1016" s="12">
        <f>0</f>
        <v>0</v>
      </c>
    </row>
    <row r="1017" spans="1:10" x14ac:dyDescent="0.25">
      <c r="B1017" t="s">
        <v>21</v>
      </c>
      <c r="C1017" s="1" cm="1">
        <f t="array" ref="C1017:G1017">-MMULT(C1011:G1011,C1012:G1016)</f>
        <v>-1.8654268206494603E-15</v>
      </c>
      <c r="D1017" s="1">
        <v>-2.172576666208027E-15</v>
      </c>
      <c r="E1017" s="1">
        <v>-1.021405182655144E-14</v>
      </c>
      <c r="F1017" s="1">
        <v>-1.9962891977365775E-15</v>
      </c>
      <c r="G1017" s="1">
        <v>-6.9814345140135629E-15</v>
      </c>
    </row>
    <row r="1018" spans="1:10" x14ac:dyDescent="0.25">
      <c r="B1018" t="s">
        <v>13</v>
      </c>
      <c r="C1018" s="1">
        <f t="shared" ref="C1018" si="2239">J1011/SUMPRODUCT(_xlfn.ANCHORARRAY(C1017),_xlfn.ANCHORARRAY(C1017))</f>
        <v>2.1826505869222107E-2</v>
      </c>
    </row>
    <row r="1019" spans="1:10" x14ac:dyDescent="0.25">
      <c r="A1019" s="1" t="s">
        <v>4</v>
      </c>
      <c r="B1019" t="s">
        <v>18</v>
      </c>
      <c r="C1019" s="1" cm="1">
        <f t="array" ref="C1019:G1019">C1010:G1010+C1018*C1017:G1017</f>
        <v>-1.1255447834430667</v>
      </c>
      <c r="D1019" s="1">
        <v>1.9328398942454117</v>
      </c>
      <c r="E1019" s="1">
        <v>0.39755547298133431</v>
      </c>
      <c r="F1019" s="1">
        <v>-0.67495954138082259</v>
      </c>
      <c r="G1019" s="1">
        <v>-0.12015140458184535</v>
      </c>
    </row>
    <row r="1020" spans="1:10" x14ac:dyDescent="0.25">
      <c r="A1020" s="1">
        <v>114</v>
      </c>
      <c r="B1020" t="s">
        <v>19</v>
      </c>
      <c r="C1020" s="1">
        <f t="shared" ref="C1020" si="2240">2*C1019-F1019*(D1019^2)-2*G1019*C1019</f>
        <v>4.4408920985006262E-16</v>
      </c>
      <c r="D1020" s="1">
        <f t="shared" ref="D1020" si="2241">2*D1019-2*F1019*C1019*D1019+4*G1019*D1019</f>
        <v>-1.1102230246251565E-15</v>
      </c>
      <c r="E1020" s="1">
        <f t="shared" ref="E1020" si="2242">4*E1019+2*F1019+2*G1019</f>
        <v>1.3600232051658168E-15</v>
      </c>
      <c r="F1020" s="1">
        <f t="shared" ref="F1020" si="2243">C1019*(D1019^2)-2*E1019+5</f>
        <v>0</v>
      </c>
      <c r="G1020" s="1">
        <f t="shared" ref="G1020" si="2244">C1019^2-2*(D1019^2)-2*E1019+7</f>
        <v>0</v>
      </c>
      <c r="J1020" s="1">
        <f t="shared" ref="J1020" si="2245">0.5*(C1020*C1020+D1020*D1020+E1020*E1020+F1020*F1020+G1020*G1020)</f>
        <v>1.6397367546512926E-30</v>
      </c>
    </row>
    <row r="1021" spans="1:10" x14ac:dyDescent="0.25">
      <c r="C1021" s="5">
        <f t="shared" ref="C1021" si="2246">2-2*G1019</f>
        <v>2.2403028091636905</v>
      </c>
      <c r="D1021" s="6">
        <f t="shared" ref="D1021" si="2247">-2*F1019*D1019</f>
        <v>2.6091774571648814</v>
      </c>
      <c r="E1021" s="6">
        <f>0</f>
        <v>0</v>
      </c>
      <c r="F1021" s="6">
        <f t="shared" ref="F1021" si="2248">-(D1019^2)</f>
        <v>-3.7358700567866143</v>
      </c>
      <c r="G1021" s="7">
        <f t="shared" ref="G1021" si="2249">-2*C1019</f>
        <v>2.2510895668861335</v>
      </c>
    </row>
    <row r="1022" spans="1:10" x14ac:dyDescent="0.25">
      <c r="C1022" s="8">
        <f t="shared" ref="C1022" si="2250">-2*F1019*D1019</f>
        <v>2.6091774571648814</v>
      </c>
      <c r="D1022" s="1">
        <f t="shared" ref="D1022" si="2251">2-2*F1019*C1019+4*G1019</f>
        <v>-6.106226635438361E-16</v>
      </c>
      <c r="E1022" s="1">
        <f>0</f>
        <v>0</v>
      </c>
      <c r="F1022" s="1">
        <f t="shared" ref="F1022" si="2252">-2*C1019*D1019</f>
        <v>4.3509957203971439</v>
      </c>
      <c r="G1022" s="9">
        <f t="shared" ref="G1022" si="2253">4*D1019</f>
        <v>7.7313595769816468</v>
      </c>
    </row>
    <row r="1023" spans="1:10" x14ac:dyDescent="0.25">
      <c r="B1023" t="s">
        <v>20</v>
      </c>
      <c r="C1023" s="8">
        <f>0</f>
        <v>0</v>
      </c>
      <c r="D1023" s="1">
        <f>0</f>
        <v>0</v>
      </c>
      <c r="E1023" s="1">
        <f>4</f>
        <v>4</v>
      </c>
      <c r="F1023" s="1">
        <f>2</f>
        <v>2</v>
      </c>
      <c r="G1023" s="9">
        <f>2</f>
        <v>2</v>
      </c>
    </row>
    <row r="1024" spans="1:10" x14ac:dyDescent="0.25">
      <c r="C1024" s="8">
        <f t="shared" ref="C1024" si="2254">(D1019^2)</f>
        <v>3.7358700567866143</v>
      </c>
      <c r="D1024" s="1">
        <f t="shared" ref="D1024" si="2255">2*C1019*D1019</f>
        <v>-4.3509957203971439</v>
      </c>
      <c r="E1024" s="1">
        <f t="shared" ref="E1024:E1025" si="2256">-2</f>
        <v>-2</v>
      </c>
      <c r="F1024" s="1">
        <f>0</f>
        <v>0</v>
      </c>
      <c r="G1024" s="9">
        <f>0</f>
        <v>0</v>
      </c>
    </row>
    <row r="1025" spans="1:10" x14ac:dyDescent="0.25">
      <c r="C1025" s="10">
        <f t="shared" ref="C1025" si="2257">2*C1019</f>
        <v>-2.2510895668861335</v>
      </c>
      <c r="D1025" s="11">
        <f t="shared" ref="D1025" si="2258">-4*D1019</f>
        <v>-7.7313595769816468</v>
      </c>
      <c r="E1025" s="11">
        <f t="shared" si="2256"/>
        <v>-2</v>
      </c>
      <c r="F1025" s="11">
        <f>0</f>
        <v>0</v>
      </c>
      <c r="G1025" s="12">
        <f>0</f>
        <v>0</v>
      </c>
    </row>
    <row r="1026" spans="1:10" x14ac:dyDescent="0.25">
      <c r="B1026" t="s">
        <v>21</v>
      </c>
      <c r="C1026" s="1" cm="1">
        <f t="array" ref="C1026:G1026">-MMULT(C1020:G1020,C1021:G1025)</f>
        <v>1.9018745839309904E-15</v>
      </c>
      <c r="D1026" s="1">
        <v>-1.1587075553109484E-15</v>
      </c>
      <c r="E1026" s="1">
        <v>-5.440092820663267E-15</v>
      </c>
      <c r="F1026" s="1">
        <v>3.7695888001196718E-15</v>
      </c>
      <c r="G1026" s="1">
        <v>4.8638024166294192E-15</v>
      </c>
    </row>
    <row r="1027" spans="1:10" x14ac:dyDescent="0.25">
      <c r="B1027" t="s">
        <v>13</v>
      </c>
      <c r="C1027" s="1">
        <f t="shared" ref="C1027" si="2259">J1020/SUMPRODUCT(_xlfn.ANCHORARRAY(C1026),_xlfn.ANCHORARRAY(C1026))</f>
        <v>2.2641819873008905E-2</v>
      </c>
    </row>
    <row r="1028" spans="1:10" x14ac:dyDescent="0.25">
      <c r="A1028" s="1" t="s">
        <v>4</v>
      </c>
      <c r="B1028" t="s">
        <v>18</v>
      </c>
      <c r="C1028" s="1" cm="1">
        <f t="array" ref="C1028:G1028">C1019:G1019+C1027*C1026:G1026</f>
        <v>-1.1255447834430667</v>
      </c>
      <c r="D1028" s="1">
        <v>1.9328398942454117</v>
      </c>
      <c r="E1028" s="1">
        <v>0.3975554729813342</v>
      </c>
      <c r="F1028" s="1">
        <v>-0.67495954138082248</v>
      </c>
      <c r="G1028" s="1">
        <v>-0.12015140458184524</v>
      </c>
    </row>
    <row r="1029" spans="1:10" x14ac:dyDescent="0.25">
      <c r="A1029" s="1">
        <v>115</v>
      </c>
      <c r="B1029" t="s">
        <v>19</v>
      </c>
      <c r="C1029" s="1">
        <f t="shared" ref="C1029" si="2260">2*C1028-F1028*(D1028^2)-2*G1028*C1028</f>
        <v>0</v>
      </c>
      <c r="D1029" s="1">
        <f t="shared" ref="D1029" si="2261">2*D1028-2*F1028*C1028*D1028+4*G1028*D1028</f>
        <v>0</v>
      </c>
      <c r="E1029" s="1">
        <f t="shared" ref="E1029" si="2262">4*E1028+2*F1028+2*G1028</f>
        <v>1.3600232051658168E-15</v>
      </c>
      <c r="F1029" s="1">
        <f t="shared" ref="F1029" si="2263">C1028*(D1028^2)-2*E1028+5</f>
        <v>0</v>
      </c>
      <c r="G1029" s="1">
        <f t="shared" ref="G1029" si="2264">C1028^2-2*(D1028^2)-2*E1028+7</f>
        <v>0</v>
      </c>
      <c r="J1029" s="1">
        <f t="shared" ref="J1029" si="2265">0.5*(C1029*C1029+D1029*D1029+E1029*E1029+F1029*F1029+G1029*G1029)</f>
        <v>9.2483155929475066E-31</v>
      </c>
    </row>
    <row r="1030" spans="1:10" x14ac:dyDescent="0.25">
      <c r="C1030" s="5">
        <f t="shared" ref="C1030" si="2266">2-2*G1028</f>
        <v>2.2403028091636905</v>
      </c>
      <c r="D1030" s="6">
        <f t="shared" ref="D1030" si="2267">-2*F1028*D1028</f>
        <v>2.6091774571648809</v>
      </c>
      <c r="E1030" s="6">
        <f>0</f>
        <v>0</v>
      </c>
      <c r="F1030" s="6">
        <f t="shared" ref="F1030" si="2268">-(D1028^2)</f>
        <v>-3.7358700567866143</v>
      </c>
      <c r="G1030" s="7">
        <f t="shared" ref="G1030" si="2269">-2*C1028</f>
        <v>2.2510895668861335</v>
      </c>
    </row>
    <row r="1031" spans="1:10" x14ac:dyDescent="0.25">
      <c r="C1031" s="8">
        <f t="shared" ref="C1031" si="2270">-2*F1028*D1028</f>
        <v>2.6091774571648809</v>
      </c>
      <c r="D1031" s="1">
        <f t="shared" ref="D1031" si="2271">2-2*F1028*C1028+4*G1028</f>
        <v>0</v>
      </c>
      <c r="E1031" s="1">
        <f>0</f>
        <v>0</v>
      </c>
      <c r="F1031" s="1">
        <f t="shared" ref="F1031" si="2272">-2*C1028*D1028</f>
        <v>4.3509957203971439</v>
      </c>
      <c r="G1031" s="9">
        <f t="shared" ref="G1031" si="2273">4*D1028</f>
        <v>7.7313595769816468</v>
      </c>
    </row>
    <row r="1032" spans="1:10" x14ac:dyDescent="0.25">
      <c r="B1032" t="s">
        <v>20</v>
      </c>
      <c r="C1032" s="8">
        <f>0</f>
        <v>0</v>
      </c>
      <c r="D1032" s="1">
        <f>0</f>
        <v>0</v>
      </c>
      <c r="E1032" s="1">
        <f>4</f>
        <v>4</v>
      </c>
      <c r="F1032" s="1">
        <f>2</f>
        <v>2</v>
      </c>
      <c r="G1032" s="9">
        <f>2</f>
        <v>2</v>
      </c>
    </row>
    <row r="1033" spans="1:10" x14ac:dyDescent="0.25">
      <c r="C1033" s="8">
        <f t="shared" ref="C1033" si="2274">(D1028^2)</f>
        <v>3.7358700567866143</v>
      </c>
      <c r="D1033" s="1">
        <f t="shared" ref="D1033" si="2275">2*C1028*D1028</f>
        <v>-4.3509957203971439</v>
      </c>
      <c r="E1033" s="1">
        <f t="shared" ref="E1033:E1034" si="2276">-2</f>
        <v>-2</v>
      </c>
      <c r="F1033" s="1">
        <f>0</f>
        <v>0</v>
      </c>
      <c r="G1033" s="9">
        <f>0</f>
        <v>0</v>
      </c>
    </row>
    <row r="1034" spans="1:10" x14ac:dyDescent="0.25">
      <c r="C1034" s="10">
        <f t="shared" ref="C1034" si="2277">2*C1028</f>
        <v>-2.2510895668861335</v>
      </c>
      <c r="D1034" s="11">
        <f t="shared" ref="D1034" si="2278">-4*D1028</f>
        <v>-7.7313595769816468</v>
      </c>
      <c r="E1034" s="11">
        <f t="shared" si="2276"/>
        <v>-2</v>
      </c>
      <c r="F1034" s="11">
        <f>0</f>
        <v>0</v>
      </c>
      <c r="G1034" s="12">
        <f>0</f>
        <v>0</v>
      </c>
    </row>
    <row r="1035" spans="1:10" x14ac:dyDescent="0.25">
      <c r="B1035" t="s">
        <v>21</v>
      </c>
      <c r="C1035" s="1" cm="1">
        <f t="array" ref="C1035:G1035">-MMULT(C1029:G1029,C1030:G1034)</f>
        <v>0</v>
      </c>
      <c r="D1035" s="1">
        <v>0</v>
      </c>
      <c r="E1035" s="1">
        <v>-5.440092820663267E-15</v>
      </c>
      <c r="F1035" s="1">
        <v>-2.7200464103316335E-15</v>
      </c>
      <c r="G1035" s="1">
        <v>-2.7200464103316335E-15</v>
      </c>
    </row>
    <row r="1036" spans="1:10" x14ac:dyDescent="0.25">
      <c r="B1036" t="s">
        <v>13</v>
      </c>
      <c r="C1036" s="1">
        <f t="shared" ref="C1036" si="2279">J1029/SUMPRODUCT(_xlfn.ANCHORARRAY(C1035),_xlfn.ANCHORARRAY(C1035))</f>
        <v>2.0833333333333332E-2</v>
      </c>
    </row>
    <row r="1037" spans="1:10" x14ac:dyDescent="0.25">
      <c r="A1037" s="1" t="s">
        <v>4</v>
      </c>
      <c r="B1037" t="s">
        <v>18</v>
      </c>
      <c r="C1037" s="1" cm="1">
        <f t="array" ref="C1037:G1037">C1028:G1028+C1036*C1035:G1035</f>
        <v>-1.1255447834430667</v>
      </c>
      <c r="D1037" s="1">
        <v>1.9328398942454117</v>
      </c>
      <c r="E1037" s="1">
        <v>0.39755547298133409</v>
      </c>
      <c r="F1037" s="1">
        <v>-0.67495954138082259</v>
      </c>
      <c r="G1037" s="1">
        <v>-0.1201514045818453</v>
      </c>
    </row>
    <row r="1038" spans="1:10" x14ac:dyDescent="0.25">
      <c r="A1038" s="1">
        <v>116</v>
      </c>
      <c r="B1038" t="s">
        <v>19</v>
      </c>
      <c r="C1038" s="1">
        <f t="shared" ref="C1038" si="2280">2*C1037-F1037*(D1037^2)-2*G1037*C1037</f>
        <v>6.106226635438361E-16</v>
      </c>
      <c r="D1038" s="1">
        <f t="shared" ref="D1038" si="2281">2*D1037-2*F1037*C1037*D1037+4*G1037*D1037</f>
        <v>0</v>
      </c>
      <c r="E1038" s="1">
        <f t="shared" ref="E1038" si="2282">4*E1037+2*F1037+2*G1037</f>
        <v>5.8286708792820718E-16</v>
      </c>
      <c r="F1038" s="1">
        <f t="shared" ref="F1038" si="2283">C1037*(D1037^2)-2*E1037+5</f>
        <v>0</v>
      </c>
      <c r="G1038" s="1">
        <f t="shared" ref="G1038" si="2284">C1037^2-2*(D1037^2)-2*E1037+7</f>
        <v>0</v>
      </c>
      <c r="J1038" s="1">
        <f t="shared" ref="J1038" si="2285">0.5*(C1038*C1038+D1038*D1038+E1038*E1038+F1038*F1038+G1038*G1038)</f>
        <v>3.5629703971163863E-31</v>
      </c>
    </row>
    <row r="1039" spans="1:10" x14ac:dyDescent="0.25">
      <c r="C1039" s="5">
        <f t="shared" ref="C1039" si="2286">2-2*G1037</f>
        <v>2.2403028091636905</v>
      </c>
      <c r="D1039" s="6">
        <f t="shared" ref="D1039" si="2287">-2*F1037*D1037</f>
        <v>2.6091774571648814</v>
      </c>
      <c r="E1039" s="6">
        <f>0</f>
        <v>0</v>
      </c>
      <c r="F1039" s="6">
        <f t="shared" ref="F1039" si="2288">-(D1037^2)</f>
        <v>-3.7358700567866143</v>
      </c>
      <c r="G1039" s="7">
        <f t="shared" ref="G1039" si="2289">-2*C1037</f>
        <v>2.2510895668861335</v>
      </c>
    </row>
    <row r="1040" spans="1:10" x14ac:dyDescent="0.25">
      <c r="C1040" s="8">
        <f t="shared" ref="C1040" si="2290">-2*F1037*D1037</f>
        <v>2.6091774571648814</v>
      </c>
      <c r="D1040" s="1">
        <f t="shared" ref="D1040" si="2291">2-2*F1037*C1037+4*G1037</f>
        <v>0</v>
      </c>
      <c r="E1040" s="1">
        <f>0</f>
        <v>0</v>
      </c>
      <c r="F1040" s="1">
        <f t="shared" ref="F1040" si="2292">-2*C1037*D1037</f>
        <v>4.3509957203971439</v>
      </c>
      <c r="G1040" s="9">
        <f t="shared" ref="G1040" si="2293">4*D1037</f>
        <v>7.7313595769816468</v>
      </c>
    </row>
    <row r="1041" spans="1:10" x14ac:dyDescent="0.25">
      <c r="B1041" t="s">
        <v>20</v>
      </c>
      <c r="C1041" s="8">
        <f>0</f>
        <v>0</v>
      </c>
      <c r="D1041" s="1">
        <f>0</f>
        <v>0</v>
      </c>
      <c r="E1041" s="1">
        <f>4</f>
        <v>4</v>
      </c>
      <c r="F1041" s="1">
        <f>2</f>
        <v>2</v>
      </c>
      <c r="G1041" s="9">
        <f>2</f>
        <v>2</v>
      </c>
    </row>
    <row r="1042" spans="1:10" x14ac:dyDescent="0.25">
      <c r="C1042" s="8">
        <f t="shared" ref="C1042" si="2294">(D1037^2)</f>
        <v>3.7358700567866143</v>
      </c>
      <c r="D1042" s="1">
        <f t="shared" ref="D1042" si="2295">2*C1037*D1037</f>
        <v>-4.3509957203971439</v>
      </c>
      <c r="E1042" s="1">
        <f t="shared" ref="E1042:E1043" si="2296">-2</f>
        <v>-2</v>
      </c>
      <c r="F1042" s="1">
        <f>0</f>
        <v>0</v>
      </c>
      <c r="G1042" s="9">
        <f>0</f>
        <v>0</v>
      </c>
    </row>
    <row r="1043" spans="1:10" x14ac:dyDescent="0.25">
      <c r="C1043" s="10">
        <f t="shared" ref="C1043" si="2297">2*C1037</f>
        <v>-2.2510895668861335</v>
      </c>
      <c r="D1043" s="11">
        <f t="shared" ref="D1043" si="2298">-4*D1037</f>
        <v>-7.7313595769816468</v>
      </c>
      <c r="E1043" s="11">
        <f t="shared" si="2296"/>
        <v>-2</v>
      </c>
      <c r="F1043" s="11">
        <f>0</f>
        <v>0</v>
      </c>
      <c r="G1043" s="12">
        <f>0</f>
        <v>0</v>
      </c>
    </row>
    <row r="1044" spans="1:10" x14ac:dyDescent="0.25">
      <c r="B1044" t="s">
        <v>21</v>
      </c>
      <c r="C1044" s="1" cm="1">
        <f t="array" ref="C1044:G1044">-MMULT(C1038:G1038,C1039:G1043)</f>
        <v>-1.367979668476271E-15</v>
      </c>
      <c r="D1044" s="1">
        <v>-1.5932228885525532E-15</v>
      </c>
      <c r="E1044" s="1">
        <v>-2.3314683517128287E-15</v>
      </c>
      <c r="F1044" s="1">
        <v>1.1154727488722905E-15</v>
      </c>
      <c r="G1044" s="1">
        <v>-2.5403004830641655E-15</v>
      </c>
    </row>
    <row r="1045" spans="1:10" x14ac:dyDescent="0.25">
      <c r="B1045" t="s">
        <v>13</v>
      </c>
      <c r="C1045" s="1">
        <f t="shared" ref="C1045" si="2299">J1038/SUMPRODUCT(_xlfn.ANCHORARRAY(C1044),_xlfn.ANCHORARRAY(C1044))</f>
        <v>2.031006743984335E-2</v>
      </c>
    </row>
    <row r="1046" spans="1:10" x14ac:dyDescent="0.25">
      <c r="A1046" s="1" t="s">
        <v>4</v>
      </c>
      <c r="B1046" t="s">
        <v>18</v>
      </c>
      <c r="C1046" s="1" cm="1">
        <f t="array" ref="C1046:G1046">C1037:G1037+C1045*C1044:G1044</f>
        <v>-1.1255447834430667</v>
      </c>
      <c r="D1046" s="1">
        <v>1.9328398942454117</v>
      </c>
      <c r="E1046" s="1">
        <v>0.39755547298133403</v>
      </c>
      <c r="F1046" s="1">
        <v>-0.67495954138082259</v>
      </c>
      <c r="G1046" s="1">
        <v>-0.12015140458184535</v>
      </c>
    </row>
    <row r="1047" spans="1:10" x14ac:dyDescent="0.25">
      <c r="A1047" s="1">
        <v>117</v>
      </c>
      <c r="B1047" t="s">
        <v>19</v>
      </c>
      <c r="C1047" s="1">
        <f t="shared" ref="C1047" si="2300">2*C1046-F1046*(D1046^2)-2*G1046*C1046</f>
        <v>4.4408920985006262E-16</v>
      </c>
      <c r="D1047" s="1">
        <f t="shared" ref="D1047" si="2301">2*D1046-2*F1046*C1046*D1046+4*G1046*D1046</f>
        <v>-1.1102230246251565E-15</v>
      </c>
      <c r="E1047" s="1">
        <f t="shared" ref="E1047" si="2302">4*E1046+2*F1046+2*G1046</f>
        <v>2.4980018054066022E-16</v>
      </c>
      <c r="F1047" s="1">
        <f t="shared" ref="F1047" si="2303">C1046*(D1046^2)-2*E1046+5</f>
        <v>0</v>
      </c>
      <c r="G1047" s="1">
        <f t="shared" ref="G1047" si="2304">C1046^2-2*(D1046^2)-2*E1046+7</f>
        <v>0</v>
      </c>
      <c r="J1047" s="1">
        <f t="shared" ref="J1047" si="2305">0.5*(C1047*C1047+D1047*D1047+E1047*E1047+F1047*F1047+G1047*G1047)</f>
        <v>7.4610526045561517E-31</v>
      </c>
    </row>
    <row r="1048" spans="1:10" x14ac:dyDescent="0.25">
      <c r="C1048" s="5">
        <f t="shared" ref="C1048" si="2306">2-2*G1046</f>
        <v>2.2403028091636905</v>
      </c>
      <c r="D1048" s="6">
        <f t="shared" ref="D1048" si="2307">-2*F1046*D1046</f>
        <v>2.6091774571648814</v>
      </c>
      <c r="E1048" s="6">
        <f>0</f>
        <v>0</v>
      </c>
      <c r="F1048" s="6">
        <f t="shared" ref="F1048" si="2308">-(D1046^2)</f>
        <v>-3.7358700567866143</v>
      </c>
      <c r="G1048" s="7">
        <f t="shared" ref="G1048" si="2309">-2*C1046</f>
        <v>2.2510895668861335</v>
      </c>
    </row>
    <row r="1049" spans="1:10" x14ac:dyDescent="0.25">
      <c r="C1049" s="8">
        <f t="shared" ref="C1049" si="2310">-2*F1046*D1046</f>
        <v>2.6091774571648814</v>
      </c>
      <c r="D1049" s="1">
        <f t="shared" ref="D1049" si="2311">2-2*F1046*C1046+4*G1046</f>
        <v>-6.106226635438361E-16</v>
      </c>
      <c r="E1049" s="1">
        <f>0</f>
        <v>0</v>
      </c>
      <c r="F1049" s="1">
        <f t="shared" ref="F1049" si="2312">-2*C1046*D1046</f>
        <v>4.3509957203971439</v>
      </c>
      <c r="G1049" s="9">
        <f t="shared" ref="G1049" si="2313">4*D1046</f>
        <v>7.7313595769816468</v>
      </c>
    </row>
    <row r="1050" spans="1:10" x14ac:dyDescent="0.25">
      <c r="B1050" t="s">
        <v>20</v>
      </c>
      <c r="C1050" s="8">
        <f>0</f>
        <v>0</v>
      </c>
      <c r="D1050" s="1">
        <f>0</f>
        <v>0</v>
      </c>
      <c r="E1050" s="1">
        <f>4</f>
        <v>4</v>
      </c>
      <c r="F1050" s="1">
        <f>2</f>
        <v>2</v>
      </c>
      <c r="G1050" s="9">
        <f>2</f>
        <v>2</v>
      </c>
    </row>
    <row r="1051" spans="1:10" x14ac:dyDescent="0.25">
      <c r="C1051" s="8">
        <f t="shared" ref="C1051" si="2314">(D1046^2)</f>
        <v>3.7358700567866143</v>
      </c>
      <c r="D1051" s="1">
        <f t="shared" ref="D1051" si="2315">2*C1046*D1046</f>
        <v>-4.3509957203971439</v>
      </c>
      <c r="E1051" s="1">
        <f t="shared" ref="E1051:E1052" si="2316">-2</f>
        <v>-2</v>
      </c>
      <c r="F1051" s="1">
        <f>0</f>
        <v>0</v>
      </c>
      <c r="G1051" s="9">
        <f>0</f>
        <v>0</v>
      </c>
    </row>
    <row r="1052" spans="1:10" x14ac:dyDescent="0.25">
      <c r="C1052" s="10">
        <f t="shared" ref="C1052" si="2317">2*C1046</f>
        <v>-2.2510895668861335</v>
      </c>
      <c r="D1052" s="11">
        <f t="shared" ref="D1052" si="2318">-4*D1046</f>
        <v>-7.7313595769816468</v>
      </c>
      <c r="E1052" s="11">
        <f t="shared" si="2316"/>
        <v>-2</v>
      </c>
      <c r="F1052" s="11">
        <f>0</f>
        <v>0</v>
      </c>
      <c r="G1052" s="12">
        <f>0</f>
        <v>0</v>
      </c>
    </row>
    <row r="1053" spans="1:10" x14ac:dyDescent="0.25">
      <c r="B1053" t="s">
        <v>21</v>
      </c>
      <c r="C1053" s="1" cm="1">
        <f t="array" ref="C1053:G1053">-MMULT(C1047:G1047,C1048:G1052)</f>
        <v>1.9018745839309904E-15</v>
      </c>
      <c r="D1053" s="1">
        <v>-1.1587075553109484E-15</v>
      </c>
      <c r="E1053" s="1">
        <v>-9.9920072216264089E-16</v>
      </c>
      <c r="F1053" s="1">
        <v>5.9900348493699849E-15</v>
      </c>
      <c r="G1053" s="1">
        <v>7.0842484658797323E-15</v>
      </c>
    </row>
    <row r="1054" spans="1:10" x14ac:dyDescent="0.25">
      <c r="B1054" t="s">
        <v>13</v>
      </c>
      <c r="C1054" s="1">
        <f t="shared" ref="C1054" si="2319">J1047/SUMPRODUCT(_xlfn.ANCHORARRAY(C1053),_xlfn.ANCHORARRAY(C1053))</f>
        <v>8.1076167109699424E-3</v>
      </c>
    </row>
    <row r="1055" spans="1:10" x14ac:dyDescent="0.25">
      <c r="A1055" s="1" t="s">
        <v>4</v>
      </c>
      <c r="B1055" t="s">
        <v>18</v>
      </c>
      <c r="C1055" s="1" cm="1">
        <f t="array" ref="C1055:G1055">C1046:G1046+C1054*C1053:G1053</f>
        <v>-1.1255447834430667</v>
      </c>
      <c r="D1055" s="1">
        <v>1.9328398942454117</v>
      </c>
      <c r="E1055" s="1">
        <v>0.39755547298133403</v>
      </c>
      <c r="F1055" s="1">
        <v>-0.67495954138082259</v>
      </c>
      <c r="G1055" s="1">
        <v>-0.1201514045818453</v>
      </c>
    </row>
    <row r="1056" spans="1:10" x14ac:dyDescent="0.25">
      <c r="A1056" s="1">
        <v>118</v>
      </c>
      <c r="B1056" t="s">
        <v>19</v>
      </c>
      <c r="C1056" s="1">
        <f t="shared" ref="C1056" si="2320">2*C1055-F1055*(D1055^2)-2*G1055*C1055</f>
        <v>6.106226635438361E-16</v>
      </c>
      <c r="D1056" s="1">
        <f t="shared" ref="D1056" si="2321">2*D1055-2*F1055*C1055*D1055+4*G1055*D1055</f>
        <v>0</v>
      </c>
      <c r="E1056" s="1">
        <f t="shared" ref="E1056" si="2322">4*E1055+2*F1055+2*G1055</f>
        <v>3.6082248300317588E-16</v>
      </c>
      <c r="F1056" s="1">
        <f t="shared" ref="F1056" si="2323">C1055*(D1055^2)-2*E1055+5</f>
        <v>0</v>
      </c>
      <c r="G1056" s="1">
        <f t="shared" ref="G1056" si="2324">C1055^2-2*(D1055^2)-2*E1055+7</f>
        <v>0</v>
      </c>
      <c r="J1056" s="1">
        <f t="shared" ref="J1056" si="2325">0.5*(C1056*C1056+D1056*D1056+E1056*E1056+F1056*F1056+G1056*G1056)</f>
        <v>2.51526450736973E-31</v>
      </c>
    </row>
    <row r="1057" spans="1:10" x14ac:dyDescent="0.25">
      <c r="C1057" s="5">
        <f t="shared" ref="C1057" si="2326">2-2*G1055</f>
        <v>2.2403028091636905</v>
      </c>
      <c r="D1057" s="6">
        <f t="shared" ref="D1057" si="2327">-2*F1055*D1055</f>
        <v>2.6091774571648814</v>
      </c>
      <c r="E1057" s="6">
        <f>0</f>
        <v>0</v>
      </c>
      <c r="F1057" s="6">
        <f t="shared" ref="F1057" si="2328">-(D1055^2)</f>
        <v>-3.7358700567866143</v>
      </c>
      <c r="G1057" s="7">
        <f t="shared" ref="G1057" si="2329">-2*C1055</f>
        <v>2.2510895668861335</v>
      </c>
    </row>
    <row r="1058" spans="1:10" x14ac:dyDescent="0.25">
      <c r="C1058" s="8">
        <f t="shared" ref="C1058" si="2330">-2*F1055*D1055</f>
        <v>2.6091774571648814</v>
      </c>
      <c r="D1058" s="1">
        <f t="shared" ref="D1058" si="2331">2-2*F1055*C1055+4*G1055</f>
        <v>0</v>
      </c>
      <c r="E1058" s="1">
        <f>0</f>
        <v>0</v>
      </c>
      <c r="F1058" s="1">
        <f t="shared" ref="F1058" si="2332">-2*C1055*D1055</f>
        <v>4.3509957203971439</v>
      </c>
      <c r="G1058" s="9">
        <f t="shared" ref="G1058" si="2333">4*D1055</f>
        <v>7.7313595769816468</v>
      </c>
    </row>
    <row r="1059" spans="1:10" x14ac:dyDescent="0.25">
      <c r="B1059" t="s">
        <v>20</v>
      </c>
      <c r="C1059" s="8">
        <f>0</f>
        <v>0</v>
      </c>
      <c r="D1059" s="1">
        <f>0</f>
        <v>0</v>
      </c>
      <c r="E1059" s="1">
        <f>4</f>
        <v>4</v>
      </c>
      <c r="F1059" s="1">
        <f>2</f>
        <v>2</v>
      </c>
      <c r="G1059" s="9">
        <f>2</f>
        <v>2</v>
      </c>
    </row>
    <row r="1060" spans="1:10" x14ac:dyDescent="0.25">
      <c r="C1060" s="8">
        <f t="shared" ref="C1060" si="2334">(D1055^2)</f>
        <v>3.7358700567866143</v>
      </c>
      <c r="D1060" s="1">
        <f t="shared" ref="D1060" si="2335">2*C1055*D1055</f>
        <v>-4.3509957203971439</v>
      </c>
      <c r="E1060" s="1">
        <f t="shared" ref="E1060:E1061" si="2336">-2</f>
        <v>-2</v>
      </c>
      <c r="F1060" s="1">
        <f>0</f>
        <v>0</v>
      </c>
      <c r="G1060" s="9">
        <f>0</f>
        <v>0</v>
      </c>
    </row>
    <row r="1061" spans="1:10" x14ac:dyDescent="0.25">
      <c r="C1061" s="10">
        <f t="shared" ref="C1061" si="2337">2*C1055</f>
        <v>-2.2510895668861335</v>
      </c>
      <c r="D1061" s="11">
        <f t="shared" ref="D1061" si="2338">-4*D1055</f>
        <v>-7.7313595769816468</v>
      </c>
      <c r="E1061" s="11">
        <f t="shared" si="2336"/>
        <v>-2</v>
      </c>
      <c r="F1061" s="11">
        <f>0</f>
        <v>0</v>
      </c>
      <c r="G1061" s="12">
        <f>0</f>
        <v>0</v>
      </c>
    </row>
    <row r="1062" spans="1:10" x14ac:dyDescent="0.25">
      <c r="B1062" t="s">
        <v>21</v>
      </c>
      <c r="C1062" s="1" cm="1">
        <f t="array" ref="C1062:G1062">-MMULT(C1056:G1056,C1057:G1061)</f>
        <v>-1.367979668476271E-15</v>
      </c>
      <c r="D1062" s="1">
        <v>-1.5932228885525532E-15</v>
      </c>
      <c r="E1062" s="1">
        <v>-1.4432899320127035E-15</v>
      </c>
      <c r="F1062" s="1">
        <v>1.5595619587223531E-15</v>
      </c>
      <c r="G1062" s="1">
        <v>-2.0962112732141029E-15</v>
      </c>
    </row>
    <row r="1063" spans="1:10" x14ac:dyDescent="0.25">
      <c r="B1063" t="s">
        <v>13</v>
      </c>
      <c r="C1063" s="1">
        <f t="shared" ref="C1063" si="2339">J1056/SUMPRODUCT(_xlfn.ANCHORARRAY(C1062),_xlfn.ANCHORARRAY(C1062))</f>
        <v>1.8884574283981964E-2</v>
      </c>
    </row>
    <row r="1064" spans="1:10" x14ac:dyDescent="0.25">
      <c r="A1064" s="1" t="s">
        <v>4</v>
      </c>
      <c r="B1064" t="s">
        <v>18</v>
      </c>
      <c r="C1064" s="1" cm="1">
        <f t="array" ref="C1064:G1064">C1055:G1055+C1063*C1062:G1062</f>
        <v>-1.1255447834430667</v>
      </c>
      <c r="D1064" s="1">
        <v>1.9328398942454117</v>
      </c>
      <c r="E1064" s="1">
        <v>0.39755547298133403</v>
      </c>
      <c r="F1064" s="1">
        <v>-0.67495954138082259</v>
      </c>
      <c r="G1064" s="1">
        <v>-0.12015140458184534</v>
      </c>
    </row>
    <row r="1065" spans="1:10" x14ac:dyDescent="0.25">
      <c r="A1065" s="1">
        <v>119</v>
      </c>
      <c r="B1065" t="s">
        <v>19</v>
      </c>
      <c r="C1065" s="1">
        <f t="shared" ref="C1065" si="2340">2*C1064-F1064*(D1064^2)-2*G1064*C1064</f>
        <v>4.9960036108132044E-16</v>
      </c>
      <c r="D1065" s="1">
        <f t="shared" ref="D1065" si="2341">2*D1064-2*F1064*C1064*D1064+4*G1064*D1064</f>
        <v>-9.9920072216264089E-16</v>
      </c>
      <c r="E1065" s="1">
        <f t="shared" ref="E1065" si="2342">4*E1064+2*F1064+2*G1064</f>
        <v>2.7755575615628914E-16</v>
      </c>
      <c r="F1065" s="1">
        <f t="shared" ref="F1065" si="2343">C1064*(D1064^2)-2*E1064+5</f>
        <v>0</v>
      </c>
      <c r="G1065" s="1">
        <f t="shared" ref="G1065" si="2344">C1064^2-2*(D1064^2)-2*E1064+7</f>
        <v>0</v>
      </c>
      <c r="J1065" s="1">
        <f t="shared" ref="J1065" si="2345">0.5*(C1065*C1065+D1065*D1065+E1065*E1065+F1065*F1065+G1065*G1065)</f>
        <v>6.6251990086920913E-31</v>
      </c>
    </row>
    <row r="1066" spans="1:10" x14ac:dyDescent="0.25">
      <c r="C1066" s="5">
        <f t="shared" ref="C1066" si="2346">2-2*G1064</f>
        <v>2.2403028091636905</v>
      </c>
      <c r="D1066" s="6">
        <f t="shared" ref="D1066" si="2347">-2*F1064*D1064</f>
        <v>2.6091774571648814</v>
      </c>
      <c r="E1066" s="6">
        <f>0</f>
        <v>0</v>
      </c>
      <c r="F1066" s="6">
        <f t="shared" ref="F1066" si="2348">-(D1064^2)</f>
        <v>-3.7358700567866143</v>
      </c>
      <c r="G1066" s="7">
        <f t="shared" ref="G1066" si="2349">-2*C1064</f>
        <v>2.2510895668861335</v>
      </c>
    </row>
    <row r="1067" spans="1:10" x14ac:dyDescent="0.25">
      <c r="C1067" s="8">
        <f t="shared" ref="C1067" si="2350">-2*F1064*D1064</f>
        <v>2.6091774571648814</v>
      </c>
      <c r="D1067" s="1">
        <f t="shared" ref="D1067" si="2351">2-2*F1064*C1064+4*G1064</f>
        <v>-5.5511151231257827E-16</v>
      </c>
      <c r="E1067" s="1">
        <f>0</f>
        <v>0</v>
      </c>
      <c r="F1067" s="1">
        <f t="shared" ref="F1067" si="2352">-2*C1064*D1064</f>
        <v>4.3509957203971439</v>
      </c>
      <c r="G1067" s="9">
        <f t="shared" ref="G1067" si="2353">4*D1064</f>
        <v>7.7313595769816468</v>
      </c>
    </row>
    <row r="1068" spans="1:10" x14ac:dyDescent="0.25">
      <c r="B1068" t="s">
        <v>20</v>
      </c>
      <c r="C1068" s="8">
        <f>0</f>
        <v>0</v>
      </c>
      <c r="D1068" s="1">
        <f>0</f>
        <v>0</v>
      </c>
      <c r="E1068" s="1">
        <f>4</f>
        <v>4</v>
      </c>
      <c r="F1068" s="1">
        <f>2</f>
        <v>2</v>
      </c>
      <c r="G1068" s="9">
        <f>2</f>
        <v>2</v>
      </c>
    </row>
    <row r="1069" spans="1:10" x14ac:dyDescent="0.25">
      <c r="C1069" s="8">
        <f t="shared" ref="C1069" si="2354">(D1064^2)</f>
        <v>3.7358700567866143</v>
      </c>
      <c r="D1069" s="1">
        <f t="shared" ref="D1069" si="2355">2*C1064*D1064</f>
        <v>-4.3509957203971439</v>
      </c>
      <c r="E1069" s="1">
        <f t="shared" ref="E1069:E1070" si="2356">-2</f>
        <v>-2</v>
      </c>
      <c r="F1069" s="1">
        <f>0</f>
        <v>0</v>
      </c>
      <c r="G1069" s="9">
        <f>0</f>
        <v>0</v>
      </c>
    </row>
    <row r="1070" spans="1:10" x14ac:dyDescent="0.25">
      <c r="C1070" s="10">
        <f t="shared" ref="C1070" si="2357">2*C1064</f>
        <v>-2.2510895668861335</v>
      </c>
      <c r="D1070" s="11">
        <f t="shared" ref="D1070" si="2358">-4*D1064</f>
        <v>-7.7313595769816468</v>
      </c>
      <c r="E1070" s="11">
        <f t="shared" si="2356"/>
        <v>-2</v>
      </c>
      <c r="F1070" s="11">
        <f>0</f>
        <v>0</v>
      </c>
      <c r="G1070" s="12">
        <f>0</f>
        <v>0</v>
      </c>
    </row>
    <row r="1071" spans="1:10" x14ac:dyDescent="0.25">
      <c r="B1071" t="s">
        <v>21</v>
      </c>
      <c r="C1071" s="1" cm="1">
        <f t="array" ref="C1071:G1071">-MMULT(C1065:G1065,C1066:G1070)</f>
        <v>1.4878359070599563E-15</v>
      </c>
      <c r="D1071" s="1">
        <v>-1.3035459997248169E-15</v>
      </c>
      <c r="E1071" s="1">
        <v>-1.1102230246251565E-15</v>
      </c>
      <c r="F1071" s="1">
        <v>5.6588485829582934E-15</v>
      </c>
      <c r="G1071" s="1">
        <v>6.0454233998638281E-15</v>
      </c>
    </row>
    <row r="1072" spans="1:10" x14ac:dyDescent="0.25">
      <c r="B1072" t="s">
        <v>13</v>
      </c>
      <c r="C1072" s="1">
        <f t="shared" ref="C1072" si="2359">J1065/SUMPRODUCT(_xlfn.ANCHORARRAY(C1071),_xlfn.ANCHORARRAY(C1071))</f>
        <v>8.9875622838430091E-3</v>
      </c>
    </row>
    <row r="1073" spans="1:10" x14ac:dyDescent="0.25">
      <c r="A1073" s="1" t="s">
        <v>4</v>
      </c>
      <c r="B1073" t="s">
        <v>18</v>
      </c>
      <c r="C1073" s="1" cm="1">
        <f t="array" ref="C1073:G1073">C1064:G1064+C1072*C1071:G1071</f>
        <v>-1.1255447834430667</v>
      </c>
      <c r="D1073" s="1">
        <v>1.9328398942454117</v>
      </c>
      <c r="E1073" s="1">
        <v>0.39755547298133403</v>
      </c>
      <c r="F1073" s="1">
        <v>-0.67495954138082259</v>
      </c>
      <c r="G1073" s="1">
        <v>-0.12015140458184528</v>
      </c>
    </row>
    <row r="1074" spans="1:10" x14ac:dyDescent="0.25">
      <c r="A1074" s="1">
        <v>120</v>
      </c>
      <c r="B1074" t="s">
        <v>19</v>
      </c>
      <c r="C1074" s="1">
        <f t="shared" ref="C1074" si="2360">2*C1073-F1073*(D1073^2)-2*G1073*C1073</f>
        <v>6.106226635438361E-16</v>
      </c>
      <c r="D1074" s="1">
        <f t="shared" ref="D1074" si="2361">2*D1073-2*F1073*C1073*D1073+4*G1073*D1073</f>
        <v>0</v>
      </c>
      <c r="E1074" s="1">
        <f t="shared" ref="E1074" si="2362">4*E1073+2*F1073+2*G1073</f>
        <v>3.8857805861880479E-16</v>
      </c>
      <c r="F1074" s="1">
        <f t="shared" ref="F1074" si="2363">C1073*(D1073^2)-2*E1073+5</f>
        <v>0</v>
      </c>
      <c r="G1074" s="1">
        <f t="shared" ref="G1074" si="2364">C1073^2-2*(D1073^2)-2*E1073+7</f>
        <v>0</v>
      </c>
      <c r="J1074" s="1">
        <f t="shared" ref="J1074" si="2365">0.5*(C1074*C1074+D1074*D1074+E1074*E1074+F1074*F1074+G1074*G1074)</f>
        <v>2.6192647243666408E-31</v>
      </c>
    </row>
    <row r="1075" spans="1:10" x14ac:dyDescent="0.25">
      <c r="C1075" s="5">
        <f t="shared" ref="C1075" si="2366">2-2*G1073</f>
        <v>2.2403028091636905</v>
      </c>
      <c r="D1075" s="6">
        <f t="shared" ref="D1075" si="2367">-2*F1073*D1073</f>
        <v>2.6091774571648814</v>
      </c>
      <c r="E1075" s="6">
        <f>0</f>
        <v>0</v>
      </c>
      <c r="F1075" s="6">
        <f t="shared" ref="F1075" si="2368">-(D1073^2)</f>
        <v>-3.7358700567866143</v>
      </c>
      <c r="G1075" s="7">
        <f t="shared" ref="G1075" si="2369">-2*C1073</f>
        <v>2.2510895668861335</v>
      </c>
    </row>
    <row r="1076" spans="1:10" x14ac:dyDescent="0.25">
      <c r="C1076" s="8">
        <f t="shared" ref="C1076" si="2370">-2*F1073*D1073</f>
        <v>2.6091774571648814</v>
      </c>
      <c r="D1076" s="1">
        <f t="shared" ref="D1076" si="2371">2-2*F1073*C1073+4*G1073</f>
        <v>0</v>
      </c>
      <c r="E1076" s="1">
        <f>0</f>
        <v>0</v>
      </c>
      <c r="F1076" s="1">
        <f t="shared" ref="F1076" si="2372">-2*C1073*D1073</f>
        <v>4.3509957203971439</v>
      </c>
      <c r="G1076" s="9">
        <f t="shared" ref="G1076" si="2373">4*D1073</f>
        <v>7.7313595769816468</v>
      </c>
    </row>
    <row r="1077" spans="1:10" x14ac:dyDescent="0.25">
      <c r="B1077" t="s">
        <v>20</v>
      </c>
      <c r="C1077" s="8">
        <f>0</f>
        <v>0</v>
      </c>
      <c r="D1077" s="1">
        <f>0</f>
        <v>0</v>
      </c>
      <c r="E1077" s="1">
        <f>4</f>
        <v>4</v>
      </c>
      <c r="F1077" s="1">
        <f>2</f>
        <v>2</v>
      </c>
      <c r="G1077" s="9">
        <f>2</f>
        <v>2</v>
      </c>
    </row>
    <row r="1078" spans="1:10" x14ac:dyDescent="0.25">
      <c r="C1078" s="8">
        <f t="shared" ref="C1078" si="2374">(D1073^2)</f>
        <v>3.7358700567866143</v>
      </c>
      <c r="D1078" s="1">
        <f t="shared" ref="D1078" si="2375">2*C1073*D1073</f>
        <v>-4.3509957203971439</v>
      </c>
      <c r="E1078" s="1">
        <f t="shared" ref="E1078:E1079" si="2376">-2</f>
        <v>-2</v>
      </c>
      <c r="F1078" s="1">
        <f>0</f>
        <v>0</v>
      </c>
      <c r="G1078" s="9">
        <f>0</f>
        <v>0</v>
      </c>
    </row>
    <row r="1079" spans="1:10" x14ac:dyDescent="0.25">
      <c r="C1079" s="10">
        <f t="shared" ref="C1079" si="2377">2*C1073</f>
        <v>-2.2510895668861335</v>
      </c>
      <c r="D1079" s="11">
        <f t="shared" ref="D1079" si="2378">-4*D1073</f>
        <v>-7.7313595769816468</v>
      </c>
      <c r="E1079" s="11">
        <f t="shared" si="2376"/>
        <v>-2</v>
      </c>
      <c r="F1079" s="11">
        <f>0</f>
        <v>0</v>
      </c>
      <c r="G1079" s="12">
        <f>0</f>
        <v>0</v>
      </c>
    </row>
    <row r="1080" spans="1:10" x14ac:dyDescent="0.25">
      <c r="B1080" t="s">
        <v>21</v>
      </c>
      <c r="C1080" s="1" cm="1">
        <f t="array" ref="C1080:G1080">-MMULT(C1074:G1074,C1075:G1079)</f>
        <v>-1.367979668476271E-15</v>
      </c>
      <c r="D1080" s="1">
        <v>-1.5932228885525532E-15</v>
      </c>
      <c r="E1080" s="1">
        <v>-1.5543122344752192E-15</v>
      </c>
      <c r="F1080" s="1">
        <v>1.5040508074910952E-15</v>
      </c>
      <c r="G1080" s="1">
        <v>-2.1517224244453607E-15</v>
      </c>
    </row>
    <row r="1081" spans="1:10" x14ac:dyDescent="0.25">
      <c r="B1081" t="s">
        <v>13</v>
      </c>
      <c r="C1081" s="1">
        <f t="shared" ref="C1081" si="2379">J1074/SUMPRODUCT(_xlfn.ANCHORARRAY(C1080),_xlfn.ANCHORARRAY(C1080))</f>
        <v>1.9094062388124791E-2</v>
      </c>
    </row>
    <row r="1082" spans="1:10" x14ac:dyDescent="0.25">
      <c r="A1082" s="1" t="s">
        <v>4</v>
      </c>
      <c r="B1082" t="s">
        <v>18</v>
      </c>
      <c r="C1082" s="1" cm="1">
        <f t="array" ref="C1082:G1082">C1073:G1073+C1081*C1080:G1080</f>
        <v>-1.1255447834430667</v>
      </c>
      <c r="D1082" s="1">
        <v>1.9328398942454117</v>
      </c>
      <c r="E1082" s="1">
        <v>0.39755547298133398</v>
      </c>
      <c r="F1082" s="1">
        <v>-0.67495954138082259</v>
      </c>
      <c r="G1082" s="1">
        <v>-0.12015140458184533</v>
      </c>
    </row>
    <row r="1083" spans="1:10" x14ac:dyDescent="0.25">
      <c r="A1083" s="1">
        <v>121</v>
      </c>
      <c r="B1083" t="s">
        <v>19</v>
      </c>
      <c r="C1083" s="1">
        <f t="shared" ref="C1083" si="2380">2*C1082-F1082*(D1082^2)-2*G1082*C1082</f>
        <v>5.5511151231257827E-16</v>
      </c>
      <c r="D1083" s="1">
        <f t="shared" ref="D1083" si="2381">2*D1082-2*F1082*C1082*D1082+4*G1082*D1082</f>
        <v>-8.8817841970012523E-16</v>
      </c>
      <c r="E1083" s="1">
        <f t="shared" ref="E1083" si="2382">4*E1082+2*F1082+2*G1082</f>
        <v>0</v>
      </c>
      <c r="F1083" s="1">
        <f t="shared" ref="F1083" si="2383">C1082*(D1082^2)-2*E1082+5</f>
        <v>0</v>
      </c>
      <c r="G1083" s="1">
        <f t="shared" ref="G1083" si="2384">C1082^2-2*(D1082^2)-2*E1082+7</f>
        <v>0</v>
      </c>
      <c r="J1083" s="1">
        <f t="shared" ref="J1083" si="2385">0.5*(C1083*C1083+D1083*D1083+E1083*E1083+F1083*F1083+G1083*G1083)</f>
        <v>5.4850484816148477E-31</v>
      </c>
    </row>
    <row r="1084" spans="1:10" x14ac:dyDescent="0.25">
      <c r="C1084" s="5">
        <f t="shared" ref="C1084" si="2386">2-2*G1082</f>
        <v>2.2403028091636905</v>
      </c>
      <c r="D1084" s="6">
        <f t="shared" ref="D1084" si="2387">-2*F1082*D1082</f>
        <v>2.6091774571648814</v>
      </c>
      <c r="E1084" s="6">
        <f>0</f>
        <v>0</v>
      </c>
      <c r="F1084" s="6">
        <f t="shared" ref="F1084" si="2388">-(D1082^2)</f>
        <v>-3.7358700567866143</v>
      </c>
      <c r="G1084" s="7">
        <f t="shared" ref="G1084" si="2389">-2*C1082</f>
        <v>2.2510895668861335</v>
      </c>
    </row>
    <row r="1085" spans="1:10" x14ac:dyDescent="0.25">
      <c r="C1085" s="8">
        <f t="shared" ref="C1085" si="2390">-2*F1082*D1082</f>
        <v>2.6091774571648814</v>
      </c>
      <c r="D1085" s="1">
        <f t="shared" ref="D1085" si="2391">2-2*F1082*C1082+4*G1082</f>
        <v>-4.9960036108132044E-16</v>
      </c>
      <c r="E1085" s="1">
        <f>0</f>
        <v>0</v>
      </c>
      <c r="F1085" s="1">
        <f t="shared" ref="F1085" si="2392">-2*C1082*D1082</f>
        <v>4.3509957203971439</v>
      </c>
      <c r="G1085" s="9">
        <f t="shared" ref="G1085" si="2393">4*D1082</f>
        <v>7.7313595769816468</v>
      </c>
    </row>
    <row r="1086" spans="1:10" x14ac:dyDescent="0.25">
      <c r="B1086" t="s">
        <v>20</v>
      </c>
      <c r="C1086" s="8">
        <f>0</f>
        <v>0</v>
      </c>
      <c r="D1086" s="1">
        <f>0</f>
        <v>0</v>
      </c>
      <c r="E1086" s="1">
        <f>4</f>
        <v>4</v>
      </c>
      <c r="F1086" s="1">
        <f>2</f>
        <v>2</v>
      </c>
      <c r="G1086" s="9">
        <f>2</f>
        <v>2</v>
      </c>
    </row>
    <row r="1087" spans="1:10" x14ac:dyDescent="0.25">
      <c r="C1087" s="8">
        <f t="shared" ref="C1087" si="2394">(D1082^2)</f>
        <v>3.7358700567866143</v>
      </c>
      <c r="D1087" s="1">
        <f t="shared" ref="D1087" si="2395">2*C1082*D1082</f>
        <v>-4.3509957203971439</v>
      </c>
      <c r="E1087" s="1">
        <f t="shared" ref="E1087:E1088" si="2396">-2</f>
        <v>-2</v>
      </c>
      <c r="F1087" s="1">
        <f>0</f>
        <v>0</v>
      </c>
      <c r="G1087" s="9">
        <f>0</f>
        <v>0</v>
      </c>
    </row>
    <row r="1088" spans="1:10" x14ac:dyDescent="0.25">
      <c r="C1088" s="10">
        <f t="shared" ref="C1088" si="2397">2*C1082</f>
        <v>-2.2510895668861335</v>
      </c>
      <c r="D1088" s="11">
        <f t="shared" ref="D1088" si="2398">-4*D1082</f>
        <v>-7.7313595769816468</v>
      </c>
      <c r="E1088" s="11">
        <f t="shared" si="2396"/>
        <v>-2</v>
      </c>
      <c r="F1088" s="11">
        <f>0</f>
        <v>0</v>
      </c>
      <c r="G1088" s="12">
        <f>0</f>
        <v>0</v>
      </c>
    </row>
    <row r="1089" spans="1:10" x14ac:dyDescent="0.25">
      <c r="B1089" t="s">
        <v>21</v>
      </c>
      <c r="C1089" s="1" cm="1">
        <f t="array" ref="C1089:G1089">-MMULT(C1083:G1083,C1084:G1088)</f>
        <v>1.0737972301889219E-15</v>
      </c>
      <c r="D1089" s="1">
        <v>-1.448384444138685E-15</v>
      </c>
      <c r="E1089" s="1">
        <v>0</v>
      </c>
      <c r="F1089" s="1">
        <v>5.9382849800904388E-15</v>
      </c>
      <c r="G1089" s="1">
        <v>5.6172209973917592E-15</v>
      </c>
    </row>
    <row r="1090" spans="1:10" x14ac:dyDescent="0.25">
      <c r="B1090" t="s">
        <v>13</v>
      </c>
      <c r="C1090" s="1">
        <f t="shared" ref="C1090" si="2399">J1083/SUMPRODUCT(_xlfn.ANCHORARRAY(C1089),_xlfn.ANCHORARRAY(C1089))</f>
        <v>7.828261901978455E-3</v>
      </c>
    </row>
    <row r="1091" spans="1:10" x14ac:dyDescent="0.25">
      <c r="A1091" s="1" t="s">
        <v>4</v>
      </c>
      <c r="B1091" t="s">
        <v>18</v>
      </c>
      <c r="C1091" s="1" cm="1">
        <f t="array" ref="C1091:G1091">C1082:G1082+C1090*C1089:G1089</f>
        <v>-1.1255447834430667</v>
      </c>
      <c r="D1091" s="1">
        <v>1.9328398942454117</v>
      </c>
      <c r="E1091" s="1">
        <v>0.39755547298133398</v>
      </c>
      <c r="F1091" s="1">
        <v>-0.67495954138082259</v>
      </c>
      <c r="G1091" s="1">
        <v>-0.12015140458184528</v>
      </c>
    </row>
    <row r="1092" spans="1:10" x14ac:dyDescent="0.25">
      <c r="A1092" s="1">
        <v>122</v>
      </c>
      <c r="B1092" t="s">
        <v>19</v>
      </c>
      <c r="C1092" s="1">
        <f t="shared" ref="C1092" si="2400">2*C1091-F1091*(D1091^2)-2*G1091*C1091</f>
        <v>6.106226635438361E-16</v>
      </c>
      <c r="D1092" s="1">
        <f t="shared" ref="D1092" si="2401">2*D1091-2*F1091*C1091*D1091+4*G1091*D1091</f>
        <v>0</v>
      </c>
      <c r="E1092" s="1">
        <f t="shared" ref="E1092" si="2402">4*E1091+2*F1091+2*G1091</f>
        <v>0</v>
      </c>
      <c r="F1092" s="1">
        <f t="shared" ref="F1092" si="2403">C1091*(D1091^2)-2*E1091+5</f>
        <v>0</v>
      </c>
      <c r="G1092" s="1">
        <f t="shared" ref="G1092" si="2404">C1091^2-2*(D1091^2)-2*E1091+7</f>
        <v>0</v>
      </c>
      <c r="J1092" s="1">
        <f t="shared" ref="J1092" si="2405">0.5*(C1092*C1092+D1092*D1092+E1092*E1092+F1092*F1092+G1092*G1092)</f>
        <v>1.8643001861668443E-31</v>
      </c>
    </row>
    <row r="1093" spans="1:10" x14ac:dyDescent="0.25">
      <c r="C1093" s="5">
        <f t="shared" ref="C1093" si="2406">2-2*G1091</f>
        <v>2.2403028091636905</v>
      </c>
      <c r="D1093" s="6">
        <f t="shared" ref="D1093" si="2407">-2*F1091*D1091</f>
        <v>2.6091774571648814</v>
      </c>
      <c r="E1093" s="6">
        <f>0</f>
        <v>0</v>
      </c>
      <c r="F1093" s="6">
        <f t="shared" ref="F1093" si="2408">-(D1091^2)</f>
        <v>-3.7358700567866143</v>
      </c>
      <c r="G1093" s="7">
        <f t="shared" ref="G1093" si="2409">-2*C1091</f>
        <v>2.2510895668861335</v>
      </c>
    </row>
    <row r="1094" spans="1:10" x14ac:dyDescent="0.25">
      <c r="C1094" s="8">
        <f t="shared" ref="C1094" si="2410">-2*F1091*D1091</f>
        <v>2.6091774571648814</v>
      </c>
      <c r="D1094" s="1">
        <f t="shared" ref="D1094" si="2411">2-2*F1091*C1091+4*G1091</f>
        <v>0</v>
      </c>
      <c r="E1094" s="1">
        <f>0</f>
        <v>0</v>
      </c>
      <c r="F1094" s="1">
        <f t="shared" ref="F1094" si="2412">-2*C1091*D1091</f>
        <v>4.3509957203971439</v>
      </c>
      <c r="G1094" s="9">
        <f t="shared" ref="G1094" si="2413">4*D1091</f>
        <v>7.7313595769816468</v>
      </c>
    </row>
    <row r="1095" spans="1:10" x14ac:dyDescent="0.25">
      <c r="B1095" t="s">
        <v>20</v>
      </c>
      <c r="C1095" s="8">
        <f>0</f>
        <v>0</v>
      </c>
      <c r="D1095" s="1">
        <f>0</f>
        <v>0</v>
      </c>
      <c r="E1095" s="1">
        <f>4</f>
        <v>4</v>
      </c>
      <c r="F1095" s="1">
        <f>2</f>
        <v>2</v>
      </c>
      <c r="G1095" s="9">
        <f>2</f>
        <v>2</v>
      </c>
    </row>
    <row r="1096" spans="1:10" x14ac:dyDescent="0.25">
      <c r="C1096" s="8">
        <f t="shared" ref="C1096" si="2414">(D1091^2)</f>
        <v>3.7358700567866143</v>
      </c>
      <c r="D1096" s="1">
        <f t="shared" ref="D1096" si="2415">2*C1091*D1091</f>
        <v>-4.3509957203971439</v>
      </c>
      <c r="E1096" s="1">
        <f t="shared" ref="E1096:E1097" si="2416">-2</f>
        <v>-2</v>
      </c>
      <c r="F1096" s="1">
        <f>0</f>
        <v>0</v>
      </c>
      <c r="G1096" s="9">
        <f>0</f>
        <v>0</v>
      </c>
    </row>
    <row r="1097" spans="1:10" x14ac:dyDescent="0.25">
      <c r="C1097" s="10">
        <f t="shared" ref="C1097" si="2417">2*C1091</f>
        <v>-2.2510895668861335</v>
      </c>
      <c r="D1097" s="11">
        <f t="shared" ref="D1097" si="2418">-4*D1091</f>
        <v>-7.7313595769816468</v>
      </c>
      <c r="E1097" s="11">
        <f t="shared" si="2416"/>
        <v>-2</v>
      </c>
      <c r="F1097" s="11">
        <f>0</f>
        <v>0</v>
      </c>
      <c r="G1097" s="12">
        <f>0</f>
        <v>0</v>
      </c>
    </row>
    <row r="1098" spans="1:10" x14ac:dyDescent="0.25">
      <c r="B1098" t="s">
        <v>21</v>
      </c>
      <c r="C1098" s="1" cm="1">
        <f t="array" ref="C1098:G1098">-MMULT(C1092:G1092,C1093:G1097)</f>
        <v>-1.367979668476271E-15</v>
      </c>
      <c r="D1098" s="1">
        <v>-1.5932228885525532E-15</v>
      </c>
      <c r="E1098" s="1">
        <v>0</v>
      </c>
      <c r="F1098" s="1">
        <v>2.2812069247287048E-15</v>
      </c>
      <c r="G1098" s="1">
        <v>-1.3745663072077511E-15</v>
      </c>
    </row>
    <row r="1099" spans="1:10" x14ac:dyDescent="0.25">
      <c r="B1099" t="s">
        <v>13</v>
      </c>
      <c r="C1099" s="1">
        <f t="shared" ref="C1099" si="2419">J1092/SUMPRODUCT(_xlfn.ANCHORARRAY(C1098),_xlfn.ANCHORARRAY(C1098))</f>
        <v>1.6206986294211755E-2</v>
      </c>
    </row>
    <row r="1100" spans="1:10" x14ac:dyDescent="0.25">
      <c r="A1100" s="1" t="s">
        <v>4</v>
      </c>
      <c r="B1100" t="s">
        <v>18</v>
      </c>
      <c r="C1100" s="1" cm="1">
        <f t="array" ref="C1100:G1100">C1091:G1091+C1099*C1098:G1098</f>
        <v>-1.1255447834430667</v>
      </c>
      <c r="D1100" s="1">
        <v>1.9328398942454117</v>
      </c>
      <c r="E1100" s="1">
        <v>0.39755547298133398</v>
      </c>
      <c r="F1100" s="1">
        <v>-0.67495954138082259</v>
      </c>
      <c r="G1100" s="1">
        <v>-0.12015140458184531</v>
      </c>
    </row>
    <row r="1101" spans="1:10" x14ac:dyDescent="0.25">
      <c r="A1101" s="1">
        <v>123</v>
      </c>
      <c r="B1101" t="s">
        <v>19</v>
      </c>
      <c r="C1101" s="1">
        <f t="shared" ref="C1101" si="2420">2*C1100-F1100*(D1100^2)-2*G1100*C1100</f>
        <v>5.5511151231257827E-16</v>
      </c>
      <c r="D1101" s="1">
        <f t="shared" ref="D1101" si="2421">2*D1100-2*F1100*C1100*D1100+4*G1100*D1100</f>
        <v>0</v>
      </c>
      <c r="E1101" s="1">
        <f t="shared" ref="E1101" si="2422">4*E1100+2*F1100+2*G1100</f>
        <v>0</v>
      </c>
      <c r="F1101" s="1">
        <f t="shared" ref="F1101" si="2423">C1100*(D1100^2)-2*E1100+5</f>
        <v>0</v>
      </c>
      <c r="G1101" s="1">
        <f t="shared" ref="G1101" si="2424">C1100^2-2*(D1100^2)-2*E1100+7</f>
        <v>0</v>
      </c>
      <c r="J1101" s="1">
        <f t="shared" ref="J1101" si="2425">0.5*(C1101*C1101+D1101*D1101+E1101*E1101+F1101*F1101+G1101*G1101)</f>
        <v>1.5407439555097887E-31</v>
      </c>
    </row>
    <row r="1102" spans="1:10" x14ac:dyDescent="0.25">
      <c r="C1102" s="5">
        <f t="shared" ref="C1102" si="2426">2-2*G1100</f>
        <v>2.2403028091636905</v>
      </c>
      <c r="D1102" s="6">
        <f t="shared" ref="D1102" si="2427">-2*F1100*D1100</f>
        <v>2.6091774571648814</v>
      </c>
      <c r="E1102" s="6">
        <f>0</f>
        <v>0</v>
      </c>
      <c r="F1102" s="6">
        <f t="shared" ref="F1102" si="2428">-(D1100^2)</f>
        <v>-3.7358700567866143</v>
      </c>
      <c r="G1102" s="7">
        <f t="shared" ref="G1102" si="2429">-2*C1100</f>
        <v>2.2510895668861335</v>
      </c>
    </row>
    <row r="1103" spans="1:10" x14ac:dyDescent="0.25">
      <c r="C1103" s="8">
        <f t="shared" ref="C1103" si="2430">-2*F1100*D1100</f>
        <v>2.6091774571648814</v>
      </c>
      <c r="D1103" s="1">
        <f t="shared" ref="D1103" si="2431">2-2*F1100*C1100+4*G1100</f>
        <v>-4.4408920985006262E-16</v>
      </c>
      <c r="E1103" s="1">
        <f>0</f>
        <v>0</v>
      </c>
      <c r="F1103" s="1">
        <f t="shared" ref="F1103" si="2432">-2*C1100*D1100</f>
        <v>4.3509957203971439</v>
      </c>
      <c r="G1103" s="9">
        <f t="shared" ref="G1103" si="2433">4*D1100</f>
        <v>7.7313595769816468</v>
      </c>
    </row>
    <row r="1104" spans="1:10" x14ac:dyDescent="0.25">
      <c r="B1104" t="s">
        <v>20</v>
      </c>
      <c r="C1104" s="8">
        <f>0</f>
        <v>0</v>
      </c>
      <c r="D1104" s="1">
        <f>0</f>
        <v>0</v>
      </c>
      <c r="E1104" s="1">
        <f>4</f>
        <v>4</v>
      </c>
      <c r="F1104" s="1">
        <f>2</f>
        <v>2</v>
      </c>
      <c r="G1104" s="9">
        <f>2</f>
        <v>2</v>
      </c>
    </row>
    <row r="1105" spans="1:10" x14ac:dyDescent="0.25">
      <c r="C1105" s="8">
        <f t="shared" ref="C1105" si="2434">(D1100^2)</f>
        <v>3.7358700567866143</v>
      </c>
      <c r="D1105" s="1">
        <f t="shared" ref="D1105" si="2435">2*C1100*D1100</f>
        <v>-4.3509957203971439</v>
      </c>
      <c r="E1105" s="1">
        <f t="shared" ref="E1105:E1106" si="2436">-2</f>
        <v>-2</v>
      </c>
      <c r="F1105" s="1">
        <f>0</f>
        <v>0</v>
      </c>
      <c r="G1105" s="9">
        <f>0</f>
        <v>0</v>
      </c>
    </row>
    <row r="1106" spans="1:10" x14ac:dyDescent="0.25">
      <c r="C1106" s="10">
        <f t="shared" ref="C1106" si="2437">2*C1100</f>
        <v>-2.2510895668861335</v>
      </c>
      <c r="D1106" s="11">
        <f t="shared" ref="D1106" si="2438">-4*D1100</f>
        <v>-7.7313595769816468</v>
      </c>
      <c r="E1106" s="11">
        <f t="shared" si="2436"/>
        <v>-2</v>
      </c>
      <c r="F1106" s="11">
        <f>0</f>
        <v>0</v>
      </c>
      <c r="G1106" s="12">
        <f>0</f>
        <v>0</v>
      </c>
    </row>
    <row r="1107" spans="1:10" x14ac:dyDescent="0.25">
      <c r="B1107" t="s">
        <v>21</v>
      </c>
      <c r="C1107" s="1" cm="1">
        <f t="array" ref="C1107:G1107">-MMULT(C1101:G1101,C1102:G1106)</f>
        <v>-1.2436178804329737E-15</v>
      </c>
      <c r="D1107" s="1">
        <v>-1.4483844441386847E-15</v>
      </c>
      <c r="E1107" s="1">
        <v>0</v>
      </c>
      <c r="F1107" s="1">
        <v>2.0738244770260952E-15</v>
      </c>
      <c r="G1107" s="1">
        <v>-1.2496057338252283E-15</v>
      </c>
    </row>
    <row r="1108" spans="1:10" x14ac:dyDescent="0.25">
      <c r="B1108" t="s">
        <v>13</v>
      </c>
      <c r="C1108" s="1">
        <f t="shared" ref="C1108" si="2439">J1101/SUMPRODUCT(_xlfn.ANCHORARRAY(C1107),_xlfn.ANCHORARRAY(C1107))</f>
        <v>1.6206986294211755E-2</v>
      </c>
    </row>
    <row r="1109" spans="1:10" x14ac:dyDescent="0.25">
      <c r="A1109" s="1" t="s">
        <v>4</v>
      </c>
      <c r="B1109" t="s">
        <v>18</v>
      </c>
      <c r="C1109" s="1" cm="1">
        <f t="array" ref="C1109:G1109">C1100:G1100+C1108*C1107:G1107</f>
        <v>-1.1255447834430667</v>
      </c>
      <c r="D1109" s="1">
        <v>1.9328398942454117</v>
      </c>
      <c r="E1109" s="1">
        <v>0.39755547298133398</v>
      </c>
      <c r="F1109" s="1">
        <v>-0.67495954138082259</v>
      </c>
      <c r="G1109" s="1">
        <v>-0.12015140458184533</v>
      </c>
    </row>
    <row r="1110" spans="1:10" x14ac:dyDescent="0.25">
      <c r="A1110" s="1">
        <v>124</v>
      </c>
      <c r="B1110" t="s">
        <v>19</v>
      </c>
      <c r="C1110" s="1">
        <f t="shared" ref="C1110" si="2440">2*C1109-F1109*(D1109^2)-2*G1109*C1109</f>
        <v>5.5511151231257827E-16</v>
      </c>
      <c r="D1110" s="1">
        <f t="shared" ref="D1110" si="2441">2*D1109-2*F1109*C1109*D1109+4*G1109*D1109</f>
        <v>-8.8817841970012523E-16</v>
      </c>
      <c r="E1110" s="1">
        <f t="shared" ref="E1110" si="2442">4*E1109+2*F1109+2*G1109</f>
        <v>0</v>
      </c>
      <c r="F1110" s="1">
        <f t="shared" ref="F1110" si="2443">C1109*(D1109^2)-2*E1109+5</f>
        <v>0</v>
      </c>
      <c r="G1110" s="1">
        <f t="shared" ref="G1110" si="2444">C1109^2-2*(D1109^2)-2*E1109+7</f>
        <v>0</v>
      </c>
      <c r="J1110" s="1">
        <f t="shared" ref="J1110" si="2445">0.5*(C1110*C1110+D1110*D1110+E1110*E1110+F1110*F1110+G1110*G1110)</f>
        <v>5.4850484816148477E-31</v>
      </c>
    </row>
    <row r="1111" spans="1:10" x14ac:dyDescent="0.25">
      <c r="C1111" s="5">
        <f t="shared" ref="C1111" si="2446">2-2*G1109</f>
        <v>2.2403028091636905</v>
      </c>
      <c r="D1111" s="6">
        <f t="shared" ref="D1111" si="2447">-2*F1109*D1109</f>
        <v>2.6091774571648814</v>
      </c>
      <c r="E1111" s="6">
        <f>0</f>
        <v>0</v>
      </c>
      <c r="F1111" s="6">
        <f t="shared" ref="F1111" si="2448">-(D1109^2)</f>
        <v>-3.7358700567866143</v>
      </c>
      <c r="G1111" s="7">
        <f t="shared" ref="G1111" si="2449">-2*C1109</f>
        <v>2.2510895668861335</v>
      </c>
    </row>
    <row r="1112" spans="1:10" x14ac:dyDescent="0.25">
      <c r="C1112" s="8">
        <f t="shared" ref="C1112" si="2450">-2*F1109*D1109</f>
        <v>2.6091774571648814</v>
      </c>
      <c r="D1112" s="1">
        <f t="shared" ref="D1112" si="2451">2-2*F1109*C1109+4*G1109</f>
        <v>-4.9960036108132044E-16</v>
      </c>
      <c r="E1112" s="1">
        <f>0</f>
        <v>0</v>
      </c>
      <c r="F1112" s="1">
        <f t="shared" ref="F1112" si="2452">-2*C1109*D1109</f>
        <v>4.3509957203971439</v>
      </c>
      <c r="G1112" s="9">
        <f t="shared" ref="G1112" si="2453">4*D1109</f>
        <v>7.7313595769816468</v>
      </c>
    </row>
    <row r="1113" spans="1:10" x14ac:dyDescent="0.25">
      <c r="B1113" t="s">
        <v>20</v>
      </c>
      <c r="C1113" s="8">
        <f>0</f>
        <v>0</v>
      </c>
      <c r="D1113" s="1">
        <f>0</f>
        <v>0</v>
      </c>
      <c r="E1113" s="1">
        <f>4</f>
        <v>4</v>
      </c>
      <c r="F1113" s="1">
        <f>2</f>
        <v>2</v>
      </c>
      <c r="G1113" s="9">
        <f>2</f>
        <v>2</v>
      </c>
    </row>
    <row r="1114" spans="1:10" x14ac:dyDescent="0.25">
      <c r="C1114" s="8">
        <f t="shared" ref="C1114" si="2454">(D1109^2)</f>
        <v>3.7358700567866143</v>
      </c>
      <c r="D1114" s="1">
        <f t="shared" ref="D1114" si="2455">2*C1109*D1109</f>
        <v>-4.3509957203971439</v>
      </c>
      <c r="E1114" s="1">
        <f t="shared" ref="E1114:E1115" si="2456">-2</f>
        <v>-2</v>
      </c>
      <c r="F1114" s="1">
        <f>0</f>
        <v>0</v>
      </c>
      <c r="G1114" s="9">
        <f>0</f>
        <v>0</v>
      </c>
    </row>
    <row r="1115" spans="1:10" x14ac:dyDescent="0.25">
      <c r="C1115" s="10">
        <f t="shared" ref="C1115" si="2457">2*C1109</f>
        <v>-2.2510895668861335</v>
      </c>
      <c r="D1115" s="11">
        <f t="shared" ref="D1115" si="2458">-4*D1109</f>
        <v>-7.7313595769816468</v>
      </c>
      <c r="E1115" s="11">
        <f t="shared" si="2456"/>
        <v>-2</v>
      </c>
      <c r="F1115" s="11">
        <f>0</f>
        <v>0</v>
      </c>
      <c r="G1115" s="12">
        <f>0</f>
        <v>0</v>
      </c>
    </row>
    <row r="1116" spans="1:10" x14ac:dyDescent="0.25">
      <c r="B1116" t="s">
        <v>21</v>
      </c>
      <c r="C1116" s="1" cm="1">
        <f t="array" ref="C1116:G1116">-MMULT(C1110:G1110,C1111:G1115)</f>
        <v>1.0737972301889219E-15</v>
      </c>
      <c r="D1116" s="1">
        <v>-1.448384444138685E-15</v>
      </c>
      <c r="E1116" s="1">
        <v>0</v>
      </c>
      <c r="F1116" s="1">
        <v>5.9382849800904388E-15</v>
      </c>
      <c r="G1116" s="1">
        <v>5.6172209973917592E-15</v>
      </c>
    </row>
    <row r="1117" spans="1:10" x14ac:dyDescent="0.25">
      <c r="B1117" t="s">
        <v>13</v>
      </c>
      <c r="C1117" s="1">
        <f t="shared" ref="C1117" si="2459">J1110/SUMPRODUCT(_xlfn.ANCHORARRAY(C1116),_xlfn.ANCHORARRAY(C1116))</f>
        <v>7.828261901978455E-3</v>
      </c>
    </row>
    <row r="1118" spans="1:10" x14ac:dyDescent="0.25">
      <c r="A1118" s="1" t="s">
        <v>4</v>
      </c>
      <c r="B1118" t="s">
        <v>18</v>
      </c>
      <c r="C1118" s="1" cm="1">
        <f t="array" ref="C1118:G1118">C1109:G1109+C1117*C1116:G1116</f>
        <v>-1.1255447834430667</v>
      </c>
      <c r="D1118" s="1">
        <v>1.9328398942454117</v>
      </c>
      <c r="E1118" s="1">
        <v>0.39755547298133398</v>
      </c>
      <c r="F1118" s="1">
        <v>-0.67495954138082259</v>
      </c>
      <c r="G1118" s="1">
        <v>-0.12015140458184528</v>
      </c>
    </row>
    <row r="1119" spans="1:10" x14ac:dyDescent="0.25">
      <c r="A1119" s="1">
        <v>125</v>
      </c>
      <c r="B1119" t="s">
        <v>19</v>
      </c>
      <c r="C1119" s="1">
        <f t="shared" ref="C1119" si="2460">2*C1118-F1118*(D1118^2)-2*G1118*C1118</f>
        <v>6.106226635438361E-16</v>
      </c>
      <c r="D1119" s="1">
        <f t="shared" ref="D1119" si="2461">2*D1118-2*F1118*C1118*D1118+4*G1118*D1118</f>
        <v>0</v>
      </c>
      <c r="E1119" s="1">
        <f t="shared" ref="E1119" si="2462">4*E1118+2*F1118+2*G1118</f>
        <v>0</v>
      </c>
      <c r="F1119" s="1">
        <f t="shared" ref="F1119" si="2463">C1118*(D1118^2)-2*E1118+5</f>
        <v>0</v>
      </c>
      <c r="G1119" s="1">
        <f t="shared" ref="G1119" si="2464">C1118^2-2*(D1118^2)-2*E1118+7</f>
        <v>0</v>
      </c>
      <c r="J1119" s="1">
        <f t="shared" ref="J1119" si="2465">0.5*(C1119*C1119+D1119*D1119+E1119*E1119+F1119*F1119+G1119*G1119)</f>
        <v>1.8643001861668443E-31</v>
      </c>
    </row>
    <row r="1120" spans="1:10" x14ac:dyDescent="0.25">
      <c r="C1120" s="5">
        <f t="shared" ref="C1120" si="2466">2-2*G1118</f>
        <v>2.2403028091636905</v>
      </c>
      <c r="D1120" s="6">
        <f t="shared" ref="D1120" si="2467">-2*F1118*D1118</f>
        <v>2.6091774571648814</v>
      </c>
      <c r="E1120" s="6">
        <f>0</f>
        <v>0</v>
      </c>
      <c r="F1120" s="6">
        <f t="shared" ref="F1120" si="2468">-(D1118^2)</f>
        <v>-3.7358700567866143</v>
      </c>
      <c r="G1120" s="7">
        <f t="shared" ref="G1120" si="2469">-2*C1118</f>
        <v>2.2510895668861335</v>
      </c>
    </row>
    <row r="1121" spans="1:10" x14ac:dyDescent="0.25">
      <c r="C1121" s="8">
        <f t="shared" ref="C1121" si="2470">-2*F1118*D1118</f>
        <v>2.6091774571648814</v>
      </c>
      <c r="D1121" s="1">
        <f t="shared" ref="D1121" si="2471">2-2*F1118*C1118+4*G1118</f>
        <v>0</v>
      </c>
      <c r="E1121" s="1">
        <f>0</f>
        <v>0</v>
      </c>
      <c r="F1121" s="1">
        <f t="shared" ref="F1121" si="2472">-2*C1118*D1118</f>
        <v>4.3509957203971439</v>
      </c>
      <c r="G1121" s="9">
        <f t="shared" ref="G1121" si="2473">4*D1118</f>
        <v>7.7313595769816468</v>
      </c>
    </row>
    <row r="1122" spans="1:10" x14ac:dyDescent="0.25">
      <c r="B1122" t="s">
        <v>20</v>
      </c>
      <c r="C1122" s="8">
        <f>0</f>
        <v>0</v>
      </c>
      <c r="D1122" s="1">
        <f>0</f>
        <v>0</v>
      </c>
      <c r="E1122" s="1">
        <f>4</f>
        <v>4</v>
      </c>
      <c r="F1122" s="1">
        <f>2</f>
        <v>2</v>
      </c>
      <c r="G1122" s="9">
        <f>2</f>
        <v>2</v>
      </c>
    </row>
    <row r="1123" spans="1:10" x14ac:dyDescent="0.25">
      <c r="C1123" s="8">
        <f t="shared" ref="C1123" si="2474">(D1118^2)</f>
        <v>3.7358700567866143</v>
      </c>
      <c r="D1123" s="1">
        <f t="shared" ref="D1123" si="2475">2*C1118*D1118</f>
        <v>-4.3509957203971439</v>
      </c>
      <c r="E1123" s="1">
        <f t="shared" ref="E1123:E1124" si="2476">-2</f>
        <v>-2</v>
      </c>
      <c r="F1123" s="1">
        <f>0</f>
        <v>0</v>
      </c>
      <c r="G1123" s="9">
        <f>0</f>
        <v>0</v>
      </c>
    </row>
    <row r="1124" spans="1:10" x14ac:dyDescent="0.25">
      <c r="C1124" s="10">
        <f t="shared" ref="C1124" si="2477">2*C1118</f>
        <v>-2.2510895668861335</v>
      </c>
      <c r="D1124" s="11">
        <f t="shared" ref="D1124" si="2478">-4*D1118</f>
        <v>-7.7313595769816468</v>
      </c>
      <c r="E1124" s="11">
        <f t="shared" si="2476"/>
        <v>-2</v>
      </c>
      <c r="F1124" s="11">
        <f>0</f>
        <v>0</v>
      </c>
      <c r="G1124" s="12">
        <f>0</f>
        <v>0</v>
      </c>
    </row>
    <row r="1125" spans="1:10" x14ac:dyDescent="0.25">
      <c r="B1125" t="s">
        <v>21</v>
      </c>
      <c r="C1125" s="1" cm="1">
        <f t="array" ref="C1125:G1125">-MMULT(C1119:G1119,C1120:G1124)</f>
        <v>-1.367979668476271E-15</v>
      </c>
      <c r="D1125" s="1">
        <v>-1.5932228885525532E-15</v>
      </c>
      <c r="E1125" s="1">
        <v>0</v>
      </c>
      <c r="F1125" s="1">
        <v>2.2812069247287048E-15</v>
      </c>
      <c r="G1125" s="1">
        <v>-1.3745663072077511E-15</v>
      </c>
    </row>
    <row r="1126" spans="1:10" x14ac:dyDescent="0.25">
      <c r="B1126" t="s">
        <v>13</v>
      </c>
      <c r="C1126" s="1">
        <f t="shared" ref="C1126" si="2479">J1119/SUMPRODUCT(_xlfn.ANCHORARRAY(C1125),_xlfn.ANCHORARRAY(C1125))</f>
        <v>1.6206986294211755E-2</v>
      </c>
    </row>
    <row r="1127" spans="1:10" x14ac:dyDescent="0.25">
      <c r="A1127" s="1" t="s">
        <v>4</v>
      </c>
      <c r="B1127" t="s">
        <v>18</v>
      </c>
      <c r="C1127" s="1" cm="1">
        <f t="array" ref="C1127:G1127">C1118:G1118+C1126*C1125:G1125</f>
        <v>-1.1255447834430667</v>
      </c>
      <c r="D1127" s="1">
        <v>1.9328398942454117</v>
      </c>
      <c r="E1127" s="1">
        <v>0.39755547298133398</v>
      </c>
      <c r="F1127" s="1">
        <v>-0.67495954138082259</v>
      </c>
      <c r="G1127" s="1">
        <v>-0.12015140458184531</v>
      </c>
    </row>
    <row r="1128" spans="1:10" x14ac:dyDescent="0.25">
      <c r="A1128" s="1">
        <v>126</v>
      </c>
      <c r="B1128" t="s">
        <v>19</v>
      </c>
      <c r="C1128" s="1">
        <f t="shared" ref="C1128" si="2480">2*C1127-F1127*(D1127^2)-2*G1127*C1127</f>
        <v>5.5511151231257827E-16</v>
      </c>
      <c r="D1128" s="1">
        <f t="shared" ref="D1128" si="2481">2*D1127-2*F1127*C1127*D1127+4*G1127*D1127</f>
        <v>0</v>
      </c>
      <c r="E1128" s="1">
        <f t="shared" ref="E1128" si="2482">4*E1127+2*F1127+2*G1127</f>
        <v>0</v>
      </c>
      <c r="F1128" s="1">
        <f t="shared" ref="F1128" si="2483">C1127*(D1127^2)-2*E1127+5</f>
        <v>0</v>
      </c>
      <c r="G1128" s="1">
        <f t="shared" ref="G1128" si="2484">C1127^2-2*(D1127^2)-2*E1127+7</f>
        <v>0</v>
      </c>
      <c r="J1128" s="1">
        <f t="shared" ref="J1128" si="2485">0.5*(C1128*C1128+D1128*D1128+E1128*E1128+F1128*F1128+G1128*G1128)</f>
        <v>1.5407439555097887E-31</v>
      </c>
    </row>
    <row r="1129" spans="1:10" x14ac:dyDescent="0.25">
      <c r="C1129" s="5">
        <f t="shared" ref="C1129" si="2486">2-2*G1127</f>
        <v>2.2403028091636905</v>
      </c>
      <c r="D1129" s="6">
        <f t="shared" ref="D1129" si="2487">-2*F1127*D1127</f>
        <v>2.6091774571648814</v>
      </c>
      <c r="E1129" s="6">
        <f>0</f>
        <v>0</v>
      </c>
      <c r="F1129" s="6">
        <f t="shared" ref="F1129" si="2488">-(D1127^2)</f>
        <v>-3.7358700567866143</v>
      </c>
      <c r="G1129" s="7">
        <f t="shared" ref="G1129" si="2489">-2*C1127</f>
        <v>2.2510895668861335</v>
      </c>
    </row>
    <row r="1130" spans="1:10" x14ac:dyDescent="0.25">
      <c r="C1130" s="8">
        <f t="shared" ref="C1130" si="2490">-2*F1127*D1127</f>
        <v>2.6091774571648814</v>
      </c>
      <c r="D1130" s="1">
        <f t="shared" ref="D1130" si="2491">2-2*F1127*C1127+4*G1127</f>
        <v>-4.4408920985006262E-16</v>
      </c>
      <c r="E1130" s="1">
        <f>0</f>
        <v>0</v>
      </c>
      <c r="F1130" s="1">
        <f t="shared" ref="F1130" si="2492">-2*C1127*D1127</f>
        <v>4.3509957203971439</v>
      </c>
      <c r="G1130" s="9">
        <f t="shared" ref="G1130" si="2493">4*D1127</f>
        <v>7.7313595769816468</v>
      </c>
    </row>
    <row r="1131" spans="1:10" x14ac:dyDescent="0.25">
      <c r="B1131" t="s">
        <v>20</v>
      </c>
      <c r="C1131" s="8">
        <f>0</f>
        <v>0</v>
      </c>
      <c r="D1131" s="1">
        <f>0</f>
        <v>0</v>
      </c>
      <c r="E1131" s="1">
        <f>4</f>
        <v>4</v>
      </c>
      <c r="F1131" s="1">
        <f>2</f>
        <v>2</v>
      </c>
      <c r="G1131" s="9">
        <f>2</f>
        <v>2</v>
      </c>
    </row>
    <row r="1132" spans="1:10" x14ac:dyDescent="0.25">
      <c r="C1132" s="8">
        <f t="shared" ref="C1132" si="2494">(D1127^2)</f>
        <v>3.7358700567866143</v>
      </c>
      <c r="D1132" s="1">
        <f t="shared" ref="D1132" si="2495">2*C1127*D1127</f>
        <v>-4.3509957203971439</v>
      </c>
      <c r="E1132" s="1">
        <f t="shared" ref="E1132:E1133" si="2496">-2</f>
        <v>-2</v>
      </c>
      <c r="F1132" s="1">
        <f>0</f>
        <v>0</v>
      </c>
      <c r="G1132" s="9">
        <f>0</f>
        <v>0</v>
      </c>
    </row>
    <row r="1133" spans="1:10" x14ac:dyDescent="0.25">
      <c r="C1133" s="10">
        <f t="shared" ref="C1133" si="2497">2*C1127</f>
        <v>-2.2510895668861335</v>
      </c>
      <c r="D1133" s="11">
        <f t="shared" ref="D1133" si="2498">-4*D1127</f>
        <v>-7.7313595769816468</v>
      </c>
      <c r="E1133" s="11">
        <f t="shared" si="2496"/>
        <v>-2</v>
      </c>
      <c r="F1133" s="11">
        <f>0</f>
        <v>0</v>
      </c>
      <c r="G1133" s="12">
        <f>0</f>
        <v>0</v>
      </c>
    </row>
    <row r="1134" spans="1:10" x14ac:dyDescent="0.25">
      <c r="B1134" t="s">
        <v>21</v>
      </c>
      <c r="C1134" s="1" cm="1">
        <f t="array" ref="C1134:G1134">-MMULT(C1128:G1128,C1129:G1133)</f>
        <v>-1.2436178804329737E-15</v>
      </c>
      <c r="D1134" s="1">
        <v>-1.4483844441386847E-15</v>
      </c>
      <c r="E1134" s="1">
        <v>0</v>
      </c>
      <c r="F1134" s="1">
        <v>2.0738244770260952E-15</v>
      </c>
      <c r="G1134" s="1">
        <v>-1.2496057338252283E-15</v>
      </c>
    </row>
    <row r="1135" spans="1:10" x14ac:dyDescent="0.25">
      <c r="B1135" t="s">
        <v>13</v>
      </c>
      <c r="C1135" s="1">
        <f t="shared" ref="C1135" si="2499">J1128/SUMPRODUCT(_xlfn.ANCHORARRAY(C1134),_xlfn.ANCHORARRAY(C1134))</f>
        <v>1.6206986294211755E-2</v>
      </c>
    </row>
    <row r="1136" spans="1:10" x14ac:dyDescent="0.25">
      <c r="A1136" s="1" t="s">
        <v>4</v>
      </c>
      <c r="B1136" t="s">
        <v>18</v>
      </c>
      <c r="C1136" s="1" cm="1">
        <f t="array" ref="C1136:G1136">C1127:G1127+C1135*C1134:G1134</f>
        <v>-1.1255447834430667</v>
      </c>
      <c r="D1136" s="1">
        <v>1.9328398942454117</v>
      </c>
      <c r="E1136" s="1">
        <v>0.39755547298133398</v>
      </c>
      <c r="F1136" s="1">
        <v>-0.67495954138082259</v>
      </c>
      <c r="G1136" s="1">
        <v>-0.12015140458184533</v>
      </c>
    </row>
    <row r="1137" spans="1:10" x14ac:dyDescent="0.25">
      <c r="A1137" s="1">
        <v>127</v>
      </c>
      <c r="B1137" t="s">
        <v>19</v>
      </c>
      <c r="C1137" s="1">
        <f t="shared" ref="C1137" si="2500">2*C1136-F1136*(D1136^2)-2*G1136*C1136</f>
        <v>5.5511151231257827E-16</v>
      </c>
      <c r="D1137" s="1">
        <f t="shared" ref="D1137" si="2501">2*D1136-2*F1136*C1136*D1136+4*G1136*D1136</f>
        <v>-8.8817841970012523E-16</v>
      </c>
      <c r="E1137" s="1">
        <f t="shared" ref="E1137" si="2502">4*E1136+2*F1136+2*G1136</f>
        <v>0</v>
      </c>
      <c r="F1137" s="1">
        <f t="shared" ref="F1137" si="2503">C1136*(D1136^2)-2*E1136+5</f>
        <v>0</v>
      </c>
      <c r="G1137" s="1">
        <f t="shared" ref="G1137" si="2504">C1136^2-2*(D1136^2)-2*E1136+7</f>
        <v>0</v>
      </c>
      <c r="J1137" s="1">
        <f t="shared" ref="J1137" si="2505">0.5*(C1137*C1137+D1137*D1137+E1137*E1137+F1137*F1137+G1137*G1137)</f>
        <v>5.4850484816148477E-31</v>
      </c>
    </row>
    <row r="1138" spans="1:10" x14ac:dyDescent="0.25">
      <c r="C1138" s="5">
        <f t="shared" ref="C1138" si="2506">2-2*G1136</f>
        <v>2.2403028091636905</v>
      </c>
      <c r="D1138" s="6">
        <f t="shared" ref="D1138" si="2507">-2*F1136*D1136</f>
        <v>2.6091774571648814</v>
      </c>
      <c r="E1138" s="6">
        <f>0</f>
        <v>0</v>
      </c>
      <c r="F1138" s="6">
        <f t="shared" ref="F1138" si="2508">-(D1136^2)</f>
        <v>-3.7358700567866143</v>
      </c>
      <c r="G1138" s="7">
        <f t="shared" ref="G1138" si="2509">-2*C1136</f>
        <v>2.2510895668861335</v>
      </c>
    </row>
    <row r="1139" spans="1:10" x14ac:dyDescent="0.25">
      <c r="C1139" s="8">
        <f t="shared" ref="C1139" si="2510">-2*F1136*D1136</f>
        <v>2.6091774571648814</v>
      </c>
      <c r="D1139" s="1">
        <f t="shared" ref="D1139" si="2511">2-2*F1136*C1136+4*G1136</f>
        <v>-4.9960036108132044E-16</v>
      </c>
      <c r="E1139" s="1">
        <f>0</f>
        <v>0</v>
      </c>
      <c r="F1139" s="1">
        <f t="shared" ref="F1139" si="2512">-2*C1136*D1136</f>
        <v>4.3509957203971439</v>
      </c>
      <c r="G1139" s="9">
        <f t="shared" ref="G1139" si="2513">4*D1136</f>
        <v>7.7313595769816468</v>
      </c>
    </row>
    <row r="1140" spans="1:10" x14ac:dyDescent="0.25">
      <c r="B1140" t="s">
        <v>20</v>
      </c>
      <c r="C1140" s="8">
        <f>0</f>
        <v>0</v>
      </c>
      <c r="D1140" s="1">
        <f>0</f>
        <v>0</v>
      </c>
      <c r="E1140" s="1">
        <f>4</f>
        <v>4</v>
      </c>
      <c r="F1140" s="1">
        <f>2</f>
        <v>2</v>
      </c>
      <c r="G1140" s="9">
        <f>2</f>
        <v>2</v>
      </c>
    </row>
    <row r="1141" spans="1:10" x14ac:dyDescent="0.25">
      <c r="C1141" s="8">
        <f t="shared" ref="C1141" si="2514">(D1136^2)</f>
        <v>3.7358700567866143</v>
      </c>
      <c r="D1141" s="1">
        <f t="shared" ref="D1141" si="2515">2*C1136*D1136</f>
        <v>-4.3509957203971439</v>
      </c>
      <c r="E1141" s="1">
        <f t="shared" ref="E1141:E1142" si="2516">-2</f>
        <v>-2</v>
      </c>
      <c r="F1141" s="1">
        <f>0</f>
        <v>0</v>
      </c>
      <c r="G1141" s="9">
        <f>0</f>
        <v>0</v>
      </c>
    </row>
    <row r="1142" spans="1:10" x14ac:dyDescent="0.25">
      <c r="C1142" s="10">
        <f t="shared" ref="C1142" si="2517">2*C1136</f>
        <v>-2.2510895668861335</v>
      </c>
      <c r="D1142" s="11">
        <f t="shared" ref="D1142" si="2518">-4*D1136</f>
        <v>-7.7313595769816468</v>
      </c>
      <c r="E1142" s="11">
        <f t="shared" si="2516"/>
        <v>-2</v>
      </c>
      <c r="F1142" s="11">
        <f>0</f>
        <v>0</v>
      </c>
      <c r="G1142" s="12">
        <f>0</f>
        <v>0</v>
      </c>
    </row>
    <row r="1143" spans="1:10" x14ac:dyDescent="0.25">
      <c r="B1143" t="s">
        <v>21</v>
      </c>
      <c r="C1143" s="1" cm="1">
        <f t="array" ref="C1143:G1143">-MMULT(C1137:G1137,C1138:G1142)</f>
        <v>1.0737972301889219E-15</v>
      </c>
      <c r="D1143" s="1">
        <v>-1.448384444138685E-15</v>
      </c>
      <c r="E1143" s="1">
        <v>0</v>
      </c>
      <c r="F1143" s="1">
        <v>5.9382849800904388E-15</v>
      </c>
      <c r="G1143" s="1">
        <v>5.6172209973917592E-15</v>
      </c>
    </row>
    <row r="1144" spans="1:10" x14ac:dyDescent="0.25">
      <c r="B1144" t="s">
        <v>13</v>
      </c>
      <c r="C1144" s="1">
        <f t="shared" ref="C1144" si="2519">J1137/SUMPRODUCT(_xlfn.ANCHORARRAY(C1143),_xlfn.ANCHORARRAY(C1143))</f>
        <v>7.828261901978455E-3</v>
      </c>
    </row>
    <row r="1145" spans="1:10" x14ac:dyDescent="0.25">
      <c r="A1145" s="1" t="s">
        <v>4</v>
      </c>
      <c r="B1145" t="s">
        <v>18</v>
      </c>
      <c r="C1145" s="1" cm="1">
        <f t="array" ref="C1145:G1145">C1136:G1136+C1144*C1143:G1143</f>
        <v>-1.1255447834430667</v>
      </c>
      <c r="D1145" s="1">
        <v>1.9328398942454117</v>
      </c>
      <c r="E1145" s="1">
        <v>0.39755547298133398</v>
      </c>
      <c r="F1145" s="1">
        <v>-0.67495954138082259</v>
      </c>
      <c r="G1145" s="1">
        <v>-0.12015140458184528</v>
      </c>
    </row>
    <row r="1146" spans="1:10" x14ac:dyDescent="0.25">
      <c r="A1146" s="1">
        <v>128</v>
      </c>
      <c r="B1146" t="s">
        <v>19</v>
      </c>
      <c r="C1146" s="1">
        <f t="shared" ref="C1146" si="2520">2*C1145-F1145*(D1145^2)-2*G1145*C1145</f>
        <v>6.106226635438361E-16</v>
      </c>
      <c r="D1146" s="1">
        <f t="shared" ref="D1146" si="2521">2*D1145-2*F1145*C1145*D1145+4*G1145*D1145</f>
        <v>0</v>
      </c>
      <c r="E1146" s="1">
        <f t="shared" ref="E1146" si="2522">4*E1145+2*F1145+2*G1145</f>
        <v>0</v>
      </c>
      <c r="F1146" s="1">
        <f t="shared" ref="F1146" si="2523">C1145*(D1145^2)-2*E1145+5</f>
        <v>0</v>
      </c>
      <c r="G1146" s="1">
        <f t="shared" ref="G1146" si="2524">C1145^2-2*(D1145^2)-2*E1145+7</f>
        <v>0</v>
      </c>
      <c r="J1146" s="1">
        <f t="shared" ref="J1146" si="2525">0.5*(C1146*C1146+D1146*D1146+E1146*E1146+F1146*F1146+G1146*G1146)</f>
        <v>1.8643001861668443E-31</v>
      </c>
    </row>
    <row r="1147" spans="1:10" x14ac:dyDescent="0.25">
      <c r="C1147" s="5">
        <f t="shared" ref="C1147" si="2526">2-2*G1145</f>
        <v>2.2403028091636905</v>
      </c>
      <c r="D1147" s="6">
        <f t="shared" ref="D1147" si="2527">-2*F1145*D1145</f>
        <v>2.6091774571648814</v>
      </c>
      <c r="E1147" s="6">
        <f>0</f>
        <v>0</v>
      </c>
      <c r="F1147" s="6">
        <f t="shared" ref="F1147" si="2528">-(D1145^2)</f>
        <v>-3.7358700567866143</v>
      </c>
      <c r="G1147" s="7">
        <f t="shared" ref="G1147" si="2529">-2*C1145</f>
        <v>2.2510895668861335</v>
      </c>
    </row>
    <row r="1148" spans="1:10" x14ac:dyDescent="0.25">
      <c r="C1148" s="8">
        <f t="shared" ref="C1148" si="2530">-2*F1145*D1145</f>
        <v>2.6091774571648814</v>
      </c>
      <c r="D1148" s="1">
        <f t="shared" ref="D1148" si="2531">2-2*F1145*C1145+4*G1145</f>
        <v>0</v>
      </c>
      <c r="E1148" s="1">
        <f>0</f>
        <v>0</v>
      </c>
      <c r="F1148" s="1">
        <f t="shared" ref="F1148" si="2532">-2*C1145*D1145</f>
        <v>4.3509957203971439</v>
      </c>
      <c r="G1148" s="9">
        <f t="shared" ref="G1148" si="2533">4*D1145</f>
        <v>7.7313595769816468</v>
      </c>
    </row>
    <row r="1149" spans="1:10" x14ac:dyDescent="0.25">
      <c r="B1149" t="s">
        <v>20</v>
      </c>
      <c r="C1149" s="8">
        <f>0</f>
        <v>0</v>
      </c>
      <c r="D1149" s="1">
        <f>0</f>
        <v>0</v>
      </c>
      <c r="E1149" s="1">
        <f>4</f>
        <v>4</v>
      </c>
      <c r="F1149" s="1">
        <f>2</f>
        <v>2</v>
      </c>
      <c r="G1149" s="9">
        <f>2</f>
        <v>2</v>
      </c>
    </row>
    <row r="1150" spans="1:10" x14ac:dyDescent="0.25">
      <c r="C1150" s="8">
        <f t="shared" ref="C1150" si="2534">(D1145^2)</f>
        <v>3.7358700567866143</v>
      </c>
      <c r="D1150" s="1">
        <f t="shared" ref="D1150" si="2535">2*C1145*D1145</f>
        <v>-4.3509957203971439</v>
      </c>
      <c r="E1150" s="1">
        <f t="shared" ref="E1150:E1151" si="2536">-2</f>
        <v>-2</v>
      </c>
      <c r="F1150" s="1">
        <f>0</f>
        <v>0</v>
      </c>
      <c r="G1150" s="9">
        <f>0</f>
        <v>0</v>
      </c>
    </row>
    <row r="1151" spans="1:10" x14ac:dyDescent="0.25">
      <c r="C1151" s="10">
        <f t="shared" ref="C1151" si="2537">2*C1145</f>
        <v>-2.2510895668861335</v>
      </c>
      <c r="D1151" s="11">
        <f t="shared" ref="D1151" si="2538">-4*D1145</f>
        <v>-7.7313595769816468</v>
      </c>
      <c r="E1151" s="11">
        <f t="shared" si="2536"/>
        <v>-2</v>
      </c>
      <c r="F1151" s="11">
        <f>0</f>
        <v>0</v>
      </c>
      <c r="G1151" s="12">
        <f>0</f>
        <v>0</v>
      </c>
    </row>
    <row r="1152" spans="1:10" x14ac:dyDescent="0.25">
      <c r="B1152" t="s">
        <v>21</v>
      </c>
      <c r="C1152" s="1" cm="1">
        <f t="array" ref="C1152:G1152">-MMULT(C1146:G1146,C1147:G1151)</f>
        <v>-1.367979668476271E-15</v>
      </c>
      <c r="D1152" s="1">
        <v>-1.5932228885525532E-15</v>
      </c>
      <c r="E1152" s="1">
        <v>0</v>
      </c>
      <c r="F1152" s="1">
        <v>2.2812069247287048E-15</v>
      </c>
      <c r="G1152" s="1">
        <v>-1.3745663072077511E-15</v>
      </c>
    </row>
    <row r="1153" spans="1:10" x14ac:dyDescent="0.25">
      <c r="B1153" t="s">
        <v>13</v>
      </c>
      <c r="C1153" s="1">
        <f t="shared" ref="C1153" si="2539">J1146/SUMPRODUCT(_xlfn.ANCHORARRAY(C1152),_xlfn.ANCHORARRAY(C1152))</f>
        <v>1.6206986294211755E-2</v>
      </c>
    </row>
    <row r="1154" spans="1:10" x14ac:dyDescent="0.25">
      <c r="A1154" s="1" t="s">
        <v>4</v>
      </c>
      <c r="B1154" t="s">
        <v>18</v>
      </c>
      <c r="C1154" s="1" cm="1">
        <f t="array" ref="C1154:G1154">C1145:G1145+C1153*C1152:G1152</f>
        <v>-1.1255447834430667</v>
      </c>
      <c r="D1154" s="1">
        <v>1.9328398942454117</v>
      </c>
      <c r="E1154" s="1">
        <v>0.39755547298133398</v>
      </c>
      <c r="F1154" s="1">
        <v>-0.67495954138082259</v>
      </c>
      <c r="G1154" s="1">
        <v>-0.12015140458184531</v>
      </c>
    </row>
    <row r="1155" spans="1:10" x14ac:dyDescent="0.25">
      <c r="A1155" s="1">
        <v>129</v>
      </c>
      <c r="B1155" t="s">
        <v>19</v>
      </c>
      <c r="C1155" s="1">
        <f t="shared" ref="C1155" si="2540">2*C1154-F1154*(D1154^2)-2*G1154*C1154</f>
        <v>5.5511151231257827E-16</v>
      </c>
      <c r="D1155" s="1">
        <f t="shared" ref="D1155" si="2541">2*D1154-2*F1154*C1154*D1154+4*G1154*D1154</f>
        <v>0</v>
      </c>
      <c r="E1155" s="1">
        <f t="shared" ref="E1155" si="2542">4*E1154+2*F1154+2*G1154</f>
        <v>0</v>
      </c>
      <c r="F1155" s="1">
        <f t="shared" ref="F1155" si="2543">C1154*(D1154^2)-2*E1154+5</f>
        <v>0</v>
      </c>
      <c r="G1155" s="1">
        <f t="shared" ref="G1155" si="2544">C1154^2-2*(D1154^2)-2*E1154+7</f>
        <v>0</v>
      </c>
      <c r="J1155" s="1">
        <f t="shared" ref="J1155" si="2545">0.5*(C1155*C1155+D1155*D1155+E1155*E1155+F1155*F1155+G1155*G1155)</f>
        <v>1.5407439555097887E-31</v>
      </c>
    </row>
    <row r="1156" spans="1:10" x14ac:dyDescent="0.25">
      <c r="C1156" s="5">
        <f t="shared" ref="C1156" si="2546">2-2*G1154</f>
        <v>2.2403028091636905</v>
      </c>
      <c r="D1156" s="6">
        <f t="shared" ref="D1156" si="2547">-2*F1154*D1154</f>
        <v>2.6091774571648814</v>
      </c>
      <c r="E1156" s="6">
        <f>0</f>
        <v>0</v>
      </c>
      <c r="F1156" s="6">
        <f t="shared" ref="F1156" si="2548">-(D1154^2)</f>
        <v>-3.7358700567866143</v>
      </c>
      <c r="G1156" s="7">
        <f t="shared" ref="G1156" si="2549">-2*C1154</f>
        <v>2.2510895668861335</v>
      </c>
    </row>
    <row r="1157" spans="1:10" x14ac:dyDescent="0.25">
      <c r="C1157" s="8">
        <f t="shared" ref="C1157" si="2550">-2*F1154*D1154</f>
        <v>2.6091774571648814</v>
      </c>
      <c r="D1157" s="1">
        <f t="shared" ref="D1157" si="2551">2-2*F1154*C1154+4*G1154</f>
        <v>-4.4408920985006262E-16</v>
      </c>
      <c r="E1157" s="1">
        <f>0</f>
        <v>0</v>
      </c>
      <c r="F1157" s="1">
        <f t="shared" ref="F1157" si="2552">-2*C1154*D1154</f>
        <v>4.3509957203971439</v>
      </c>
      <c r="G1157" s="9">
        <f t="shared" ref="G1157" si="2553">4*D1154</f>
        <v>7.7313595769816468</v>
      </c>
    </row>
    <row r="1158" spans="1:10" x14ac:dyDescent="0.25">
      <c r="B1158" t="s">
        <v>20</v>
      </c>
      <c r="C1158" s="8">
        <f>0</f>
        <v>0</v>
      </c>
      <c r="D1158" s="1">
        <f>0</f>
        <v>0</v>
      </c>
      <c r="E1158" s="1">
        <f>4</f>
        <v>4</v>
      </c>
      <c r="F1158" s="1">
        <f>2</f>
        <v>2</v>
      </c>
      <c r="G1158" s="9">
        <f>2</f>
        <v>2</v>
      </c>
    </row>
    <row r="1159" spans="1:10" x14ac:dyDescent="0.25">
      <c r="C1159" s="8">
        <f t="shared" ref="C1159" si="2554">(D1154^2)</f>
        <v>3.7358700567866143</v>
      </c>
      <c r="D1159" s="1">
        <f t="shared" ref="D1159" si="2555">2*C1154*D1154</f>
        <v>-4.3509957203971439</v>
      </c>
      <c r="E1159" s="1">
        <f t="shared" ref="E1159:E1160" si="2556">-2</f>
        <v>-2</v>
      </c>
      <c r="F1159" s="1">
        <f>0</f>
        <v>0</v>
      </c>
      <c r="G1159" s="9">
        <f>0</f>
        <v>0</v>
      </c>
    </row>
    <row r="1160" spans="1:10" x14ac:dyDescent="0.25">
      <c r="C1160" s="10">
        <f t="shared" ref="C1160" si="2557">2*C1154</f>
        <v>-2.2510895668861335</v>
      </c>
      <c r="D1160" s="11">
        <f t="shared" ref="D1160" si="2558">-4*D1154</f>
        <v>-7.7313595769816468</v>
      </c>
      <c r="E1160" s="11">
        <f t="shared" si="2556"/>
        <v>-2</v>
      </c>
      <c r="F1160" s="11">
        <f>0</f>
        <v>0</v>
      </c>
      <c r="G1160" s="12">
        <f>0</f>
        <v>0</v>
      </c>
    </row>
    <row r="1161" spans="1:10" x14ac:dyDescent="0.25">
      <c r="B1161" t="s">
        <v>21</v>
      </c>
      <c r="C1161" s="1" cm="1">
        <f t="array" ref="C1161:G1161">-MMULT(C1155:G1155,C1156:G1160)</f>
        <v>-1.2436178804329737E-15</v>
      </c>
      <c r="D1161" s="1">
        <v>-1.4483844441386847E-15</v>
      </c>
      <c r="E1161" s="1">
        <v>0</v>
      </c>
      <c r="F1161" s="1">
        <v>2.0738244770260952E-15</v>
      </c>
      <c r="G1161" s="1">
        <v>-1.2496057338252283E-15</v>
      </c>
    </row>
    <row r="1162" spans="1:10" x14ac:dyDescent="0.25">
      <c r="B1162" t="s">
        <v>13</v>
      </c>
      <c r="C1162" s="1">
        <f t="shared" ref="C1162" si="2559">J1155/SUMPRODUCT(_xlfn.ANCHORARRAY(C1161),_xlfn.ANCHORARRAY(C1161))</f>
        <v>1.6206986294211755E-2</v>
      </c>
    </row>
    <row r="1163" spans="1:10" x14ac:dyDescent="0.25">
      <c r="A1163" s="1" t="s">
        <v>4</v>
      </c>
      <c r="B1163" t="s">
        <v>18</v>
      </c>
      <c r="C1163" s="1" cm="1">
        <f t="array" ref="C1163:G1163">C1154:G1154+C1162*C1161:G1161</f>
        <v>-1.1255447834430667</v>
      </c>
      <c r="D1163" s="1">
        <v>1.9328398942454117</v>
      </c>
      <c r="E1163" s="1">
        <v>0.39755547298133398</v>
      </c>
      <c r="F1163" s="1">
        <v>-0.67495954138082259</v>
      </c>
      <c r="G1163" s="1">
        <v>-0.12015140458184533</v>
      </c>
    </row>
    <row r="1164" spans="1:10" x14ac:dyDescent="0.25">
      <c r="A1164" s="1">
        <v>130</v>
      </c>
      <c r="B1164" t="s">
        <v>19</v>
      </c>
      <c r="C1164" s="1">
        <f t="shared" ref="C1164" si="2560">2*C1163-F1163*(D1163^2)-2*G1163*C1163</f>
        <v>5.5511151231257827E-16</v>
      </c>
      <c r="D1164" s="1">
        <f t="shared" ref="D1164" si="2561">2*D1163-2*F1163*C1163*D1163+4*G1163*D1163</f>
        <v>-8.8817841970012523E-16</v>
      </c>
      <c r="E1164" s="1">
        <f t="shared" ref="E1164" si="2562">4*E1163+2*F1163+2*G1163</f>
        <v>0</v>
      </c>
      <c r="F1164" s="1">
        <f t="shared" ref="F1164" si="2563">C1163*(D1163^2)-2*E1163+5</f>
        <v>0</v>
      </c>
      <c r="G1164" s="1">
        <f t="shared" ref="G1164" si="2564">C1163^2-2*(D1163^2)-2*E1163+7</f>
        <v>0</v>
      </c>
      <c r="J1164" s="1">
        <f t="shared" ref="J1164" si="2565">0.5*(C1164*C1164+D1164*D1164+E1164*E1164+F1164*F1164+G1164*G1164)</f>
        <v>5.4850484816148477E-31</v>
      </c>
    </row>
    <row r="1165" spans="1:10" x14ac:dyDescent="0.25">
      <c r="C1165" s="5">
        <f t="shared" ref="C1165" si="2566">2-2*G1163</f>
        <v>2.2403028091636905</v>
      </c>
      <c r="D1165" s="6">
        <f t="shared" ref="D1165" si="2567">-2*F1163*D1163</f>
        <v>2.6091774571648814</v>
      </c>
      <c r="E1165" s="6">
        <f>0</f>
        <v>0</v>
      </c>
      <c r="F1165" s="6">
        <f t="shared" ref="F1165" si="2568">-(D1163^2)</f>
        <v>-3.7358700567866143</v>
      </c>
      <c r="G1165" s="7">
        <f t="shared" ref="G1165" si="2569">-2*C1163</f>
        <v>2.2510895668861335</v>
      </c>
    </row>
    <row r="1166" spans="1:10" x14ac:dyDescent="0.25">
      <c r="C1166" s="8">
        <f t="shared" ref="C1166" si="2570">-2*F1163*D1163</f>
        <v>2.6091774571648814</v>
      </c>
      <c r="D1166" s="1">
        <f t="shared" ref="D1166" si="2571">2-2*F1163*C1163+4*G1163</f>
        <v>-4.9960036108132044E-16</v>
      </c>
      <c r="E1166" s="1">
        <f>0</f>
        <v>0</v>
      </c>
      <c r="F1166" s="1">
        <f t="shared" ref="F1166" si="2572">-2*C1163*D1163</f>
        <v>4.3509957203971439</v>
      </c>
      <c r="G1166" s="9">
        <f t="shared" ref="G1166" si="2573">4*D1163</f>
        <v>7.7313595769816468</v>
      </c>
    </row>
    <row r="1167" spans="1:10" x14ac:dyDescent="0.25">
      <c r="B1167" t="s">
        <v>20</v>
      </c>
      <c r="C1167" s="8">
        <f>0</f>
        <v>0</v>
      </c>
      <c r="D1167" s="1">
        <f>0</f>
        <v>0</v>
      </c>
      <c r="E1167" s="1">
        <f>4</f>
        <v>4</v>
      </c>
      <c r="F1167" s="1">
        <f>2</f>
        <v>2</v>
      </c>
      <c r="G1167" s="9">
        <f>2</f>
        <v>2</v>
      </c>
    </row>
    <row r="1168" spans="1:10" x14ac:dyDescent="0.25">
      <c r="C1168" s="8">
        <f t="shared" ref="C1168" si="2574">(D1163^2)</f>
        <v>3.7358700567866143</v>
      </c>
      <c r="D1168" s="1">
        <f t="shared" ref="D1168" si="2575">2*C1163*D1163</f>
        <v>-4.3509957203971439</v>
      </c>
      <c r="E1168" s="1">
        <f t="shared" ref="E1168:E1169" si="2576">-2</f>
        <v>-2</v>
      </c>
      <c r="F1168" s="1">
        <f>0</f>
        <v>0</v>
      </c>
      <c r="G1168" s="9">
        <f>0</f>
        <v>0</v>
      </c>
    </row>
    <row r="1169" spans="1:10" x14ac:dyDescent="0.25">
      <c r="C1169" s="10">
        <f t="shared" ref="C1169" si="2577">2*C1163</f>
        <v>-2.2510895668861335</v>
      </c>
      <c r="D1169" s="11">
        <f t="shared" ref="D1169" si="2578">-4*D1163</f>
        <v>-7.7313595769816468</v>
      </c>
      <c r="E1169" s="11">
        <f t="shared" si="2576"/>
        <v>-2</v>
      </c>
      <c r="F1169" s="11">
        <f>0</f>
        <v>0</v>
      </c>
      <c r="G1169" s="12">
        <f>0</f>
        <v>0</v>
      </c>
    </row>
    <row r="1170" spans="1:10" x14ac:dyDescent="0.25">
      <c r="B1170" t="s">
        <v>21</v>
      </c>
      <c r="C1170" s="1" cm="1">
        <f t="array" ref="C1170:G1170">-MMULT(C1164:G1164,C1165:G1169)</f>
        <v>1.0737972301889219E-15</v>
      </c>
      <c r="D1170" s="1">
        <v>-1.448384444138685E-15</v>
      </c>
      <c r="E1170" s="1">
        <v>0</v>
      </c>
      <c r="F1170" s="1">
        <v>5.9382849800904388E-15</v>
      </c>
      <c r="G1170" s="1">
        <v>5.6172209973917592E-15</v>
      </c>
    </row>
    <row r="1171" spans="1:10" x14ac:dyDescent="0.25">
      <c r="B1171" t="s">
        <v>13</v>
      </c>
      <c r="C1171" s="1">
        <f t="shared" ref="C1171" si="2579">J1164/SUMPRODUCT(_xlfn.ANCHORARRAY(C1170),_xlfn.ANCHORARRAY(C1170))</f>
        <v>7.828261901978455E-3</v>
      </c>
    </row>
    <row r="1172" spans="1:10" x14ac:dyDescent="0.25">
      <c r="A1172" s="1" t="s">
        <v>4</v>
      </c>
      <c r="B1172" t="s">
        <v>18</v>
      </c>
      <c r="C1172" s="1" cm="1">
        <f t="array" ref="C1172:G1172">C1163:G1163+C1171*C1170:G1170</f>
        <v>-1.1255447834430667</v>
      </c>
      <c r="D1172" s="1">
        <v>1.9328398942454117</v>
      </c>
      <c r="E1172" s="1">
        <v>0.39755547298133398</v>
      </c>
      <c r="F1172" s="1">
        <v>-0.67495954138082259</v>
      </c>
      <c r="G1172" s="1">
        <v>-0.12015140458184528</v>
      </c>
    </row>
    <row r="1173" spans="1:10" x14ac:dyDescent="0.25">
      <c r="A1173" s="1">
        <v>131</v>
      </c>
      <c r="B1173" t="s">
        <v>19</v>
      </c>
      <c r="C1173" s="1">
        <f t="shared" ref="C1173" si="2580">2*C1172-F1172*(D1172^2)-2*G1172*C1172</f>
        <v>6.106226635438361E-16</v>
      </c>
      <c r="D1173" s="1">
        <f t="shared" ref="D1173" si="2581">2*D1172-2*F1172*C1172*D1172+4*G1172*D1172</f>
        <v>0</v>
      </c>
      <c r="E1173" s="1">
        <f t="shared" ref="E1173" si="2582">4*E1172+2*F1172+2*G1172</f>
        <v>0</v>
      </c>
      <c r="F1173" s="1">
        <f t="shared" ref="F1173" si="2583">C1172*(D1172^2)-2*E1172+5</f>
        <v>0</v>
      </c>
      <c r="G1173" s="1">
        <f t="shared" ref="G1173" si="2584">C1172^2-2*(D1172^2)-2*E1172+7</f>
        <v>0</v>
      </c>
      <c r="J1173" s="1">
        <f t="shared" ref="J1173" si="2585">0.5*(C1173*C1173+D1173*D1173+E1173*E1173+F1173*F1173+G1173*G1173)</f>
        <v>1.8643001861668443E-31</v>
      </c>
    </row>
    <row r="1174" spans="1:10" x14ac:dyDescent="0.25">
      <c r="C1174" s="5">
        <f t="shared" ref="C1174" si="2586">2-2*G1172</f>
        <v>2.2403028091636905</v>
      </c>
      <c r="D1174" s="6">
        <f t="shared" ref="D1174" si="2587">-2*F1172*D1172</f>
        <v>2.6091774571648814</v>
      </c>
      <c r="E1174" s="6">
        <f>0</f>
        <v>0</v>
      </c>
      <c r="F1174" s="6">
        <f t="shared" ref="F1174" si="2588">-(D1172^2)</f>
        <v>-3.7358700567866143</v>
      </c>
      <c r="G1174" s="7">
        <f t="shared" ref="G1174" si="2589">-2*C1172</f>
        <v>2.2510895668861335</v>
      </c>
    </row>
    <row r="1175" spans="1:10" x14ac:dyDescent="0.25">
      <c r="C1175" s="8">
        <f t="shared" ref="C1175" si="2590">-2*F1172*D1172</f>
        <v>2.6091774571648814</v>
      </c>
      <c r="D1175" s="1">
        <f t="shared" ref="D1175" si="2591">2-2*F1172*C1172+4*G1172</f>
        <v>0</v>
      </c>
      <c r="E1175" s="1">
        <f>0</f>
        <v>0</v>
      </c>
      <c r="F1175" s="1">
        <f t="shared" ref="F1175" si="2592">-2*C1172*D1172</f>
        <v>4.3509957203971439</v>
      </c>
      <c r="G1175" s="9">
        <f t="shared" ref="G1175" si="2593">4*D1172</f>
        <v>7.7313595769816468</v>
      </c>
    </row>
    <row r="1176" spans="1:10" x14ac:dyDescent="0.25">
      <c r="B1176" t="s">
        <v>20</v>
      </c>
      <c r="C1176" s="8">
        <f>0</f>
        <v>0</v>
      </c>
      <c r="D1176" s="1">
        <f>0</f>
        <v>0</v>
      </c>
      <c r="E1176" s="1">
        <f>4</f>
        <v>4</v>
      </c>
      <c r="F1176" s="1">
        <f>2</f>
        <v>2</v>
      </c>
      <c r="G1176" s="9">
        <f>2</f>
        <v>2</v>
      </c>
    </row>
    <row r="1177" spans="1:10" x14ac:dyDescent="0.25">
      <c r="C1177" s="8">
        <f t="shared" ref="C1177" si="2594">(D1172^2)</f>
        <v>3.7358700567866143</v>
      </c>
      <c r="D1177" s="1">
        <f t="shared" ref="D1177" si="2595">2*C1172*D1172</f>
        <v>-4.3509957203971439</v>
      </c>
      <c r="E1177" s="1">
        <f t="shared" ref="E1177:E1178" si="2596">-2</f>
        <v>-2</v>
      </c>
      <c r="F1177" s="1">
        <f>0</f>
        <v>0</v>
      </c>
      <c r="G1177" s="9">
        <f>0</f>
        <v>0</v>
      </c>
    </row>
    <row r="1178" spans="1:10" x14ac:dyDescent="0.25">
      <c r="C1178" s="10">
        <f t="shared" ref="C1178" si="2597">2*C1172</f>
        <v>-2.2510895668861335</v>
      </c>
      <c r="D1178" s="11">
        <f t="shared" ref="D1178" si="2598">-4*D1172</f>
        <v>-7.7313595769816468</v>
      </c>
      <c r="E1178" s="11">
        <f t="shared" si="2596"/>
        <v>-2</v>
      </c>
      <c r="F1178" s="11">
        <f>0</f>
        <v>0</v>
      </c>
      <c r="G1178" s="12">
        <f>0</f>
        <v>0</v>
      </c>
    </row>
    <row r="1179" spans="1:10" x14ac:dyDescent="0.25">
      <c r="B1179" t="s">
        <v>21</v>
      </c>
      <c r="C1179" s="1" cm="1">
        <f t="array" ref="C1179:G1179">-MMULT(C1173:G1173,C1174:G1178)</f>
        <v>-1.367979668476271E-15</v>
      </c>
      <c r="D1179" s="1">
        <v>-1.5932228885525532E-15</v>
      </c>
      <c r="E1179" s="1">
        <v>0</v>
      </c>
      <c r="F1179" s="1">
        <v>2.2812069247287048E-15</v>
      </c>
      <c r="G1179" s="1">
        <v>-1.3745663072077511E-15</v>
      </c>
    </row>
    <row r="1180" spans="1:10" x14ac:dyDescent="0.25">
      <c r="B1180" t="s">
        <v>13</v>
      </c>
      <c r="C1180" s="1">
        <f t="shared" ref="C1180" si="2599">J1173/SUMPRODUCT(_xlfn.ANCHORARRAY(C1179),_xlfn.ANCHORARRAY(C1179))</f>
        <v>1.6206986294211755E-2</v>
      </c>
    </row>
    <row r="1181" spans="1:10" x14ac:dyDescent="0.25">
      <c r="A1181" s="1" t="s">
        <v>4</v>
      </c>
      <c r="B1181" t="s">
        <v>18</v>
      </c>
      <c r="C1181" s="1" cm="1">
        <f t="array" ref="C1181:G1181">C1172:G1172+C1180*C1179:G1179</f>
        <v>-1.1255447834430667</v>
      </c>
      <c r="D1181" s="1">
        <v>1.9328398942454117</v>
      </c>
      <c r="E1181" s="1">
        <v>0.39755547298133398</v>
      </c>
      <c r="F1181" s="1">
        <v>-0.67495954138082259</v>
      </c>
      <c r="G1181" s="1">
        <v>-0.12015140458184531</v>
      </c>
    </row>
    <row r="1182" spans="1:10" x14ac:dyDescent="0.25">
      <c r="A1182" s="1">
        <v>132</v>
      </c>
      <c r="B1182" t="s">
        <v>19</v>
      </c>
      <c r="C1182" s="1">
        <f t="shared" ref="C1182" si="2600">2*C1181-F1181*(D1181^2)-2*G1181*C1181</f>
        <v>5.5511151231257827E-16</v>
      </c>
      <c r="D1182" s="1">
        <f t="shared" ref="D1182" si="2601">2*D1181-2*F1181*C1181*D1181+4*G1181*D1181</f>
        <v>0</v>
      </c>
      <c r="E1182" s="1">
        <f t="shared" ref="E1182" si="2602">4*E1181+2*F1181+2*G1181</f>
        <v>0</v>
      </c>
      <c r="F1182" s="1">
        <f t="shared" ref="F1182" si="2603">C1181*(D1181^2)-2*E1181+5</f>
        <v>0</v>
      </c>
      <c r="G1182" s="1">
        <f t="shared" ref="G1182" si="2604">C1181^2-2*(D1181^2)-2*E1181+7</f>
        <v>0</v>
      </c>
      <c r="J1182" s="1">
        <f t="shared" ref="J1182" si="2605">0.5*(C1182*C1182+D1182*D1182+E1182*E1182+F1182*F1182+G1182*G1182)</f>
        <v>1.5407439555097887E-31</v>
      </c>
    </row>
    <row r="1183" spans="1:10" x14ac:dyDescent="0.25">
      <c r="C1183" s="5">
        <f t="shared" ref="C1183" si="2606">2-2*G1181</f>
        <v>2.2403028091636905</v>
      </c>
      <c r="D1183" s="6">
        <f t="shared" ref="D1183" si="2607">-2*F1181*D1181</f>
        <v>2.6091774571648814</v>
      </c>
      <c r="E1183" s="6">
        <f>0</f>
        <v>0</v>
      </c>
      <c r="F1183" s="6">
        <f t="shared" ref="F1183" si="2608">-(D1181^2)</f>
        <v>-3.7358700567866143</v>
      </c>
      <c r="G1183" s="7">
        <f t="shared" ref="G1183" si="2609">-2*C1181</f>
        <v>2.2510895668861335</v>
      </c>
    </row>
    <row r="1184" spans="1:10" x14ac:dyDescent="0.25">
      <c r="C1184" s="8">
        <f t="shared" ref="C1184" si="2610">-2*F1181*D1181</f>
        <v>2.6091774571648814</v>
      </c>
      <c r="D1184" s="1">
        <f t="shared" ref="D1184" si="2611">2-2*F1181*C1181+4*G1181</f>
        <v>-4.4408920985006262E-16</v>
      </c>
      <c r="E1184" s="1">
        <f>0</f>
        <v>0</v>
      </c>
      <c r="F1184" s="1">
        <f t="shared" ref="F1184" si="2612">-2*C1181*D1181</f>
        <v>4.3509957203971439</v>
      </c>
      <c r="G1184" s="9">
        <f t="shared" ref="G1184" si="2613">4*D1181</f>
        <v>7.7313595769816468</v>
      </c>
    </row>
    <row r="1185" spans="1:10" x14ac:dyDescent="0.25">
      <c r="B1185" t="s">
        <v>20</v>
      </c>
      <c r="C1185" s="8">
        <f>0</f>
        <v>0</v>
      </c>
      <c r="D1185" s="1">
        <f>0</f>
        <v>0</v>
      </c>
      <c r="E1185" s="1">
        <f>4</f>
        <v>4</v>
      </c>
      <c r="F1185" s="1">
        <f>2</f>
        <v>2</v>
      </c>
      <c r="G1185" s="9">
        <f>2</f>
        <v>2</v>
      </c>
    </row>
    <row r="1186" spans="1:10" x14ac:dyDescent="0.25">
      <c r="C1186" s="8">
        <f t="shared" ref="C1186" si="2614">(D1181^2)</f>
        <v>3.7358700567866143</v>
      </c>
      <c r="D1186" s="1">
        <f t="shared" ref="D1186" si="2615">2*C1181*D1181</f>
        <v>-4.3509957203971439</v>
      </c>
      <c r="E1186" s="1">
        <f t="shared" ref="E1186:E1187" si="2616">-2</f>
        <v>-2</v>
      </c>
      <c r="F1186" s="1">
        <f>0</f>
        <v>0</v>
      </c>
      <c r="G1186" s="9">
        <f>0</f>
        <v>0</v>
      </c>
    </row>
    <row r="1187" spans="1:10" x14ac:dyDescent="0.25">
      <c r="C1187" s="10">
        <f t="shared" ref="C1187" si="2617">2*C1181</f>
        <v>-2.2510895668861335</v>
      </c>
      <c r="D1187" s="11">
        <f t="shared" ref="D1187" si="2618">-4*D1181</f>
        <v>-7.7313595769816468</v>
      </c>
      <c r="E1187" s="11">
        <f t="shared" si="2616"/>
        <v>-2</v>
      </c>
      <c r="F1187" s="11">
        <f>0</f>
        <v>0</v>
      </c>
      <c r="G1187" s="12">
        <f>0</f>
        <v>0</v>
      </c>
    </row>
    <row r="1188" spans="1:10" x14ac:dyDescent="0.25">
      <c r="B1188" t="s">
        <v>21</v>
      </c>
      <c r="C1188" s="1" cm="1">
        <f t="array" ref="C1188:G1188">-MMULT(C1182:G1182,C1183:G1187)</f>
        <v>-1.2436178804329737E-15</v>
      </c>
      <c r="D1188" s="1">
        <v>-1.4483844441386847E-15</v>
      </c>
      <c r="E1188" s="1">
        <v>0</v>
      </c>
      <c r="F1188" s="1">
        <v>2.0738244770260952E-15</v>
      </c>
      <c r="G1188" s="1">
        <v>-1.2496057338252283E-15</v>
      </c>
    </row>
    <row r="1189" spans="1:10" x14ac:dyDescent="0.25">
      <c r="B1189" t="s">
        <v>13</v>
      </c>
      <c r="C1189" s="1">
        <f t="shared" ref="C1189" si="2619">J1182/SUMPRODUCT(_xlfn.ANCHORARRAY(C1188),_xlfn.ANCHORARRAY(C1188))</f>
        <v>1.6206986294211755E-2</v>
      </c>
    </row>
    <row r="1190" spans="1:10" x14ac:dyDescent="0.25">
      <c r="A1190" s="1" t="s">
        <v>4</v>
      </c>
      <c r="B1190" t="s">
        <v>18</v>
      </c>
      <c r="C1190" s="1" cm="1">
        <f t="array" ref="C1190:G1190">C1181:G1181+C1189*C1188:G1188</f>
        <v>-1.1255447834430667</v>
      </c>
      <c r="D1190" s="1">
        <v>1.9328398942454117</v>
      </c>
      <c r="E1190" s="1">
        <v>0.39755547298133398</v>
      </c>
      <c r="F1190" s="1">
        <v>-0.67495954138082259</v>
      </c>
      <c r="G1190" s="1">
        <v>-0.12015140458184533</v>
      </c>
    </row>
    <row r="1191" spans="1:10" x14ac:dyDescent="0.25">
      <c r="A1191" s="1">
        <v>133</v>
      </c>
      <c r="B1191" t="s">
        <v>19</v>
      </c>
      <c r="C1191" s="1">
        <f t="shared" ref="C1191" si="2620">2*C1190-F1190*(D1190^2)-2*G1190*C1190</f>
        <v>5.5511151231257827E-16</v>
      </c>
      <c r="D1191" s="1">
        <f t="shared" ref="D1191" si="2621">2*D1190-2*F1190*C1190*D1190+4*G1190*D1190</f>
        <v>-8.8817841970012523E-16</v>
      </c>
      <c r="E1191" s="1">
        <f t="shared" ref="E1191" si="2622">4*E1190+2*F1190+2*G1190</f>
        <v>0</v>
      </c>
      <c r="F1191" s="1">
        <f t="shared" ref="F1191" si="2623">C1190*(D1190^2)-2*E1190+5</f>
        <v>0</v>
      </c>
      <c r="G1191" s="1">
        <f t="shared" ref="G1191" si="2624">C1190^2-2*(D1190^2)-2*E1190+7</f>
        <v>0</v>
      </c>
      <c r="J1191" s="1">
        <f t="shared" ref="J1191" si="2625">0.5*(C1191*C1191+D1191*D1191+E1191*E1191+F1191*F1191+G1191*G1191)</f>
        <v>5.4850484816148477E-31</v>
      </c>
    </row>
    <row r="1192" spans="1:10" x14ac:dyDescent="0.25">
      <c r="C1192" s="5">
        <f t="shared" ref="C1192" si="2626">2-2*G1190</f>
        <v>2.2403028091636905</v>
      </c>
      <c r="D1192" s="6">
        <f t="shared" ref="D1192" si="2627">-2*F1190*D1190</f>
        <v>2.6091774571648814</v>
      </c>
      <c r="E1192" s="6">
        <f>0</f>
        <v>0</v>
      </c>
      <c r="F1192" s="6">
        <f t="shared" ref="F1192" si="2628">-(D1190^2)</f>
        <v>-3.7358700567866143</v>
      </c>
      <c r="G1192" s="7">
        <f t="shared" ref="G1192" si="2629">-2*C1190</f>
        <v>2.2510895668861335</v>
      </c>
    </row>
    <row r="1193" spans="1:10" x14ac:dyDescent="0.25">
      <c r="C1193" s="8">
        <f t="shared" ref="C1193" si="2630">-2*F1190*D1190</f>
        <v>2.6091774571648814</v>
      </c>
      <c r="D1193" s="1">
        <f t="shared" ref="D1193" si="2631">2-2*F1190*C1190+4*G1190</f>
        <v>-4.9960036108132044E-16</v>
      </c>
      <c r="E1193" s="1">
        <f>0</f>
        <v>0</v>
      </c>
      <c r="F1193" s="1">
        <f t="shared" ref="F1193" si="2632">-2*C1190*D1190</f>
        <v>4.3509957203971439</v>
      </c>
      <c r="G1193" s="9">
        <f t="shared" ref="G1193" si="2633">4*D1190</f>
        <v>7.7313595769816468</v>
      </c>
    </row>
    <row r="1194" spans="1:10" x14ac:dyDescent="0.25">
      <c r="B1194" t="s">
        <v>20</v>
      </c>
      <c r="C1194" s="8">
        <f>0</f>
        <v>0</v>
      </c>
      <c r="D1194" s="1">
        <f>0</f>
        <v>0</v>
      </c>
      <c r="E1194" s="1">
        <f>4</f>
        <v>4</v>
      </c>
      <c r="F1194" s="1">
        <f>2</f>
        <v>2</v>
      </c>
      <c r="G1194" s="9">
        <f>2</f>
        <v>2</v>
      </c>
    </row>
    <row r="1195" spans="1:10" x14ac:dyDescent="0.25">
      <c r="C1195" s="8">
        <f t="shared" ref="C1195" si="2634">(D1190^2)</f>
        <v>3.7358700567866143</v>
      </c>
      <c r="D1195" s="1">
        <f t="shared" ref="D1195" si="2635">2*C1190*D1190</f>
        <v>-4.3509957203971439</v>
      </c>
      <c r="E1195" s="1">
        <f t="shared" ref="E1195:E1196" si="2636">-2</f>
        <v>-2</v>
      </c>
      <c r="F1195" s="1">
        <f>0</f>
        <v>0</v>
      </c>
      <c r="G1195" s="9">
        <f>0</f>
        <v>0</v>
      </c>
    </row>
    <row r="1196" spans="1:10" x14ac:dyDescent="0.25">
      <c r="C1196" s="10">
        <f t="shared" ref="C1196" si="2637">2*C1190</f>
        <v>-2.2510895668861335</v>
      </c>
      <c r="D1196" s="11">
        <f t="shared" ref="D1196" si="2638">-4*D1190</f>
        <v>-7.7313595769816468</v>
      </c>
      <c r="E1196" s="11">
        <f t="shared" si="2636"/>
        <v>-2</v>
      </c>
      <c r="F1196" s="11">
        <f>0</f>
        <v>0</v>
      </c>
      <c r="G1196" s="12">
        <f>0</f>
        <v>0</v>
      </c>
    </row>
    <row r="1197" spans="1:10" x14ac:dyDescent="0.25">
      <c r="B1197" t="s">
        <v>21</v>
      </c>
      <c r="C1197" s="1" cm="1">
        <f t="array" ref="C1197:G1197">-MMULT(C1191:G1191,C1192:G1196)</f>
        <v>1.0737972301889219E-15</v>
      </c>
      <c r="D1197" s="1">
        <v>-1.448384444138685E-15</v>
      </c>
      <c r="E1197" s="1">
        <v>0</v>
      </c>
      <c r="F1197" s="1">
        <v>5.9382849800904388E-15</v>
      </c>
      <c r="G1197" s="1">
        <v>5.6172209973917592E-15</v>
      </c>
    </row>
    <row r="1198" spans="1:10" x14ac:dyDescent="0.25">
      <c r="B1198" t="s">
        <v>13</v>
      </c>
      <c r="C1198" s="1">
        <f t="shared" ref="C1198" si="2639">J1191/SUMPRODUCT(_xlfn.ANCHORARRAY(C1197),_xlfn.ANCHORARRAY(C1197))</f>
        <v>7.828261901978455E-3</v>
      </c>
    </row>
    <row r="1199" spans="1:10" x14ac:dyDescent="0.25">
      <c r="A1199" s="1" t="s">
        <v>4</v>
      </c>
      <c r="B1199" t="s">
        <v>18</v>
      </c>
      <c r="C1199" s="1" cm="1">
        <f t="array" ref="C1199:G1199">C1190:G1190+C1198*C1197:G1197</f>
        <v>-1.1255447834430667</v>
      </c>
      <c r="D1199" s="1">
        <v>1.9328398942454117</v>
      </c>
      <c r="E1199" s="1">
        <v>0.39755547298133398</v>
      </c>
      <c r="F1199" s="1">
        <v>-0.67495954138082259</v>
      </c>
      <c r="G1199" s="1">
        <v>-0.12015140458184528</v>
      </c>
    </row>
    <row r="1200" spans="1:10" x14ac:dyDescent="0.25">
      <c r="A1200" s="1">
        <v>134</v>
      </c>
      <c r="B1200" t="s">
        <v>19</v>
      </c>
      <c r="C1200" s="1">
        <f t="shared" ref="C1200" si="2640">2*C1199-F1199*(D1199^2)-2*G1199*C1199</f>
        <v>6.106226635438361E-16</v>
      </c>
      <c r="D1200" s="1">
        <f t="shared" ref="D1200" si="2641">2*D1199-2*F1199*C1199*D1199+4*G1199*D1199</f>
        <v>0</v>
      </c>
      <c r="E1200" s="1">
        <f t="shared" ref="E1200" si="2642">4*E1199+2*F1199+2*G1199</f>
        <v>0</v>
      </c>
      <c r="F1200" s="1">
        <f t="shared" ref="F1200" si="2643">C1199*(D1199^2)-2*E1199+5</f>
        <v>0</v>
      </c>
      <c r="G1200" s="1">
        <f t="shared" ref="G1200" si="2644">C1199^2-2*(D1199^2)-2*E1199+7</f>
        <v>0</v>
      </c>
      <c r="J1200" s="1">
        <f t="shared" ref="J1200" si="2645">0.5*(C1200*C1200+D1200*D1200+E1200*E1200+F1200*F1200+G1200*G1200)</f>
        <v>1.8643001861668443E-31</v>
      </c>
    </row>
    <row r="1201" spans="1:10" x14ac:dyDescent="0.25">
      <c r="C1201" s="5">
        <f t="shared" ref="C1201" si="2646">2-2*G1199</f>
        <v>2.2403028091636905</v>
      </c>
      <c r="D1201" s="6">
        <f t="shared" ref="D1201" si="2647">-2*F1199*D1199</f>
        <v>2.6091774571648814</v>
      </c>
      <c r="E1201" s="6">
        <f>0</f>
        <v>0</v>
      </c>
      <c r="F1201" s="6">
        <f t="shared" ref="F1201" si="2648">-(D1199^2)</f>
        <v>-3.7358700567866143</v>
      </c>
      <c r="G1201" s="7">
        <f t="shared" ref="G1201" si="2649">-2*C1199</f>
        <v>2.2510895668861335</v>
      </c>
    </row>
    <row r="1202" spans="1:10" x14ac:dyDescent="0.25">
      <c r="C1202" s="8">
        <f t="shared" ref="C1202" si="2650">-2*F1199*D1199</f>
        <v>2.6091774571648814</v>
      </c>
      <c r="D1202" s="1">
        <f t="shared" ref="D1202" si="2651">2-2*F1199*C1199+4*G1199</f>
        <v>0</v>
      </c>
      <c r="E1202" s="1">
        <f>0</f>
        <v>0</v>
      </c>
      <c r="F1202" s="1">
        <f t="shared" ref="F1202" si="2652">-2*C1199*D1199</f>
        <v>4.3509957203971439</v>
      </c>
      <c r="G1202" s="9">
        <f t="shared" ref="G1202" si="2653">4*D1199</f>
        <v>7.7313595769816468</v>
      </c>
    </row>
    <row r="1203" spans="1:10" x14ac:dyDescent="0.25">
      <c r="B1203" t="s">
        <v>20</v>
      </c>
      <c r="C1203" s="8">
        <f>0</f>
        <v>0</v>
      </c>
      <c r="D1203" s="1">
        <f>0</f>
        <v>0</v>
      </c>
      <c r="E1203" s="1">
        <f>4</f>
        <v>4</v>
      </c>
      <c r="F1203" s="1">
        <f>2</f>
        <v>2</v>
      </c>
      <c r="G1203" s="9">
        <f>2</f>
        <v>2</v>
      </c>
    </row>
    <row r="1204" spans="1:10" x14ac:dyDescent="0.25">
      <c r="C1204" s="8">
        <f t="shared" ref="C1204" si="2654">(D1199^2)</f>
        <v>3.7358700567866143</v>
      </c>
      <c r="D1204" s="1">
        <f t="shared" ref="D1204" si="2655">2*C1199*D1199</f>
        <v>-4.3509957203971439</v>
      </c>
      <c r="E1204" s="1">
        <f t="shared" ref="E1204:E1205" si="2656">-2</f>
        <v>-2</v>
      </c>
      <c r="F1204" s="1">
        <f>0</f>
        <v>0</v>
      </c>
      <c r="G1204" s="9">
        <f>0</f>
        <v>0</v>
      </c>
    </row>
    <row r="1205" spans="1:10" x14ac:dyDescent="0.25">
      <c r="C1205" s="10">
        <f t="shared" ref="C1205" si="2657">2*C1199</f>
        <v>-2.2510895668861335</v>
      </c>
      <c r="D1205" s="11">
        <f t="shared" ref="D1205" si="2658">-4*D1199</f>
        <v>-7.7313595769816468</v>
      </c>
      <c r="E1205" s="11">
        <f t="shared" si="2656"/>
        <v>-2</v>
      </c>
      <c r="F1205" s="11">
        <f>0</f>
        <v>0</v>
      </c>
      <c r="G1205" s="12">
        <f>0</f>
        <v>0</v>
      </c>
    </row>
    <row r="1206" spans="1:10" x14ac:dyDescent="0.25">
      <c r="B1206" t="s">
        <v>21</v>
      </c>
      <c r="C1206" s="1" cm="1">
        <f t="array" ref="C1206:G1206">-MMULT(C1200:G1200,C1201:G1205)</f>
        <v>-1.367979668476271E-15</v>
      </c>
      <c r="D1206" s="1">
        <v>-1.5932228885525532E-15</v>
      </c>
      <c r="E1206" s="1">
        <v>0</v>
      </c>
      <c r="F1206" s="1">
        <v>2.2812069247287048E-15</v>
      </c>
      <c r="G1206" s="1">
        <v>-1.3745663072077511E-15</v>
      </c>
    </row>
    <row r="1207" spans="1:10" x14ac:dyDescent="0.25">
      <c r="B1207" t="s">
        <v>13</v>
      </c>
      <c r="C1207" s="1">
        <f t="shared" ref="C1207" si="2659">J1200/SUMPRODUCT(_xlfn.ANCHORARRAY(C1206),_xlfn.ANCHORARRAY(C1206))</f>
        <v>1.6206986294211755E-2</v>
      </c>
    </row>
    <row r="1208" spans="1:10" x14ac:dyDescent="0.25">
      <c r="A1208" s="1" t="s">
        <v>4</v>
      </c>
      <c r="B1208" t="s">
        <v>18</v>
      </c>
      <c r="C1208" s="1" cm="1">
        <f t="array" ref="C1208:G1208">C1199:G1199+C1207*C1206:G1206</f>
        <v>-1.1255447834430667</v>
      </c>
      <c r="D1208" s="1">
        <v>1.9328398942454117</v>
      </c>
      <c r="E1208" s="1">
        <v>0.39755547298133398</v>
      </c>
      <c r="F1208" s="1">
        <v>-0.67495954138082259</v>
      </c>
      <c r="G1208" s="1">
        <v>-0.12015140458184531</v>
      </c>
    </row>
    <row r="1209" spans="1:10" x14ac:dyDescent="0.25">
      <c r="A1209" s="1">
        <v>135</v>
      </c>
      <c r="B1209" t="s">
        <v>19</v>
      </c>
      <c r="C1209" s="1">
        <f t="shared" ref="C1209" si="2660">2*C1208-F1208*(D1208^2)-2*G1208*C1208</f>
        <v>5.5511151231257827E-16</v>
      </c>
      <c r="D1209" s="1">
        <f t="shared" ref="D1209" si="2661">2*D1208-2*F1208*C1208*D1208+4*G1208*D1208</f>
        <v>0</v>
      </c>
      <c r="E1209" s="1">
        <f t="shared" ref="E1209" si="2662">4*E1208+2*F1208+2*G1208</f>
        <v>0</v>
      </c>
      <c r="F1209" s="1">
        <f t="shared" ref="F1209" si="2663">C1208*(D1208^2)-2*E1208+5</f>
        <v>0</v>
      </c>
      <c r="G1209" s="1">
        <f t="shared" ref="G1209" si="2664">C1208^2-2*(D1208^2)-2*E1208+7</f>
        <v>0</v>
      </c>
      <c r="J1209" s="1">
        <f t="shared" ref="J1209" si="2665">0.5*(C1209*C1209+D1209*D1209+E1209*E1209+F1209*F1209+G1209*G1209)</f>
        <v>1.5407439555097887E-31</v>
      </c>
    </row>
    <row r="1210" spans="1:10" x14ac:dyDescent="0.25">
      <c r="C1210" s="5">
        <f t="shared" ref="C1210" si="2666">2-2*G1208</f>
        <v>2.2403028091636905</v>
      </c>
      <c r="D1210" s="6">
        <f t="shared" ref="D1210" si="2667">-2*F1208*D1208</f>
        <v>2.6091774571648814</v>
      </c>
      <c r="E1210" s="6">
        <f>0</f>
        <v>0</v>
      </c>
      <c r="F1210" s="6">
        <f t="shared" ref="F1210" si="2668">-(D1208^2)</f>
        <v>-3.7358700567866143</v>
      </c>
      <c r="G1210" s="7">
        <f t="shared" ref="G1210" si="2669">-2*C1208</f>
        <v>2.2510895668861335</v>
      </c>
    </row>
    <row r="1211" spans="1:10" x14ac:dyDescent="0.25">
      <c r="C1211" s="8">
        <f t="shared" ref="C1211" si="2670">-2*F1208*D1208</f>
        <v>2.6091774571648814</v>
      </c>
      <c r="D1211" s="1">
        <f t="shared" ref="D1211" si="2671">2-2*F1208*C1208+4*G1208</f>
        <v>-4.4408920985006262E-16</v>
      </c>
      <c r="E1211" s="1">
        <f>0</f>
        <v>0</v>
      </c>
      <c r="F1211" s="1">
        <f t="shared" ref="F1211" si="2672">-2*C1208*D1208</f>
        <v>4.3509957203971439</v>
      </c>
      <c r="G1211" s="9">
        <f t="shared" ref="G1211" si="2673">4*D1208</f>
        <v>7.7313595769816468</v>
      </c>
    </row>
    <row r="1212" spans="1:10" x14ac:dyDescent="0.25">
      <c r="B1212" t="s">
        <v>20</v>
      </c>
      <c r="C1212" s="8">
        <f>0</f>
        <v>0</v>
      </c>
      <c r="D1212" s="1">
        <f>0</f>
        <v>0</v>
      </c>
      <c r="E1212" s="1">
        <f>4</f>
        <v>4</v>
      </c>
      <c r="F1212" s="1">
        <f>2</f>
        <v>2</v>
      </c>
      <c r="G1212" s="9">
        <f>2</f>
        <v>2</v>
      </c>
    </row>
    <row r="1213" spans="1:10" x14ac:dyDescent="0.25">
      <c r="C1213" s="8">
        <f t="shared" ref="C1213" si="2674">(D1208^2)</f>
        <v>3.7358700567866143</v>
      </c>
      <c r="D1213" s="1">
        <f t="shared" ref="D1213" si="2675">2*C1208*D1208</f>
        <v>-4.3509957203971439</v>
      </c>
      <c r="E1213" s="1">
        <f t="shared" ref="E1213:E1214" si="2676">-2</f>
        <v>-2</v>
      </c>
      <c r="F1213" s="1">
        <f>0</f>
        <v>0</v>
      </c>
      <c r="G1213" s="9">
        <f>0</f>
        <v>0</v>
      </c>
    </row>
    <row r="1214" spans="1:10" x14ac:dyDescent="0.25">
      <c r="C1214" s="10">
        <f t="shared" ref="C1214" si="2677">2*C1208</f>
        <v>-2.2510895668861335</v>
      </c>
      <c r="D1214" s="11">
        <f t="shared" ref="D1214" si="2678">-4*D1208</f>
        <v>-7.7313595769816468</v>
      </c>
      <c r="E1214" s="11">
        <f t="shared" si="2676"/>
        <v>-2</v>
      </c>
      <c r="F1214" s="11">
        <f>0</f>
        <v>0</v>
      </c>
      <c r="G1214" s="12">
        <f>0</f>
        <v>0</v>
      </c>
    </row>
    <row r="1215" spans="1:10" x14ac:dyDescent="0.25">
      <c r="B1215" t="s">
        <v>21</v>
      </c>
      <c r="C1215" s="1" cm="1">
        <f t="array" ref="C1215:G1215">-MMULT(C1209:G1209,C1210:G1214)</f>
        <v>-1.2436178804329737E-15</v>
      </c>
      <c r="D1215" s="1">
        <v>-1.4483844441386847E-15</v>
      </c>
      <c r="E1215" s="1">
        <v>0</v>
      </c>
      <c r="F1215" s="1">
        <v>2.0738244770260952E-15</v>
      </c>
      <c r="G1215" s="1">
        <v>-1.2496057338252283E-15</v>
      </c>
    </row>
    <row r="1216" spans="1:10" x14ac:dyDescent="0.25">
      <c r="B1216" t="s">
        <v>13</v>
      </c>
      <c r="C1216" s="1">
        <f t="shared" ref="C1216" si="2679">J1209/SUMPRODUCT(_xlfn.ANCHORARRAY(C1215),_xlfn.ANCHORARRAY(C1215))</f>
        <v>1.6206986294211755E-2</v>
      </c>
    </row>
    <row r="1217" spans="1:10" x14ac:dyDescent="0.25">
      <c r="A1217" s="1" t="s">
        <v>4</v>
      </c>
      <c r="B1217" t="s">
        <v>18</v>
      </c>
      <c r="C1217" s="1" cm="1">
        <f t="array" ref="C1217:G1217">C1208:G1208+C1216*C1215:G1215</f>
        <v>-1.1255447834430667</v>
      </c>
      <c r="D1217" s="1">
        <v>1.9328398942454117</v>
      </c>
      <c r="E1217" s="1">
        <v>0.39755547298133398</v>
      </c>
      <c r="F1217" s="1">
        <v>-0.67495954138082259</v>
      </c>
      <c r="G1217" s="1">
        <v>-0.12015140458184533</v>
      </c>
    </row>
    <row r="1218" spans="1:10" x14ac:dyDescent="0.25">
      <c r="A1218" s="1">
        <v>136</v>
      </c>
      <c r="B1218" t="s">
        <v>19</v>
      </c>
      <c r="C1218" s="1">
        <f t="shared" ref="C1218" si="2680">2*C1217-F1217*(D1217^2)-2*G1217*C1217</f>
        <v>5.5511151231257827E-16</v>
      </c>
      <c r="D1218" s="1">
        <f t="shared" ref="D1218" si="2681">2*D1217-2*F1217*C1217*D1217+4*G1217*D1217</f>
        <v>-8.8817841970012523E-16</v>
      </c>
      <c r="E1218" s="1">
        <f t="shared" ref="E1218" si="2682">4*E1217+2*F1217+2*G1217</f>
        <v>0</v>
      </c>
      <c r="F1218" s="1">
        <f t="shared" ref="F1218" si="2683">C1217*(D1217^2)-2*E1217+5</f>
        <v>0</v>
      </c>
      <c r="G1218" s="1">
        <f t="shared" ref="G1218" si="2684">C1217^2-2*(D1217^2)-2*E1217+7</f>
        <v>0</v>
      </c>
      <c r="J1218" s="1">
        <f t="shared" ref="J1218" si="2685">0.5*(C1218*C1218+D1218*D1218+E1218*E1218+F1218*F1218+G1218*G1218)</f>
        <v>5.4850484816148477E-31</v>
      </c>
    </row>
    <row r="1219" spans="1:10" x14ac:dyDescent="0.25">
      <c r="C1219" s="5">
        <f t="shared" ref="C1219" si="2686">2-2*G1217</f>
        <v>2.2403028091636905</v>
      </c>
      <c r="D1219" s="6">
        <f t="shared" ref="D1219" si="2687">-2*F1217*D1217</f>
        <v>2.6091774571648814</v>
      </c>
      <c r="E1219" s="6">
        <f>0</f>
        <v>0</v>
      </c>
      <c r="F1219" s="6">
        <f t="shared" ref="F1219" si="2688">-(D1217^2)</f>
        <v>-3.7358700567866143</v>
      </c>
      <c r="G1219" s="7">
        <f t="shared" ref="G1219" si="2689">-2*C1217</f>
        <v>2.2510895668861335</v>
      </c>
    </row>
    <row r="1220" spans="1:10" x14ac:dyDescent="0.25">
      <c r="C1220" s="8">
        <f t="shared" ref="C1220" si="2690">-2*F1217*D1217</f>
        <v>2.6091774571648814</v>
      </c>
      <c r="D1220" s="1">
        <f t="shared" ref="D1220" si="2691">2-2*F1217*C1217+4*G1217</f>
        <v>-4.9960036108132044E-16</v>
      </c>
      <c r="E1220" s="1">
        <f>0</f>
        <v>0</v>
      </c>
      <c r="F1220" s="1">
        <f t="shared" ref="F1220" si="2692">-2*C1217*D1217</f>
        <v>4.3509957203971439</v>
      </c>
      <c r="G1220" s="9">
        <f t="shared" ref="G1220" si="2693">4*D1217</f>
        <v>7.7313595769816468</v>
      </c>
    </row>
    <row r="1221" spans="1:10" x14ac:dyDescent="0.25">
      <c r="B1221" t="s">
        <v>20</v>
      </c>
      <c r="C1221" s="8">
        <f>0</f>
        <v>0</v>
      </c>
      <c r="D1221" s="1">
        <f>0</f>
        <v>0</v>
      </c>
      <c r="E1221" s="1">
        <f>4</f>
        <v>4</v>
      </c>
      <c r="F1221" s="1">
        <f>2</f>
        <v>2</v>
      </c>
      <c r="G1221" s="9">
        <f>2</f>
        <v>2</v>
      </c>
    </row>
    <row r="1222" spans="1:10" x14ac:dyDescent="0.25">
      <c r="C1222" s="8">
        <f t="shared" ref="C1222" si="2694">(D1217^2)</f>
        <v>3.7358700567866143</v>
      </c>
      <c r="D1222" s="1">
        <f t="shared" ref="D1222" si="2695">2*C1217*D1217</f>
        <v>-4.3509957203971439</v>
      </c>
      <c r="E1222" s="1">
        <f t="shared" ref="E1222:E1223" si="2696">-2</f>
        <v>-2</v>
      </c>
      <c r="F1222" s="1">
        <f>0</f>
        <v>0</v>
      </c>
      <c r="G1222" s="9">
        <f>0</f>
        <v>0</v>
      </c>
    </row>
    <row r="1223" spans="1:10" x14ac:dyDescent="0.25">
      <c r="C1223" s="10">
        <f t="shared" ref="C1223" si="2697">2*C1217</f>
        <v>-2.2510895668861335</v>
      </c>
      <c r="D1223" s="11">
        <f t="shared" ref="D1223" si="2698">-4*D1217</f>
        <v>-7.7313595769816468</v>
      </c>
      <c r="E1223" s="11">
        <f t="shared" si="2696"/>
        <v>-2</v>
      </c>
      <c r="F1223" s="11">
        <f>0</f>
        <v>0</v>
      </c>
      <c r="G1223" s="12">
        <f>0</f>
        <v>0</v>
      </c>
    </row>
    <row r="1224" spans="1:10" x14ac:dyDescent="0.25">
      <c r="B1224" t="s">
        <v>21</v>
      </c>
      <c r="C1224" s="1" cm="1">
        <f t="array" ref="C1224:G1224">-MMULT(C1218:G1218,C1219:G1223)</f>
        <v>1.0737972301889219E-15</v>
      </c>
      <c r="D1224" s="1">
        <v>-1.448384444138685E-15</v>
      </c>
      <c r="E1224" s="1">
        <v>0</v>
      </c>
      <c r="F1224" s="1">
        <v>5.9382849800904388E-15</v>
      </c>
      <c r="G1224" s="1">
        <v>5.6172209973917592E-15</v>
      </c>
    </row>
    <row r="1225" spans="1:10" x14ac:dyDescent="0.25">
      <c r="B1225" t="s">
        <v>13</v>
      </c>
      <c r="C1225" s="1">
        <f t="shared" ref="C1225" si="2699">J1218/SUMPRODUCT(_xlfn.ANCHORARRAY(C1224),_xlfn.ANCHORARRAY(C1224))</f>
        <v>7.828261901978455E-3</v>
      </c>
    </row>
    <row r="1226" spans="1:10" x14ac:dyDescent="0.25">
      <c r="A1226" s="1" t="s">
        <v>4</v>
      </c>
      <c r="B1226" t="s">
        <v>18</v>
      </c>
      <c r="C1226" s="1" cm="1">
        <f t="array" ref="C1226:G1226">C1217:G1217+C1225*C1224:G1224</f>
        <v>-1.1255447834430667</v>
      </c>
      <c r="D1226" s="1">
        <v>1.9328398942454117</v>
      </c>
      <c r="E1226" s="1">
        <v>0.39755547298133398</v>
      </c>
      <c r="F1226" s="1">
        <v>-0.67495954138082259</v>
      </c>
      <c r="G1226" s="1">
        <v>-0.12015140458184528</v>
      </c>
    </row>
    <row r="1227" spans="1:10" x14ac:dyDescent="0.25">
      <c r="A1227" s="1">
        <v>137</v>
      </c>
      <c r="B1227" t="s">
        <v>19</v>
      </c>
      <c r="C1227" s="1">
        <f t="shared" ref="C1227" si="2700">2*C1226-F1226*(D1226^2)-2*G1226*C1226</f>
        <v>6.106226635438361E-16</v>
      </c>
      <c r="D1227" s="1">
        <f t="shared" ref="D1227" si="2701">2*D1226-2*F1226*C1226*D1226+4*G1226*D1226</f>
        <v>0</v>
      </c>
      <c r="E1227" s="1">
        <f t="shared" ref="E1227" si="2702">4*E1226+2*F1226+2*G1226</f>
        <v>0</v>
      </c>
      <c r="F1227" s="1">
        <f t="shared" ref="F1227" si="2703">C1226*(D1226^2)-2*E1226+5</f>
        <v>0</v>
      </c>
      <c r="G1227" s="1">
        <f t="shared" ref="G1227" si="2704">C1226^2-2*(D1226^2)-2*E1226+7</f>
        <v>0</v>
      </c>
      <c r="J1227" s="1">
        <f t="shared" ref="J1227" si="2705">0.5*(C1227*C1227+D1227*D1227+E1227*E1227+F1227*F1227+G1227*G1227)</f>
        <v>1.8643001861668443E-31</v>
      </c>
    </row>
    <row r="1228" spans="1:10" x14ac:dyDescent="0.25">
      <c r="C1228" s="5">
        <f t="shared" ref="C1228" si="2706">2-2*G1226</f>
        <v>2.2403028091636905</v>
      </c>
      <c r="D1228" s="6">
        <f t="shared" ref="D1228" si="2707">-2*F1226*D1226</f>
        <v>2.6091774571648814</v>
      </c>
      <c r="E1228" s="6">
        <f>0</f>
        <v>0</v>
      </c>
      <c r="F1228" s="6">
        <f t="shared" ref="F1228" si="2708">-(D1226^2)</f>
        <v>-3.7358700567866143</v>
      </c>
      <c r="G1228" s="7">
        <f t="shared" ref="G1228" si="2709">-2*C1226</f>
        <v>2.2510895668861335</v>
      </c>
    </row>
    <row r="1229" spans="1:10" x14ac:dyDescent="0.25">
      <c r="C1229" s="8">
        <f t="shared" ref="C1229" si="2710">-2*F1226*D1226</f>
        <v>2.6091774571648814</v>
      </c>
      <c r="D1229" s="1">
        <f t="shared" ref="D1229" si="2711">2-2*F1226*C1226+4*G1226</f>
        <v>0</v>
      </c>
      <c r="E1229" s="1">
        <f>0</f>
        <v>0</v>
      </c>
      <c r="F1229" s="1">
        <f t="shared" ref="F1229" si="2712">-2*C1226*D1226</f>
        <v>4.3509957203971439</v>
      </c>
      <c r="G1229" s="9">
        <f t="shared" ref="G1229" si="2713">4*D1226</f>
        <v>7.7313595769816468</v>
      </c>
    </row>
    <row r="1230" spans="1:10" x14ac:dyDescent="0.25">
      <c r="B1230" t="s">
        <v>20</v>
      </c>
      <c r="C1230" s="8">
        <f>0</f>
        <v>0</v>
      </c>
      <c r="D1230" s="1">
        <f>0</f>
        <v>0</v>
      </c>
      <c r="E1230" s="1">
        <f>4</f>
        <v>4</v>
      </c>
      <c r="F1230" s="1">
        <f>2</f>
        <v>2</v>
      </c>
      <c r="G1230" s="9">
        <f>2</f>
        <v>2</v>
      </c>
    </row>
    <row r="1231" spans="1:10" x14ac:dyDescent="0.25">
      <c r="C1231" s="8">
        <f t="shared" ref="C1231" si="2714">(D1226^2)</f>
        <v>3.7358700567866143</v>
      </c>
      <c r="D1231" s="1">
        <f t="shared" ref="D1231" si="2715">2*C1226*D1226</f>
        <v>-4.3509957203971439</v>
      </c>
      <c r="E1231" s="1">
        <f t="shared" ref="E1231:E1232" si="2716">-2</f>
        <v>-2</v>
      </c>
      <c r="F1231" s="1">
        <f>0</f>
        <v>0</v>
      </c>
      <c r="G1231" s="9">
        <f>0</f>
        <v>0</v>
      </c>
    </row>
    <row r="1232" spans="1:10" x14ac:dyDescent="0.25">
      <c r="C1232" s="10">
        <f t="shared" ref="C1232" si="2717">2*C1226</f>
        <v>-2.2510895668861335</v>
      </c>
      <c r="D1232" s="11">
        <f t="shared" ref="D1232" si="2718">-4*D1226</f>
        <v>-7.7313595769816468</v>
      </c>
      <c r="E1232" s="11">
        <f t="shared" si="2716"/>
        <v>-2</v>
      </c>
      <c r="F1232" s="11">
        <f>0</f>
        <v>0</v>
      </c>
      <c r="G1232" s="12">
        <f>0</f>
        <v>0</v>
      </c>
    </row>
    <row r="1233" spans="1:10" x14ac:dyDescent="0.25">
      <c r="B1233" t="s">
        <v>21</v>
      </c>
      <c r="C1233" s="1" cm="1">
        <f t="array" ref="C1233:G1233">-MMULT(C1227:G1227,C1228:G1232)</f>
        <v>-1.367979668476271E-15</v>
      </c>
      <c r="D1233" s="1">
        <v>-1.5932228885525532E-15</v>
      </c>
      <c r="E1233" s="1">
        <v>0</v>
      </c>
      <c r="F1233" s="1">
        <v>2.2812069247287048E-15</v>
      </c>
      <c r="G1233" s="1">
        <v>-1.3745663072077511E-15</v>
      </c>
    </row>
    <row r="1234" spans="1:10" x14ac:dyDescent="0.25">
      <c r="B1234" t="s">
        <v>13</v>
      </c>
      <c r="C1234" s="1">
        <f t="shared" ref="C1234" si="2719">J1227/SUMPRODUCT(_xlfn.ANCHORARRAY(C1233),_xlfn.ANCHORARRAY(C1233))</f>
        <v>1.6206986294211755E-2</v>
      </c>
    </row>
    <row r="1235" spans="1:10" x14ac:dyDescent="0.25">
      <c r="A1235" s="1" t="s">
        <v>4</v>
      </c>
      <c r="B1235" t="s">
        <v>18</v>
      </c>
      <c r="C1235" s="1" cm="1">
        <f t="array" ref="C1235:G1235">C1226:G1226+C1234*C1233:G1233</f>
        <v>-1.1255447834430667</v>
      </c>
      <c r="D1235" s="1">
        <v>1.9328398942454117</v>
      </c>
      <c r="E1235" s="1">
        <v>0.39755547298133398</v>
      </c>
      <c r="F1235" s="1">
        <v>-0.67495954138082259</v>
      </c>
      <c r="G1235" s="1">
        <v>-0.12015140458184531</v>
      </c>
    </row>
    <row r="1236" spans="1:10" x14ac:dyDescent="0.25">
      <c r="A1236" s="1">
        <v>138</v>
      </c>
      <c r="B1236" t="s">
        <v>19</v>
      </c>
      <c r="C1236" s="1">
        <f t="shared" ref="C1236" si="2720">2*C1235-F1235*(D1235^2)-2*G1235*C1235</f>
        <v>5.5511151231257827E-16</v>
      </c>
      <c r="D1236" s="1">
        <f t="shared" ref="D1236" si="2721">2*D1235-2*F1235*C1235*D1235+4*G1235*D1235</f>
        <v>0</v>
      </c>
      <c r="E1236" s="1">
        <f t="shared" ref="E1236" si="2722">4*E1235+2*F1235+2*G1235</f>
        <v>0</v>
      </c>
      <c r="F1236" s="1">
        <f t="shared" ref="F1236" si="2723">C1235*(D1235^2)-2*E1235+5</f>
        <v>0</v>
      </c>
      <c r="G1236" s="1">
        <f t="shared" ref="G1236" si="2724">C1235^2-2*(D1235^2)-2*E1235+7</f>
        <v>0</v>
      </c>
      <c r="J1236" s="1">
        <f t="shared" ref="J1236" si="2725">0.5*(C1236*C1236+D1236*D1236+E1236*E1236+F1236*F1236+G1236*G1236)</f>
        <v>1.5407439555097887E-31</v>
      </c>
    </row>
    <row r="1237" spans="1:10" x14ac:dyDescent="0.25">
      <c r="C1237" s="5">
        <f t="shared" ref="C1237" si="2726">2-2*G1235</f>
        <v>2.2403028091636905</v>
      </c>
      <c r="D1237" s="6">
        <f t="shared" ref="D1237" si="2727">-2*F1235*D1235</f>
        <v>2.6091774571648814</v>
      </c>
      <c r="E1237" s="6">
        <f>0</f>
        <v>0</v>
      </c>
      <c r="F1237" s="6">
        <f t="shared" ref="F1237" si="2728">-(D1235^2)</f>
        <v>-3.7358700567866143</v>
      </c>
      <c r="G1237" s="7">
        <f t="shared" ref="G1237" si="2729">-2*C1235</f>
        <v>2.2510895668861335</v>
      </c>
    </row>
    <row r="1238" spans="1:10" x14ac:dyDescent="0.25">
      <c r="C1238" s="8">
        <f t="shared" ref="C1238" si="2730">-2*F1235*D1235</f>
        <v>2.6091774571648814</v>
      </c>
      <c r="D1238" s="1">
        <f t="shared" ref="D1238" si="2731">2-2*F1235*C1235+4*G1235</f>
        <v>-4.4408920985006262E-16</v>
      </c>
      <c r="E1238" s="1">
        <f>0</f>
        <v>0</v>
      </c>
      <c r="F1238" s="1">
        <f t="shared" ref="F1238" si="2732">-2*C1235*D1235</f>
        <v>4.3509957203971439</v>
      </c>
      <c r="G1238" s="9">
        <f t="shared" ref="G1238" si="2733">4*D1235</f>
        <v>7.7313595769816468</v>
      </c>
    </row>
    <row r="1239" spans="1:10" x14ac:dyDescent="0.25">
      <c r="B1239" t="s">
        <v>20</v>
      </c>
      <c r="C1239" s="8">
        <f>0</f>
        <v>0</v>
      </c>
      <c r="D1239" s="1">
        <f>0</f>
        <v>0</v>
      </c>
      <c r="E1239" s="1">
        <f>4</f>
        <v>4</v>
      </c>
      <c r="F1239" s="1">
        <f>2</f>
        <v>2</v>
      </c>
      <c r="G1239" s="9">
        <f>2</f>
        <v>2</v>
      </c>
    </row>
    <row r="1240" spans="1:10" x14ac:dyDescent="0.25">
      <c r="C1240" s="8">
        <f t="shared" ref="C1240" si="2734">(D1235^2)</f>
        <v>3.7358700567866143</v>
      </c>
      <c r="D1240" s="1">
        <f t="shared" ref="D1240" si="2735">2*C1235*D1235</f>
        <v>-4.3509957203971439</v>
      </c>
      <c r="E1240" s="1">
        <f t="shared" ref="E1240:E1241" si="2736">-2</f>
        <v>-2</v>
      </c>
      <c r="F1240" s="1">
        <f>0</f>
        <v>0</v>
      </c>
      <c r="G1240" s="9">
        <f>0</f>
        <v>0</v>
      </c>
    </row>
    <row r="1241" spans="1:10" x14ac:dyDescent="0.25">
      <c r="C1241" s="10">
        <f t="shared" ref="C1241" si="2737">2*C1235</f>
        <v>-2.2510895668861335</v>
      </c>
      <c r="D1241" s="11">
        <f t="shared" ref="D1241" si="2738">-4*D1235</f>
        <v>-7.7313595769816468</v>
      </c>
      <c r="E1241" s="11">
        <f t="shared" si="2736"/>
        <v>-2</v>
      </c>
      <c r="F1241" s="11">
        <f>0</f>
        <v>0</v>
      </c>
      <c r="G1241" s="12">
        <f>0</f>
        <v>0</v>
      </c>
    </row>
    <row r="1242" spans="1:10" x14ac:dyDescent="0.25">
      <c r="B1242" t="s">
        <v>21</v>
      </c>
      <c r="C1242" s="1" cm="1">
        <f t="array" ref="C1242:G1242">-MMULT(C1236:G1236,C1237:G1241)</f>
        <v>-1.2436178804329737E-15</v>
      </c>
      <c r="D1242" s="1">
        <v>-1.4483844441386847E-15</v>
      </c>
      <c r="E1242" s="1">
        <v>0</v>
      </c>
      <c r="F1242" s="1">
        <v>2.0738244770260952E-15</v>
      </c>
      <c r="G1242" s="1">
        <v>-1.2496057338252283E-15</v>
      </c>
    </row>
    <row r="1243" spans="1:10" x14ac:dyDescent="0.25">
      <c r="B1243" t="s">
        <v>13</v>
      </c>
      <c r="C1243" s="1">
        <f t="shared" ref="C1243" si="2739">J1236/SUMPRODUCT(_xlfn.ANCHORARRAY(C1242),_xlfn.ANCHORARRAY(C1242))</f>
        <v>1.6206986294211755E-2</v>
      </c>
    </row>
    <row r="1244" spans="1:10" x14ac:dyDescent="0.25">
      <c r="A1244" s="1" t="s">
        <v>4</v>
      </c>
      <c r="B1244" t="s">
        <v>18</v>
      </c>
      <c r="C1244" s="1" cm="1">
        <f t="array" ref="C1244:G1244">C1235:G1235+C1243*C1242:G1242</f>
        <v>-1.1255447834430667</v>
      </c>
      <c r="D1244" s="1">
        <v>1.9328398942454117</v>
      </c>
      <c r="E1244" s="1">
        <v>0.39755547298133398</v>
      </c>
      <c r="F1244" s="1">
        <v>-0.67495954138082259</v>
      </c>
      <c r="G1244" s="1">
        <v>-0.12015140458184533</v>
      </c>
    </row>
    <row r="1245" spans="1:10" x14ac:dyDescent="0.25">
      <c r="A1245" s="1">
        <v>139</v>
      </c>
      <c r="B1245" t="s">
        <v>19</v>
      </c>
      <c r="C1245" s="1">
        <f t="shared" ref="C1245" si="2740">2*C1244-F1244*(D1244^2)-2*G1244*C1244</f>
        <v>5.5511151231257827E-16</v>
      </c>
      <c r="D1245" s="1">
        <f t="shared" ref="D1245" si="2741">2*D1244-2*F1244*C1244*D1244+4*G1244*D1244</f>
        <v>-8.8817841970012523E-16</v>
      </c>
      <c r="E1245" s="1">
        <f t="shared" ref="E1245" si="2742">4*E1244+2*F1244+2*G1244</f>
        <v>0</v>
      </c>
      <c r="F1245" s="1">
        <f t="shared" ref="F1245" si="2743">C1244*(D1244^2)-2*E1244+5</f>
        <v>0</v>
      </c>
      <c r="G1245" s="1">
        <f t="shared" ref="G1245" si="2744">C1244^2-2*(D1244^2)-2*E1244+7</f>
        <v>0</v>
      </c>
      <c r="J1245" s="1">
        <f t="shared" ref="J1245" si="2745">0.5*(C1245*C1245+D1245*D1245+E1245*E1245+F1245*F1245+G1245*G1245)</f>
        <v>5.4850484816148477E-31</v>
      </c>
    </row>
    <row r="1246" spans="1:10" x14ac:dyDescent="0.25">
      <c r="C1246" s="5">
        <f t="shared" ref="C1246" si="2746">2-2*G1244</f>
        <v>2.2403028091636905</v>
      </c>
      <c r="D1246" s="6">
        <f t="shared" ref="D1246" si="2747">-2*F1244*D1244</f>
        <v>2.6091774571648814</v>
      </c>
      <c r="E1246" s="6">
        <f>0</f>
        <v>0</v>
      </c>
      <c r="F1246" s="6">
        <f t="shared" ref="F1246" si="2748">-(D1244^2)</f>
        <v>-3.7358700567866143</v>
      </c>
      <c r="G1246" s="7">
        <f t="shared" ref="G1246" si="2749">-2*C1244</f>
        <v>2.2510895668861335</v>
      </c>
    </row>
    <row r="1247" spans="1:10" x14ac:dyDescent="0.25">
      <c r="C1247" s="8">
        <f t="shared" ref="C1247" si="2750">-2*F1244*D1244</f>
        <v>2.6091774571648814</v>
      </c>
      <c r="D1247" s="1">
        <f t="shared" ref="D1247" si="2751">2-2*F1244*C1244+4*G1244</f>
        <v>-4.9960036108132044E-16</v>
      </c>
      <c r="E1247" s="1">
        <f>0</f>
        <v>0</v>
      </c>
      <c r="F1247" s="1">
        <f t="shared" ref="F1247" si="2752">-2*C1244*D1244</f>
        <v>4.3509957203971439</v>
      </c>
      <c r="G1247" s="9">
        <f t="shared" ref="G1247" si="2753">4*D1244</f>
        <v>7.7313595769816468</v>
      </c>
    </row>
    <row r="1248" spans="1:10" x14ac:dyDescent="0.25">
      <c r="B1248" t="s">
        <v>20</v>
      </c>
      <c r="C1248" s="8">
        <f>0</f>
        <v>0</v>
      </c>
      <c r="D1248" s="1">
        <f>0</f>
        <v>0</v>
      </c>
      <c r="E1248" s="1">
        <f>4</f>
        <v>4</v>
      </c>
      <c r="F1248" s="1">
        <f>2</f>
        <v>2</v>
      </c>
      <c r="G1248" s="9">
        <f>2</f>
        <v>2</v>
      </c>
    </row>
    <row r="1249" spans="1:10" x14ac:dyDescent="0.25">
      <c r="C1249" s="8">
        <f t="shared" ref="C1249" si="2754">(D1244^2)</f>
        <v>3.7358700567866143</v>
      </c>
      <c r="D1249" s="1">
        <f t="shared" ref="D1249" si="2755">2*C1244*D1244</f>
        <v>-4.3509957203971439</v>
      </c>
      <c r="E1249" s="1">
        <f t="shared" ref="E1249:E1250" si="2756">-2</f>
        <v>-2</v>
      </c>
      <c r="F1249" s="1">
        <f>0</f>
        <v>0</v>
      </c>
      <c r="G1249" s="9">
        <f>0</f>
        <v>0</v>
      </c>
    </row>
    <row r="1250" spans="1:10" x14ac:dyDescent="0.25">
      <c r="C1250" s="10">
        <f t="shared" ref="C1250" si="2757">2*C1244</f>
        <v>-2.2510895668861335</v>
      </c>
      <c r="D1250" s="11">
        <f t="shared" ref="D1250" si="2758">-4*D1244</f>
        <v>-7.7313595769816468</v>
      </c>
      <c r="E1250" s="11">
        <f t="shared" si="2756"/>
        <v>-2</v>
      </c>
      <c r="F1250" s="11">
        <f>0</f>
        <v>0</v>
      </c>
      <c r="G1250" s="12">
        <f>0</f>
        <v>0</v>
      </c>
    </row>
    <row r="1251" spans="1:10" x14ac:dyDescent="0.25">
      <c r="B1251" t="s">
        <v>21</v>
      </c>
      <c r="C1251" s="1" cm="1">
        <f t="array" ref="C1251:G1251">-MMULT(C1245:G1245,C1246:G1250)</f>
        <v>1.0737972301889219E-15</v>
      </c>
      <c r="D1251" s="1">
        <v>-1.448384444138685E-15</v>
      </c>
      <c r="E1251" s="1">
        <v>0</v>
      </c>
      <c r="F1251" s="1">
        <v>5.9382849800904388E-15</v>
      </c>
      <c r="G1251" s="1">
        <v>5.6172209973917592E-15</v>
      </c>
    </row>
    <row r="1252" spans="1:10" x14ac:dyDescent="0.25">
      <c r="B1252" t="s">
        <v>13</v>
      </c>
      <c r="C1252" s="1">
        <f t="shared" ref="C1252" si="2759">J1245/SUMPRODUCT(_xlfn.ANCHORARRAY(C1251),_xlfn.ANCHORARRAY(C1251))</f>
        <v>7.828261901978455E-3</v>
      </c>
    </row>
    <row r="1253" spans="1:10" x14ac:dyDescent="0.25">
      <c r="A1253" s="1" t="s">
        <v>4</v>
      </c>
      <c r="B1253" t="s">
        <v>18</v>
      </c>
      <c r="C1253" s="1" cm="1">
        <f t="array" ref="C1253:G1253">C1244:G1244+C1252*C1251:G1251</f>
        <v>-1.1255447834430667</v>
      </c>
      <c r="D1253" s="1">
        <v>1.9328398942454117</v>
      </c>
      <c r="E1253" s="1">
        <v>0.39755547298133398</v>
      </c>
      <c r="F1253" s="1">
        <v>-0.67495954138082259</v>
      </c>
      <c r="G1253" s="1">
        <v>-0.12015140458184528</v>
      </c>
    </row>
    <row r="1254" spans="1:10" x14ac:dyDescent="0.25">
      <c r="A1254" s="1">
        <v>140</v>
      </c>
      <c r="B1254" t="s">
        <v>19</v>
      </c>
      <c r="C1254" s="1">
        <f t="shared" ref="C1254" si="2760">2*C1253-F1253*(D1253^2)-2*G1253*C1253</f>
        <v>6.106226635438361E-16</v>
      </c>
      <c r="D1254" s="1">
        <f t="shared" ref="D1254" si="2761">2*D1253-2*F1253*C1253*D1253+4*G1253*D1253</f>
        <v>0</v>
      </c>
      <c r="E1254" s="1">
        <f t="shared" ref="E1254" si="2762">4*E1253+2*F1253+2*G1253</f>
        <v>0</v>
      </c>
      <c r="F1254" s="1">
        <f t="shared" ref="F1254" si="2763">C1253*(D1253^2)-2*E1253+5</f>
        <v>0</v>
      </c>
      <c r="G1254" s="1">
        <f t="shared" ref="G1254" si="2764">C1253^2-2*(D1253^2)-2*E1253+7</f>
        <v>0</v>
      </c>
      <c r="J1254" s="1">
        <f t="shared" ref="J1254" si="2765">0.5*(C1254*C1254+D1254*D1254+E1254*E1254+F1254*F1254+G1254*G1254)</f>
        <v>1.8643001861668443E-31</v>
      </c>
    </row>
    <row r="1255" spans="1:10" x14ac:dyDescent="0.25">
      <c r="C1255" s="5">
        <f t="shared" ref="C1255" si="2766">2-2*G1253</f>
        <v>2.2403028091636905</v>
      </c>
      <c r="D1255" s="6">
        <f t="shared" ref="D1255" si="2767">-2*F1253*D1253</f>
        <v>2.6091774571648814</v>
      </c>
      <c r="E1255" s="6">
        <f>0</f>
        <v>0</v>
      </c>
      <c r="F1255" s="6">
        <f t="shared" ref="F1255" si="2768">-(D1253^2)</f>
        <v>-3.7358700567866143</v>
      </c>
      <c r="G1255" s="7">
        <f t="shared" ref="G1255" si="2769">-2*C1253</f>
        <v>2.2510895668861335</v>
      </c>
    </row>
    <row r="1256" spans="1:10" x14ac:dyDescent="0.25">
      <c r="C1256" s="8">
        <f t="shared" ref="C1256" si="2770">-2*F1253*D1253</f>
        <v>2.6091774571648814</v>
      </c>
      <c r="D1256" s="1">
        <f t="shared" ref="D1256" si="2771">2-2*F1253*C1253+4*G1253</f>
        <v>0</v>
      </c>
      <c r="E1256" s="1">
        <f>0</f>
        <v>0</v>
      </c>
      <c r="F1256" s="1">
        <f t="shared" ref="F1256" si="2772">-2*C1253*D1253</f>
        <v>4.3509957203971439</v>
      </c>
      <c r="G1256" s="9">
        <f t="shared" ref="G1256" si="2773">4*D1253</f>
        <v>7.7313595769816468</v>
      </c>
    </row>
    <row r="1257" spans="1:10" x14ac:dyDescent="0.25">
      <c r="B1257" t="s">
        <v>20</v>
      </c>
      <c r="C1257" s="8">
        <f>0</f>
        <v>0</v>
      </c>
      <c r="D1257" s="1">
        <f>0</f>
        <v>0</v>
      </c>
      <c r="E1257" s="1">
        <f>4</f>
        <v>4</v>
      </c>
      <c r="F1257" s="1">
        <f>2</f>
        <v>2</v>
      </c>
      <c r="G1257" s="9">
        <f>2</f>
        <v>2</v>
      </c>
    </row>
    <row r="1258" spans="1:10" x14ac:dyDescent="0.25">
      <c r="C1258" s="8">
        <f t="shared" ref="C1258" si="2774">(D1253^2)</f>
        <v>3.7358700567866143</v>
      </c>
      <c r="D1258" s="1">
        <f t="shared" ref="D1258" si="2775">2*C1253*D1253</f>
        <v>-4.3509957203971439</v>
      </c>
      <c r="E1258" s="1">
        <f t="shared" ref="E1258:E1259" si="2776">-2</f>
        <v>-2</v>
      </c>
      <c r="F1258" s="1">
        <f>0</f>
        <v>0</v>
      </c>
      <c r="G1258" s="9">
        <f>0</f>
        <v>0</v>
      </c>
    </row>
    <row r="1259" spans="1:10" x14ac:dyDescent="0.25">
      <c r="C1259" s="10">
        <f t="shared" ref="C1259" si="2777">2*C1253</f>
        <v>-2.2510895668861335</v>
      </c>
      <c r="D1259" s="11">
        <f t="shared" ref="D1259" si="2778">-4*D1253</f>
        <v>-7.7313595769816468</v>
      </c>
      <c r="E1259" s="11">
        <f t="shared" si="2776"/>
        <v>-2</v>
      </c>
      <c r="F1259" s="11">
        <f>0</f>
        <v>0</v>
      </c>
      <c r="G1259" s="12">
        <f>0</f>
        <v>0</v>
      </c>
    </row>
    <row r="1260" spans="1:10" x14ac:dyDescent="0.25">
      <c r="B1260" t="s">
        <v>21</v>
      </c>
      <c r="C1260" s="1" cm="1">
        <f t="array" ref="C1260:G1260">-MMULT(C1254:G1254,C1255:G1259)</f>
        <v>-1.367979668476271E-15</v>
      </c>
      <c r="D1260" s="1">
        <v>-1.5932228885525532E-15</v>
      </c>
      <c r="E1260" s="1">
        <v>0</v>
      </c>
      <c r="F1260" s="1">
        <v>2.2812069247287048E-15</v>
      </c>
      <c r="G1260" s="1">
        <v>-1.3745663072077511E-15</v>
      </c>
    </row>
    <row r="1261" spans="1:10" x14ac:dyDescent="0.25">
      <c r="B1261" t="s">
        <v>13</v>
      </c>
      <c r="C1261" s="1">
        <f t="shared" ref="C1261" si="2779">J1254/SUMPRODUCT(_xlfn.ANCHORARRAY(C1260),_xlfn.ANCHORARRAY(C1260))</f>
        <v>1.6206986294211755E-2</v>
      </c>
    </row>
    <row r="1262" spans="1:10" x14ac:dyDescent="0.25">
      <c r="A1262" s="1" t="s">
        <v>4</v>
      </c>
      <c r="B1262" t="s">
        <v>18</v>
      </c>
      <c r="C1262" s="1" cm="1">
        <f t="array" ref="C1262:G1262">C1253:G1253+C1261*C1260:G1260</f>
        <v>-1.1255447834430667</v>
      </c>
      <c r="D1262" s="1">
        <v>1.9328398942454117</v>
      </c>
      <c r="E1262" s="1">
        <v>0.39755547298133398</v>
      </c>
      <c r="F1262" s="1">
        <v>-0.67495954138082259</v>
      </c>
      <c r="G1262" s="1">
        <v>-0.12015140458184531</v>
      </c>
    </row>
    <row r="1263" spans="1:10" x14ac:dyDescent="0.25">
      <c r="A1263" s="1">
        <v>141</v>
      </c>
      <c r="B1263" t="s">
        <v>19</v>
      </c>
      <c r="C1263" s="1">
        <f t="shared" ref="C1263" si="2780">2*C1262-F1262*(D1262^2)-2*G1262*C1262</f>
        <v>5.5511151231257827E-16</v>
      </c>
      <c r="D1263" s="1">
        <f t="shared" ref="D1263" si="2781">2*D1262-2*F1262*C1262*D1262+4*G1262*D1262</f>
        <v>0</v>
      </c>
      <c r="E1263" s="1">
        <f t="shared" ref="E1263" si="2782">4*E1262+2*F1262+2*G1262</f>
        <v>0</v>
      </c>
      <c r="F1263" s="1">
        <f t="shared" ref="F1263" si="2783">C1262*(D1262^2)-2*E1262+5</f>
        <v>0</v>
      </c>
      <c r="G1263" s="1">
        <f t="shared" ref="G1263" si="2784">C1262^2-2*(D1262^2)-2*E1262+7</f>
        <v>0</v>
      </c>
      <c r="J1263" s="1">
        <f t="shared" ref="J1263" si="2785">0.5*(C1263*C1263+D1263*D1263+E1263*E1263+F1263*F1263+G1263*G1263)</f>
        <v>1.5407439555097887E-31</v>
      </c>
    </row>
    <row r="1264" spans="1:10" x14ac:dyDescent="0.25">
      <c r="C1264" s="5">
        <f t="shared" ref="C1264" si="2786">2-2*G1262</f>
        <v>2.2403028091636905</v>
      </c>
      <c r="D1264" s="6">
        <f t="shared" ref="D1264" si="2787">-2*F1262*D1262</f>
        <v>2.6091774571648814</v>
      </c>
      <c r="E1264" s="6">
        <f>0</f>
        <v>0</v>
      </c>
      <c r="F1264" s="6">
        <f t="shared" ref="F1264" si="2788">-(D1262^2)</f>
        <v>-3.7358700567866143</v>
      </c>
      <c r="G1264" s="7">
        <f t="shared" ref="G1264" si="2789">-2*C1262</f>
        <v>2.2510895668861335</v>
      </c>
    </row>
    <row r="1265" spans="1:10" x14ac:dyDescent="0.25">
      <c r="C1265" s="8">
        <f t="shared" ref="C1265" si="2790">-2*F1262*D1262</f>
        <v>2.6091774571648814</v>
      </c>
      <c r="D1265" s="1">
        <f t="shared" ref="D1265" si="2791">2-2*F1262*C1262+4*G1262</f>
        <v>-4.4408920985006262E-16</v>
      </c>
      <c r="E1265" s="1">
        <f>0</f>
        <v>0</v>
      </c>
      <c r="F1265" s="1">
        <f t="shared" ref="F1265" si="2792">-2*C1262*D1262</f>
        <v>4.3509957203971439</v>
      </c>
      <c r="G1265" s="9">
        <f t="shared" ref="G1265" si="2793">4*D1262</f>
        <v>7.7313595769816468</v>
      </c>
    </row>
    <row r="1266" spans="1:10" x14ac:dyDescent="0.25">
      <c r="B1266" t="s">
        <v>20</v>
      </c>
      <c r="C1266" s="8">
        <f>0</f>
        <v>0</v>
      </c>
      <c r="D1266" s="1">
        <f>0</f>
        <v>0</v>
      </c>
      <c r="E1266" s="1">
        <f>4</f>
        <v>4</v>
      </c>
      <c r="F1266" s="1">
        <f>2</f>
        <v>2</v>
      </c>
      <c r="G1266" s="9">
        <f>2</f>
        <v>2</v>
      </c>
    </row>
    <row r="1267" spans="1:10" x14ac:dyDescent="0.25">
      <c r="C1267" s="8">
        <f t="shared" ref="C1267" si="2794">(D1262^2)</f>
        <v>3.7358700567866143</v>
      </c>
      <c r="D1267" s="1">
        <f t="shared" ref="D1267" si="2795">2*C1262*D1262</f>
        <v>-4.3509957203971439</v>
      </c>
      <c r="E1267" s="1">
        <f t="shared" ref="E1267:E1268" si="2796">-2</f>
        <v>-2</v>
      </c>
      <c r="F1267" s="1">
        <f>0</f>
        <v>0</v>
      </c>
      <c r="G1267" s="9">
        <f>0</f>
        <v>0</v>
      </c>
    </row>
    <row r="1268" spans="1:10" x14ac:dyDescent="0.25">
      <c r="C1268" s="10">
        <f t="shared" ref="C1268" si="2797">2*C1262</f>
        <v>-2.2510895668861335</v>
      </c>
      <c r="D1268" s="11">
        <f t="shared" ref="D1268" si="2798">-4*D1262</f>
        <v>-7.7313595769816468</v>
      </c>
      <c r="E1268" s="11">
        <f t="shared" si="2796"/>
        <v>-2</v>
      </c>
      <c r="F1268" s="11">
        <f>0</f>
        <v>0</v>
      </c>
      <c r="G1268" s="12">
        <f>0</f>
        <v>0</v>
      </c>
    </row>
    <row r="1269" spans="1:10" x14ac:dyDescent="0.25">
      <c r="B1269" t="s">
        <v>21</v>
      </c>
      <c r="C1269" s="1" cm="1">
        <f t="array" ref="C1269:G1269">-MMULT(C1263:G1263,C1264:G1268)</f>
        <v>-1.2436178804329737E-15</v>
      </c>
      <c r="D1269" s="1">
        <v>-1.4483844441386847E-15</v>
      </c>
      <c r="E1269" s="1">
        <v>0</v>
      </c>
      <c r="F1269" s="1">
        <v>2.0738244770260952E-15</v>
      </c>
      <c r="G1269" s="1">
        <v>-1.2496057338252283E-15</v>
      </c>
    </row>
    <row r="1270" spans="1:10" x14ac:dyDescent="0.25">
      <c r="B1270" t="s">
        <v>13</v>
      </c>
      <c r="C1270" s="1">
        <f t="shared" ref="C1270" si="2799">J1263/SUMPRODUCT(_xlfn.ANCHORARRAY(C1269),_xlfn.ANCHORARRAY(C1269))</f>
        <v>1.6206986294211755E-2</v>
      </c>
    </row>
    <row r="1271" spans="1:10" x14ac:dyDescent="0.25">
      <c r="A1271" s="1" t="s">
        <v>4</v>
      </c>
      <c r="B1271" t="s">
        <v>18</v>
      </c>
      <c r="C1271" s="1" cm="1">
        <f t="array" ref="C1271:G1271">C1262:G1262+C1270*C1269:G1269</f>
        <v>-1.1255447834430667</v>
      </c>
      <c r="D1271" s="1">
        <v>1.9328398942454117</v>
      </c>
      <c r="E1271" s="1">
        <v>0.39755547298133398</v>
      </c>
      <c r="F1271" s="1">
        <v>-0.67495954138082259</v>
      </c>
      <c r="G1271" s="1">
        <v>-0.12015140458184533</v>
      </c>
    </row>
    <row r="1272" spans="1:10" x14ac:dyDescent="0.25">
      <c r="A1272" s="1">
        <v>142</v>
      </c>
      <c r="B1272" t="s">
        <v>19</v>
      </c>
      <c r="C1272" s="1">
        <f t="shared" ref="C1272" si="2800">2*C1271-F1271*(D1271^2)-2*G1271*C1271</f>
        <v>5.5511151231257827E-16</v>
      </c>
      <c r="D1272" s="1">
        <f t="shared" ref="D1272" si="2801">2*D1271-2*F1271*C1271*D1271+4*G1271*D1271</f>
        <v>-8.8817841970012523E-16</v>
      </c>
      <c r="E1272" s="1">
        <f t="shared" ref="E1272" si="2802">4*E1271+2*F1271+2*G1271</f>
        <v>0</v>
      </c>
      <c r="F1272" s="1">
        <f t="shared" ref="F1272" si="2803">C1271*(D1271^2)-2*E1271+5</f>
        <v>0</v>
      </c>
      <c r="G1272" s="1">
        <f t="shared" ref="G1272" si="2804">C1271^2-2*(D1271^2)-2*E1271+7</f>
        <v>0</v>
      </c>
      <c r="J1272" s="1">
        <f t="shared" ref="J1272" si="2805">0.5*(C1272*C1272+D1272*D1272+E1272*E1272+F1272*F1272+G1272*G1272)</f>
        <v>5.4850484816148477E-31</v>
      </c>
    </row>
    <row r="1273" spans="1:10" x14ac:dyDescent="0.25">
      <c r="C1273" s="5">
        <f t="shared" ref="C1273" si="2806">2-2*G1271</f>
        <v>2.2403028091636905</v>
      </c>
      <c r="D1273" s="6">
        <f t="shared" ref="D1273" si="2807">-2*F1271*D1271</f>
        <v>2.6091774571648814</v>
      </c>
      <c r="E1273" s="6">
        <f>0</f>
        <v>0</v>
      </c>
      <c r="F1273" s="6">
        <f t="shared" ref="F1273" si="2808">-(D1271^2)</f>
        <v>-3.7358700567866143</v>
      </c>
      <c r="G1273" s="7">
        <f t="shared" ref="G1273" si="2809">-2*C1271</f>
        <v>2.2510895668861335</v>
      </c>
    </row>
    <row r="1274" spans="1:10" x14ac:dyDescent="0.25">
      <c r="C1274" s="8">
        <f t="shared" ref="C1274" si="2810">-2*F1271*D1271</f>
        <v>2.6091774571648814</v>
      </c>
      <c r="D1274" s="1">
        <f t="shared" ref="D1274" si="2811">2-2*F1271*C1271+4*G1271</f>
        <v>-4.9960036108132044E-16</v>
      </c>
      <c r="E1274" s="1">
        <f>0</f>
        <v>0</v>
      </c>
      <c r="F1274" s="1">
        <f t="shared" ref="F1274" si="2812">-2*C1271*D1271</f>
        <v>4.3509957203971439</v>
      </c>
      <c r="G1274" s="9">
        <f t="shared" ref="G1274" si="2813">4*D1271</f>
        <v>7.7313595769816468</v>
      </c>
    </row>
    <row r="1275" spans="1:10" x14ac:dyDescent="0.25">
      <c r="B1275" t="s">
        <v>20</v>
      </c>
      <c r="C1275" s="8">
        <f>0</f>
        <v>0</v>
      </c>
      <c r="D1275" s="1">
        <f>0</f>
        <v>0</v>
      </c>
      <c r="E1275" s="1">
        <f>4</f>
        <v>4</v>
      </c>
      <c r="F1275" s="1">
        <f>2</f>
        <v>2</v>
      </c>
      <c r="G1275" s="9">
        <f>2</f>
        <v>2</v>
      </c>
    </row>
    <row r="1276" spans="1:10" x14ac:dyDescent="0.25">
      <c r="C1276" s="8">
        <f t="shared" ref="C1276" si="2814">(D1271^2)</f>
        <v>3.7358700567866143</v>
      </c>
      <c r="D1276" s="1">
        <f t="shared" ref="D1276" si="2815">2*C1271*D1271</f>
        <v>-4.3509957203971439</v>
      </c>
      <c r="E1276" s="1">
        <f t="shared" ref="E1276:E1277" si="2816">-2</f>
        <v>-2</v>
      </c>
      <c r="F1276" s="1">
        <f>0</f>
        <v>0</v>
      </c>
      <c r="G1276" s="9">
        <f>0</f>
        <v>0</v>
      </c>
    </row>
    <row r="1277" spans="1:10" x14ac:dyDescent="0.25">
      <c r="C1277" s="10">
        <f t="shared" ref="C1277" si="2817">2*C1271</f>
        <v>-2.2510895668861335</v>
      </c>
      <c r="D1277" s="11">
        <f t="shared" ref="D1277" si="2818">-4*D1271</f>
        <v>-7.7313595769816468</v>
      </c>
      <c r="E1277" s="11">
        <f t="shared" si="2816"/>
        <v>-2</v>
      </c>
      <c r="F1277" s="11">
        <f>0</f>
        <v>0</v>
      </c>
      <c r="G1277" s="12">
        <f>0</f>
        <v>0</v>
      </c>
    </row>
    <row r="1278" spans="1:10" x14ac:dyDescent="0.25">
      <c r="B1278" t="s">
        <v>21</v>
      </c>
      <c r="C1278" s="1" cm="1">
        <f t="array" ref="C1278:G1278">-MMULT(C1272:G1272,C1273:G1277)</f>
        <v>1.0737972301889219E-15</v>
      </c>
      <c r="D1278" s="1">
        <v>-1.448384444138685E-15</v>
      </c>
      <c r="E1278" s="1">
        <v>0</v>
      </c>
      <c r="F1278" s="1">
        <v>5.9382849800904388E-15</v>
      </c>
      <c r="G1278" s="1">
        <v>5.6172209973917592E-15</v>
      </c>
    </row>
    <row r="1279" spans="1:10" x14ac:dyDescent="0.25">
      <c r="B1279" t="s">
        <v>13</v>
      </c>
      <c r="C1279" s="1">
        <f t="shared" ref="C1279" si="2819">J1272/SUMPRODUCT(_xlfn.ANCHORARRAY(C1278),_xlfn.ANCHORARRAY(C1278))</f>
        <v>7.828261901978455E-3</v>
      </c>
    </row>
    <row r="1280" spans="1:10" x14ac:dyDescent="0.25">
      <c r="A1280" s="1" t="s">
        <v>4</v>
      </c>
      <c r="B1280" t="s">
        <v>18</v>
      </c>
      <c r="C1280" s="1" cm="1">
        <f t="array" ref="C1280:G1280">C1271:G1271+C1279*C1278:G1278</f>
        <v>-1.1255447834430667</v>
      </c>
      <c r="D1280" s="1">
        <v>1.9328398942454117</v>
      </c>
      <c r="E1280" s="1">
        <v>0.39755547298133398</v>
      </c>
      <c r="F1280" s="1">
        <v>-0.67495954138082259</v>
      </c>
      <c r="G1280" s="1">
        <v>-0.12015140458184528</v>
      </c>
    </row>
    <row r="1281" spans="1:10" x14ac:dyDescent="0.25">
      <c r="A1281" s="1">
        <v>143</v>
      </c>
      <c r="B1281" t="s">
        <v>19</v>
      </c>
      <c r="C1281" s="1">
        <f t="shared" ref="C1281" si="2820">2*C1280-F1280*(D1280^2)-2*G1280*C1280</f>
        <v>6.106226635438361E-16</v>
      </c>
      <c r="D1281" s="1">
        <f t="shared" ref="D1281" si="2821">2*D1280-2*F1280*C1280*D1280+4*G1280*D1280</f>
        <v>0</v>
      </c>
      <c r="E1281" s="1">
        <f t="shared" ref="E1281" si="2822">4*E1280+2*F1280+2*G1280</f>
        <v>0</v>
      </c>
      <c r="F1281" s="1">
        <f t="shared" ref="F1281" si="2823">C1280*(D1280^2)-2*E1280+5</f>
        <v>0</v>
      </c>
      <c r="G1281" s="1">
        <f t="shared" ref="G1281" si="2824">C1280^2-2*(D1280^2)-2*E1280+7</f>
        <v>0</v>
      </c>
      <c r="J1281" s="1">
        <f t="shared" ref="J1281" si="2825">0.5*(C1281*C1281+D1281*D1281+E1281*E1281+F1281*F1281+G1281*G1281)</f>
        <v>1.8643001861668443E-31</v>
      </c>
    </row>
    <row r="1282" spans="1:10" x14ac:dyDescent="0.25">
      <c r="C1282" s="5">
        <f t="shared" ref="C1282" si="2826">2-2*G1280</f>
        <v>2.2403028091636905</v>
      </c>
      <c r="D1282" s="6">
        <f t="shared" ref="D1282" si="2827">-2*F1280*D1280</f>
        <v>2.6091774571648814</v>
      </c>
      <c r="E1282" s="6">
        <f>0</f>
        <v>0</v>
      </c>
      <c r="F1282" s="6">
        <f t="shared" ref="F1282" si="2828">-(D1280^2)</f>
        <v>-3.7358700567866143</v>
      </c>
      <c r="G1282" s="7">
        <f t="shared" ref="G1282" si="2829">-2*C1280</f>
        <v>2.2510895668861335</v>
      </c>
    </row>
    <row r="1283" spans="1:10" x14ac:dyDescent="0.25">
      <c r="C1283" s="8">
        <f t="shared" ref="C1283" si="2830">-2*F1280*D1280</f>
        <v>2.6091774571648814</v>
      </c>
      <c r="D1283" s="1">
        <f t="shared" ref="D1283" si="2831">2-2*F1280*C1280+4*G1280</f>
        <v>0</v>
      </c>
      <c r="E1283" s="1">
        <f>0</f>
        <v>0</v>
      </c>
      <c r="F1283" s="1">
        <f t="shared" ref="F1283" si="2832">-2*C1280*D1280</f>
        <v>4.3509957203971439</v>
      </c>
      <c r="G1283" s="9">
        <f t="shared" ref="G1283" si="2833">4*D1280</f>
        <v>7.7313595769816468</v>
      </c>
    </row>
    <row r="1284" spans="1:10" x14ac:dyDescent="0.25">
      <c r="B1284" t="s">
        <v>20</v>
      </c>
      <c r="C1284" s="8">
        <f>0</f>
        <v>0</v>
      </c>
      <c r="D1284" s="1">
        <f>0</f>
        <v>0</v>
      </c>
      <c r="E1284" s="1">
        <f>4</f>
        <v>4</v>
      </c>
      <c r="F1284" s="1">
        <f>2</f>
        <v>2</v>
      </c>
      <c r="G1284" s="9">
        <f>2</f>
        <v>2</v>
      </c>
    </row>
    <row r="1285" spans="1:10" x14ac:dyDescent="0.25">
      <c r="C1285" s="8">
        <f t="shared" ref="C1285" si="2834">(D1280^2)</f>
        <v>3.7358700567866143</v>
      </c>
      <c r="D1285" s="1">
        <f t="shared" ref="D1285" si="2835">2*C1280*D1280</f>
        <v>-4.3509957203971439</v>
      </c>
      <c r="E1285" s="1">
        <f t="shared" ref="E1285:E1286" si="2836">-2</f>
        <v>-2</v>
      </c>
      <c r="F1285" s="1">
        <f>0</f>
        <v>0</v>
      </c>
      <c r="G1285" s="9">
        <f>0</f>
        <v>0</v>
      </c>
    </row>
    <row r="1286" spans="1:10" x14ac:dyDescent="0.25">
      <c r="C1286" s="10">
        <f t="shared" ref="C1286" si="2837">2*C1280</f>
        <v>-2.2510895668861335</v>
      </c>
      <c r="D1286" s="11">
        <f t="shared" ref="D1286" si="2838">-4*D1280</f>
        <v>-7.7313595769816468</v>
      </c>
      <c r="E1286" s="11">
        <f t="shared" si="2836"/>
        <v>-2</v>
      </c>
      <c r="F1286" s="11">
        <f>0</f>
        <v>0</v>
      </c>
      <c r="G1286" s="12">
        <f>0</f>
        <v>0</v>
      </c>
    </row>
    <row r="1287" spans="1:10" x14ac:dyDescent="0.25">
      <c r="B1287" t="s">
        <v>21</v>
      </c>
      <c r="C1287" s="1" cm="1">
        <f t="array" ref="C1287:G1287">-MMULT(C1281:G1281,C1282:G1286)</f>
        <v>-1.367979668476271E-15</v>
      </c>
      <c r="D1287" s="1">
        <v>-1.5932228885525532E-15</v>
      </c>
      <c r="E1287" s="1">
        <v>0</v>
      </c>
      <c r="F1287" s="1">
        <v>2.2812069247287048E-15</v>
      </c>
      <c r="G1287" s="1">
        <v>-1.3745663072077511E-15</v>
      </c>
    </row>
    <row r="1288" spans="1:10" x14ac:dyDescent="0.25">
      <c r="B1288" t="s">
        <v>13</v>
      </c>
      <c r="C1288" s="1">
        <f t="shared" ref="C1288" si="2839">J1281/SUMPRODUCT(_xlfn.ANCHORARRAY(C1287),_xlfn.ANCHORARRAY(C1287))</f>
        <v>1.6206986294211755E-2</v>
      </c>
    </row>
    <row r="1289" spans="1:10" x14ac:dyDescent="0.25">
      <c r="A1289" s="1" t="s">
        <v>4</v>
      </c>
      <c r="B1289" t="s">
        <v>18</v>
      </c>
      <c r="C1289" s="1" cm="1">
        <f t="array" ref="C1289:G1289">C1280:G1280+C1288*C1287:G1287</f>
        <v>-1.1255447834430667</v>
      </c>
      <c r="D1289" s="1">
        <v>1.9328398942454117</v>
      </c>
      <c r="E1289" s="1">
        <v>0.39755547298133398</v>
      </c>
      <c r="F1289" s="1">
        <v>-0.67495954138082259</v>
      </c>
      <c r="G1289" s="1">
        <v>-0.12015140458184531</v>
      </c>
    </row>
    <row r="1290" spans="1:10" x14ac:dyDescent="0.25">
      <c r="A1290" s="1">
        <v>144</v>
      </c>
      <c r="B1290" t="s">
        <v>19</v>
      </c>
      <c r="C1290" s="1">
        <f t="shared" ref="C1290" si="2840">2*C1289-F1289*(D1289^2)-2*G1289*C1289</f>
        <v>5.5511151231257827E-16</v>
      </c>
      <c r="D1290" s="1">
        <f t="shared" ref="D1290" si="2841">2*D1289-2*F1289*C1289*D1289+4*G1289*D1289</f>
        <v>0</v>
      </c>
      <c r="E1290" s="1">
        <f t="shared" ref="E1290" si="2842">4*E1289+2*F1289+2*G1289</f>
        <v>0</v>
      </c>
      <c r="F1290" s="1">
        <f t="shared" ref="F1290" si="2843">C1289*(D1289^2)-2*E1289+5</f>
        <v>0</v>
      </c>
      <c r="G1290" s="1">
        <f t="shared" ref="G1290" si="2844">C1289^2-2*(D1289^2)-2*E1289+7</f>
        <v>0</v>
      </c>
      <c r="J1290" s="1">
        <f t="shared" ref="J1290" si="2845">0.5*(C1290*C1290+D1290*D1290+E1290*E1290+F1290*F1290+G1290*G1290)</f>
        <v>1.5407439555097887E-31</v>
      </c>
    </row>
    <row r="1291" spans="1:10" x14ac:dyDescent="0.25">
      <c r="C1291" s="5">
        <f t="shared" ref="C1291" si="2846">2-2*G1289</f>
        <v>2.2403028091636905</v>
      </c>
      <c r="D1291" s="6">
        <f t="shared" ref="D1291" si="2847">-2*F1289*D1289</f>
        <v>2.6091774571648814</v>
      </c>
      <c r="E1291" s="6">
        <f>0</f>
        <v>0</v>
      </c>
      <c r="F1291" s="6">
        <f t="shared" ref="F1291" si="2848">-(D1289^2)</f>
        <v>-3.7358700567866143</v>
      </c>
      <c r="G1291" s="7">
        <f t="shared" ref="G1291" si="2849">-2*C1289</f>
        <v>2.2510895668861335</v>
      </c>
    </row>
    <row r="1292" spans="1:10" x14ac:dyDescent="0.25">
      <c r="C1292" s="8">
        <f t="shared" ref="C1292" si="2850">-2*F1289*D1289</f>
        <v>2.6091774571648814</v>
      </c>
      <c r="D1292" s="1">
        <f t="shared" ref="D1292" si="2851">2-2*F1289*C1289+4*G1289</f>
        <v>-4.4408920985006262E-16</v>
      </c>
      <c r="E1292" s="1">
        <f>0</f>
        <v>0</v>
      </c>
      <c r="F1292" s="1">
        <f t="shared" ref="F1292" si="2852">-2*C1289*D1289</f>
        <v>4.3509957203971439</v>
      </c>
      <c r="G1292" s="9">
        <f t="shared" ref="G1292" si="2853">4*D1289</f>
        <v>7.7313595769816468</v>
      </c>
    </row>
    <row r="1293" spans="1:10" x14ac:dyDescent="0.25">
      <c r="B1293" t="s">
        <v>20</v>
      </c>
      <c r="C1293" s="8">
        <f>0</f>
        <v>0</v>
      </c>
      <c r="D1293" s="1">
        <f>0</f>
        <v>0</v>
      </c>
      <c r="E1293" s="1">
        <f>4</f>
        <v>4</v>
      </c>
      <c r="F1293" s="1">
        <f>2</f>
        <v>2</v>
      </c>
      <c r="G1293" s="9">
        <f>2</f>
        <v>2</v>
      </c>
    </row>
    <row r="1294" spans="1:10" x14ac:dyDescent="0.25">
      <c r="C1294" s="8">
        <f t="shared" ref="C1294" si="2854">(D1289^2)</f>
        <v>3.7358700567866143</v>
      </c>
      <c r="D1294" s="1">
        <f t="shared" ref="D1294" si="2855">2*C1289*D1289</f>
        <v>-4.3509957203971439</v>
      </c>
      <c r="E1294" s="1">
        <f t="shared" ref="E1294:E1295" si="2856">-2</f>
        <v>-2</v>
      </c>
      <c r="F1294" s="1">
        <f>0</f>
        <v>0</v>
      </c>
      <c r="G1294" s="9">
        <f>0</f>
        <v>0</v>
      </c>
    </row>
    <row r="1295" spans="1:10" x14ac:dyDescent="0.25">
      <c r="C1295" s="10">
        <f t="shared" ref="C1295" si="2857">2*C1289</f>
        <v>-2.2510895668861335</v>
      </c>
      <c r="D1295" s="11">
        <f t="shared" ref="D1295" si="2858">-4*D1289</f>
        <v>-7.7313595769816468</v>
      </c>
      <c r="E1295" s="11">
        <f t="shared" si="2856"/>
        <v>-2</v>
      </c>
      <c r="F1295" s="11">
        <f>0</f>
        <v>0</v>
      </c>
      <c r="G1295" s="12">
        <f>0</f>
        <v>0</v>
      </c>
    </row>
    <row r="1296" spans="1:10" x14ac:dyDescent="0.25">
      <c r="B1296" t="s">
        <v>21</v>
      </c>
      <c r="C1296" s="1" cm="1">
        <f t="array" ref="C1296:G1296">-MMULT(C1290:G1290,C1291:G1295)</f>
        <v>-1.2436178804329737E-15</v>
      </c>
      <c r="D1296" s="1">
        <v>-1.4483844441386847E-15</v>
      </c>
      <c r="E1296" s="1">
        <v>0</v>
      </c>
      <c r="F1296" s="1">
        <v>2.0738244770260952E-15</v>
      </c>
      <c r="G1296" s="1">
        <v>-1.2496057338252283E-15</v>
      </c>
    </row>
    <row r="1297" spans="1:10" x14ac:dyDescent="0.25">
      <c r="B1297" t="s">
        <v>13</v>
      </c>
      <c r="C1297" s="1">
        <f t="shared" ref="C1297" si="2859">J1290/SUMPRODUCT(_xlfn.ANCHORARRAY(C1296),_xlfn.ANCHORARRAY(C1296))</f>
        <v>1.6206986294211755E-2</v>
      </c>
    </row>
    <row r="1298" spans="1:10" x14ac:dyDescent="0.25">
      <c r="A1298" s="1" t="s">
        <v>4</v>
      </c>
      <c r="B1298" t="s">
        <v>18</v>
      </c>
      <c r="C1298" s="1" cm="1">
        <f t="array" ref="C1298:G1298">C1289:G1289+C1297*C1296:G1296</f>
        <v>-1.1255447834430667</v>
      </c>
      <c r="D1298" s="1">
        <v>1.9328398942454117</v>
      </c>
      <c r="E1298" s="1">
        <v>0.39755547298133398</v>
      </c>
      <c r="F1298" s="1">
        <v>-0.67495954138082259</v>
      </c>
      <c r="G1298" s="1">
        <v>-0.12015140458184533</v>
      </c>
    </row>
    <row r="1299" spans="1:10" x14ac:dyDescent="0.25">
      <c r="A1299" s="1">
        <v>145</v>
      </c>
      <c r="B1299" t="s">
        <v>19</v>
      </c>
      <c r="C1299" s="1">
        <f t="shared" ref="C1299" si="2860">2*C1298-F1298*(D1298^2)-2*G1298*C1298</f>
        <v>5.5511151231257827E-16</v>
      </c>
      <c r="D1299" s="1">
        <f t="shared" ref="D1299" si="2861">2*D1298-2*F1298*C1298*D1298+4*G1298*D1298</f>
        <v>-8.8817841970012523E-16</v>
      </c>
      <c r="E1299" s="1">
        <f t="shared" ref="E1299" si="2862">4*E1298+2*F1298+2*G1298</f>
        <v>0</v>
      </c>
      <c r="F1299" s="1">
        <f t="shared" ref="F1299" si="2863">C1298*(D1298^2)-2*E1298+5</f>
        <v>0</v>
      </c>
      <c r="G1299" s="1">
        <f t="shared" ref="G1299" si="2864">C1298^2-2*(D1298^2)-2*E1298+7</f>
        <v>0</v>
      </c>
      <c r="J1299" s="1">
        <f t="shared" ref="J1299" si="2865">0.5*(C1299*C1299+D1299*D1299+E1299*E1299+F1299*F1299+G1299*G1299)</f>
        <v>5.4850484816148477E-31</v>
      </c>
    </row>
    <row r="1300" spans="1:10" x14ac:dyDescent="0.25">
      <c r="C1300" s="5">
        <f t="shared" ref="C1300" si="2866">2-2*G1298</f>
        <v>2.2403028091636905</v>
      </c>
      <c r="D1300" s="6">
        <f t="shared" ref="D1300" si="2867">-2*F1298*D1298</f>
        <v>2.6091774571648814</v>
      </c>
      <c r="E1300" s="6">
        <f>0</f>
        <v>0</v>
      </c>
      <c r="F1300" s="6">
        <f t="shared" ref="F1300" si="2868">-(D1298^2)</f>
        <v>-3.7358700567866143</v>
      </c>
      <c r="G1300" s="7">
        <f t="shared" ref="G1300" si="2869">-2*C1298</f>
        <v>2.2510895668861335</v>
      </c>
    </row>
    <row r="1301" spans="1:10" x14ac:dyDescent="0.25">
      <c r="C1301" s="8">
        <f t="shared" ref="C1301" si="2870">-2*F1298*D1298</f>
        <v>2.6091774571648814</v>
      </c>
      <c r="D1301" s="1">
        <f t="shared" ref="D1301" si="2871">2-2*F1298*C1298+4*G1298</f>
        <v>-4.9960036108132044E-16</v>
      </c>
      <c r="E1301" s="1">
        <f>0</f>
        <v>0</v>
      </c>
      <c r="F1301" s="1">
        <f t="shared" ref="F1301" si="2872">-2*C1298*D1298</f>
        <v>4.3509957203971439</v>
      </c>
      <c r="G1301" s="9">
        <f t="shared" ref="G1301" si="2873">4*D1298</f>
        <v>7.7313595769816468</v>
      </c>
    </row>
    <row r="1302" spans="1:10" x14ac:dyDescent="0.25">
      <c r="B1302" t="s">
        <v>20</v>
      </c>
      <c r="C1302" s="8">
        <f>0</f>
        <v>0</v>
      </c>
      <c r="D1302" s="1">
        <f>0</f>
        <v>0</v>
      </c>
      <c r="E1302" s="1">
        <f>4</f>
        <v>4</v>
      </c>
      <c r="F1302" s="1">
        <f>2</f>
        <v>2</v>
      </c>
      <c r="G1302" s="9">
        <f>2</f>
        <v>2</v>
      </c>
    </row>
    <row r="1303" spans="1:10" x14ac:dyDescent="0.25">
      <c r="C1303" s="8">
        <f t="shared" ref="C1303" si="2874">(D1298^2)</f>
        <v>3.7358700567866143</v>
      </c>
      <c r="D1303" s="1">
        <f t="shared" ref="D1303" si="2875">2*C1298*D1298</f>
        <v>-4.3509957203971439</v>
      </c>
      <c r="E1303" s="1">
        <f t="shared" ref="E1303:E1304" si="2876">-2</f>
        <v>-2</v>
      </c>
      <c r="F1303" s="1">
        <f>0</f>
        <v>0</v>
      </c>
      <c r="G1303" s="9">
        <f>0</f>
        <v>0</v>
      </c>
    </row>
    <row r="1304" spans="1:10" x14ac:dyDescent="0.25">
      <c r="C1304" s="10">
        <f t="shared" ref="C1304" si="2877">2*C1298</f>
        <v>-2.2510895668861335</v>
      </c>
      <c r="D1304" s="11">
        <f t="shared" ref="D1304" si="2878">-4*D1298</f>
        <v>-7.7313595769816468</v>
      </c>
      <c r="E1304" s="11">
        <f t="shared" si="2876"/>
        <v>-2</v>
      </c>
      <c r="F1304" s="11">
        <f>0</f>
        <v>0</v>
      </c>
      <c r="G1304" s="12">
        <f>0</f>
        <v>0</v>
      </c>
    </row>
    <row r="1305" spans="1:10" x14ac:dyDescent="0.25">
      <c r="B1305" t="s">
        <v>21</v>
      </c>
      <c r="C1305" s="1" cm="1">
        <f t="array" ref="C1305:G1305">-MMULT(C1299:G1299,C1300:G1304)</f>
        <v>1.0737972301889219E-15</v>
      </c>
      <c r="D1305" s="1">
        <v>-1.448384444138685E-15</v>
      </c>
      <c r="E1305" s="1">
        <v>0</v>
      </c>
      <c r="F1305" s="1">
        <v>5.9382849800904388E-15</v>
      </c>
      <c r="G1305" s="1">
        <v>5.6172209973917592E-15</v>
      </c>
    </row>
    <row r="1306" spans="1:10" x14ac:dyDescent="0.25">
      <c r="B1306" t="s">
        <v>13</v>
      </c>
      <c r="C1306" s="1">
        <f t="shared" ref="C1306" si="2879">J1299/SUMPRODUCT(_xlfn.ANCHORARRAY(C1305),_xlfn.ANCHORARRAY(C1305))</f>
        <v>7.828261901978455E-3</v>
      </c>
    </row>
    <row r="1307" spans="1:10" x14ac:dyDescent="0.25">
      <c r="A1307" s="1" t="s">
        <v>4</v>
      </c>
      <c r="B1307" t="s">
        <v>18</v>
      </c>
      <c r="C1307" s="1" cm="1">
        <f t="array" ref="C1307:G1307">C1298:G1298+C1306*C1305:G1305</f>
        <v>-1.1255447834430667</v>
      </c>
      <c r="D1307" s="1">
        <v>1.9328398942454117</v>
      </c>
      <c r="E1307" s="1">
        <v>0.39755547298133398</v>
      </c>
      <c r="F1307" s="1">
        <v>-0.67495954138082259</v>
      </c>
      <c r="G1307" s="1">
        <v>-0.12015140458184528</v>
      </c>
    </row>
    <row r="1308" spans="1:10" x14ac:dyDescent="0.25">
      <c r="A1308" s="1">
        <v>146</v>
      </c>
      <c r="B1308" t="s">
        <v>19</v>
      </c>
      <c r="C1308" s="1">
        <f t="shared" ref="C1308" si="2880">2*C1307-F1307*(D1307^2)-2*G1307*C1307</f>
        <v>6.106226635438361E-16</v>
      </c>
      <c r="D1308" s="1">
        <f t="shared" ref="D1308" si="2881">2*D1307-2*F1307*C1307*D1307+4*G1307*D1307</f>
        <v>0</v>
      </c>
      <c r="E1308" s="1">
        <f t="shared" ref="E1308" si="2882">4*E1307+2*F1307+2*G1307</f>
        <v>0</v>
      </c>
      <c r="F1308" s="1">
        <f t="shared" ref="F1308" si="2883">C1307*(D1307^2)-2*E1307+5</f>
        <v>0</v>
      </c>
      <c r="G1308" s="1">
        <f t="shared" ref="G1308" si="2884">C1307^2-2*(D1307^2)-2*E1307+7</f>
        <v>0</v>
      </c>
      <c r="J1308" s="1">
        <f t="shared" ref="J1308" si="2885">0.5*(C1308*C1308+D1308*D1308+E1308*E1308+F1308*F1308+G1308*G1308)</f>
        <v>1.8643001861668443E-31</v>
      </c>
    </row>
    <row r="1309" spans="1:10" x14ac:dyDescent="0.25">
      <c r="C1309" s="5">
        <f t="shared" ref="C1309" si="2886">2-2*G1307</f>
        <v>2.2403028091636905</v>
      </c>
      <c r="D1309" s="6">
        <f t="shared" ref="D1309" si="2887">-2*F1307*D1307</f>
        <v>2.6091774571648814</v>
      </c>
      <c r="E1309" s="6">
        <f>0</f>
        <v>0</v>
      </c>
      <c r="F1309" s="6">
        <f t="shared" ref="F1309" si="2888">-(D1307^2)</f>
        <v>-3.7358700567866143</v>
      </c>
      <c r="G1309" s="7">
        <f t="shared" ref="G1309" si="2889">-2*C1307</f>
        <v>2.2510895668861335</v>
      </c>
    </row>
    <row r="1310" spans="1:10" x14ac:dyDescent="0.25">
      <c r="C1310" s="8">
        <f t="shared" ref="C1310" si="2890">-2*F1307*D1307</f>
        <v>2.6091774571648814</v>
      </c>
      <c r="D1310" s="1">
        <f t="shared" ref="D1310" si="2891">2-2*F1307*C1307+4*G1307</f>
        <v>0</v>
      </c>
      <c r="E1310" s="1">
        <f>0</f>
        <v>0</v>
      </c>
      <c r="F1310" s="1">
        <f t="shared" ref="F1310" si="2892">-2*C1307*D1307</f>
        <v>4.3509957203971439</v>
      </c>
      <c r="G1310" s="9">
        <f t="shared" ref="G1310" si="2893">4*D1307</f>
        <v>7.7313595769816468</v>
      </c>
    </row>
    <row r="1311" spans="1:10" x14ac:dyDescent="0.25">
      <c r="B1311" t="s">
        <v>20</v>
      </c>
      <c r="C1311" s="8">
        <f>0</f>
        <v>0</v>
      </c>
      <c r="D1311" s="1">
        <f>0</f>
        <v>0</v>
      </c>
      <c r="E1311" s="1">
        <f>4</f>
        <v>4</v>
      </c>
      <c r="F1311" s="1">
        <f>2</f>
        <v>2</v>
      </c>
      <c r="G1311" s="9">
        <f>2</f>
        <v>2</v>
      </c>
    </row>
    <row r="1312" spans="1:10" x14ac:dyDescent="0.25">
      <c r="C1312" s="8">
        <f t="shared" ref="C1312" si="2894">(D1307^2)</f>
        <v>3.7358700567866143</v>
      </c>
      <c r="D1312" s="1">
        <f t="shared" ref="D1312" si="2895">2*C1307*D1307</f>
        <v>-4.3509957203971439</v>
      </c>
      <c r="E1312" s="1">
        <f t="shared" ref="E1312:E1313" si="2896">-2</f>
        <v>-2</v>
      </c>
      <c r="F1312" s="1">
        <f>0</f>
        <v>0</v>
      </c>
      <c r="G1312" s="9">
        <f>0</f>
        <v>0</v>
      </c>
    </row>
    <row r="1313" spans="1:10" x14ac:dyDescent="0.25">
      <c r="C1313" s="10">
        <f t="shared" ref="C1313" si="2897">2*C1307</f>
        <v>-2.2510895668861335</v>
      </c>
      <c r="D1313" s="11">
        <f t="shared" ref="D1313" si="2898">-4*D1307</f>
        <v>-7.7313595769816468</v>
      </c>
      <c r="E1313" s="11">
        <f t="shared" si="2896"/>
        <v>-2</v>
      </c>
      <c r="F1313" s="11">
        <f>0</f>
        <v>0</v>
      </c>
      <c r="G1313" s="12">
        <f>0</f>
        <v>0</v>
      </c>
    </row>
    <row r="1314" spans="1:10" x14ac:dyDescent="0.25">
      <c r="B1314" t="s">
        <v>21</v>
      </c>
      <c r="C1314" s="1" cm="1">
        <f t="array" ref="C1314:G1314">-MMULT(C1308:G1308,C1309:G1313)</f>
        <v>-1.367979668476271E-15</v>
      </c>
      <c r="D1314" s="1">
        <v>-1.5932228885525532E-15</v>
      </c>
      <c r="E1314" s="1">
        <v>0</v>
      </c>
      <c r="F1314" s="1">
        <v>2.2812069247287048E-15</v>
      </c>
      <c r="G1314" s="1">
        <v>-1.3745663072077511E-15</v>
      </c>
    </row>
    <row r="1315" spans="1:10" x14ac:dyDescent="0.25">
      <c r="B1315" t="s">
        <v>13</v>
      </c>
      <c r="C1315" s="1">
        <f t="shared" ref="C1315" si="2899">J1308/SUMPRODUCT(_xlfn.ANCHORARRAY(C1314),_xlfn.ANCHORARRAY(C1314))</f>
        <v>1.6206986294211755E-2</v>
      </c>
    </row>
    <row r="1316" spans="1:10" x14ac:dyDescent="0.25">
      <c r="A1316" s="1" t="s">
        <v>4</v>
      </c>
      <c r="B1316" t="s">
        <v>18</v>
      </c>
      <c r="C1316" s="1" cm="1">
        <f t="array" ref="C1316:G1316">C1307:G1307+C1315*C1314:G1314</f>
        <v>-1.1255447834430667</v>
      </c>
      <c r="D1316" s="1">
        <v>1.9328398942454117</v>
      </c>
      <c r="E1316" s="1">
        <v>0.39755547298133398</v>
      </c>
      <c r="F1316" s="1">
        <v>-0.67495954138082259</v>
      </c>
      <c r="G1316" s="1">
        <v>-0.12015140458184531</v>
      </c>
    </row>
    <row r="1317" spans="1:10" x14ac:dyDescent="0.25">
      <c r="A1317" s="1">
        <v>147</v>
      </c>
      <c r="B1317" t="s">
        <v>19</v>
      </c>
      <c r="C1317" s="1">
        <f t="shared" ref="C1317" si="2900">2*C1316-F1316*(D1316^2)-2*G1316*C1316</f>
        <v>5.5511151231257827E-16</v>
      </c>
      <c r="D1317" s="1">
        <f t="shared" ref="D1317" si="2901">2*D1316-2*F1316*C1316*D1316+4*G1316*D1316</f>
        <v>0</v>
      </c>
      <c r="E1317" s="1">
        <f t="shared" ref="E1317" si="2902">4*E1316+2*F1316+2*G1316</f>
        <v>0</v>
      </c>
      <c r="F1317" s="1">
        <f t="shared" ref="F1317" si="2903">C1316*(D1316^2)-2*E1316+5</f>
        <v>0</v>
      </c>
      <c r="G1317" s="1">
        <f t="shared" ref="G1317" si="2904">C1316^2-2*(D1316^2)-2*E1316+7</f>
        <v>0</v>
      </c>
      <c r="J1317" s="1">
        <f t="shared" ref="J1317" si="2905">0.5*(C1317*C1317+D1317*D1317+E1317*E1317+F1317*F1317+G1317*G1317)</f>
        <v>1.5407439555097887E-31</v>
      </c>
    </row>
    <row r="1318" spans="1:10" x14ac:dyDescent="0.25">
      <c r="C1318" s="5">
        <f t="shared" ref="C1318" si="2906">2-2*G1316</f>
        <v>2.2403028091636905</v>
      </c>
      <c r="D1318" s="6">
        <f t="shared" ref="D1318" si="2907">-2*F1316*D1316</f>
        <v>2.6091774571648814</v>
      </c>
      <c r="E1318" s="6">
        <f>0</f>
        <v>0</v>
      </c>
      <c r="F1318" s="6">
        <f t="shared" ref="F1318" si="2908">-(D1316^2)</f>
        <v>-3.7358700567866143</v>
      </c>
      <c r="G1318" s="7">
        <f t="shared" ref="G1318" si="2909">-2*C1316</f>
        <v>2.2510895668861335</v>
      </c>
    </row>
    <row r="1319" spans="1:10" x14ac:dyDescent="0.25">
      <c r="C1319" s="8">
        <f t="shared" ref="C1319" si="2910">-2*F1316*D1316</f>
        <v>2.6091774571648814</v>
      </c>
      <c r="D1319" s="1">
        <f t="shared" ref="D1319" si="2911">2-2*F1316*C1316+4*G1316</f>
        <v>-4.4408920985006262E-16</v>
      </c>
      <c r="E1319" s="1">
        <f>0</f>
        <v>0</v>
      </c>
      <c r="F1319" s="1">
        <f t="shared" ref="F1319" si="2912">-2*C1316*D1316</f>
        <v>4.3509957203971439</v>
      </c>
      <c r="G1319" s="9">
        <f t="shared" ref="G1319" si="2913">4*D1316</f>
        <v>7.7313595769816468</v>
      </c>
    </row>
    <row r="1320" spans="1:10" x14ac:dyDescent="0.25">
      <c r="B1320" t="s">
        <v>20</v>
      </c>
      <c r="C1320" s="8">
        <f>0</f>
        <v>0</v>
      </c>
      <c r="D1320" s="1">
        <f>0</f>
        <v>0</v>
      </c>
      <c r="E1320" s="1">
        <f>4</f>
        <v>4</v>
      </c>
      <c r="F1320" s="1">
        <f>2</f>
        <v>2</v>
      </c>
      <c r="G1320" s="9">
        <f>2</f>
        <v>2</v>
      </c>
    </row>
    <row r="1321" spans="1:10" x14ac:dyDescent="0.25">
      <c r="C1321" s="8">
        <f t="shared" ref="C1321" si="2914">(D1316^2)</f>
        <v>3.7358700567866143</v>
      </c>
      <c r="D1321" s="1">
        <f t="shared" ref="D1321" si="2915">2*C1316*D1316</f>
        <v>-4.3509957203971439</v>
      </c>
      <c r="E1321" s="1">
        <f t="shared" ref="E1321:E1322" si="2916">-2</f>
        <v>-2</v>
      </c>
      <c r="F1321" s="1">
        <f>0</f>
        <v>0</v>
      </c>
      <c r="G1321" s="9">
        <f>0</f>
        <v>0</v>
      </c>
    </row>
    <row r="1322" spans="1:10" x14ac:dyDescent="0.25">
      <c r="C1322" s="10">
        <f t="shared" ref="C1322" si="2917">2*C1316</f>
        <v>-2.2510895668861335</v>
      </c>
      <c r="D1322" s="11">
        <f t="shared" ref="D1322" si="2918">-4*D1316</f>
        <v>-7.7313595769816468</v>
      </c>
      <c r="E1322" s="11">
        <f t="shared" si="2916"/>
        <v>-2</v>
      </c>
      <c r="F1322" s="11">
        <f>0</f>
        <v>0</v>
      </c>
      <c r="G1322" s="12">
        <f>0</f>
        <v>0</v>
      </c>
    </row>
    <row r="1323" spans="1:10" x14ac:dyDescent="0.25">
      <c r="B1323" t="s">
        <v>21</v>
      </c>
      <c r="C1323" s="1" cm="1">
        <f t="array" ref="C1323:G1323">-MMULT(C1317:G1317,C1318:G1322)</f>
        <v>-1.2436178804329737E-15</v>
      </c>
      <c r="D1323" s="1">
        <v>-1.4483844441386847E-15</v>
      </c>
      <c r="E1323" s="1">
        <v>0</v>
      </c>
      <c r="F1323" s="1">
        <v>2.0738244770260952E-15</v>
      </c>
      <c r="G1323" s="1">
        <v>-1.2496057338252283E-15</v>
      </c>
    </row>
    <row r="1324" spans="1:10" x14ac:dyDescent="0.25">
      <c r="B1324" t="s">
        <v>13</v>
      </c>
      <c r="C1324" s="1">
        <f t="shared" ref="C1324" si="2919">J1317/SUMPRODUCT(_xlfn.ANCHORARRAY(C1323),_xlfn.ANCHORARRAY(C1323))</f>
        <v>1.6206986294211755E-2</v>
      </c>
    </row>
    <row r="1325" spans="1:10" x14ac:dyDescent="0.25">
      <c r="A1325" s="1" t="s">
        <v>4</v>
      </c>
      <c r="B1325" t="s">
        <v>18</v>
      </c>
      <c r="C1325" s="1" cm="1">
        <f t="array" ref="C1325:G1325">C1316:G1316+C1324*C1323:G1323</f>
        <v>-1.1255447834430667</v>
      </c>
      <c r="D1325" s="1">
        <v>1.9328398942454117</v>
      </c>
      <c r="E1325" s="1">
        <v>0.39755547298133398</v>
      </c>
      <c r="F1325" s="1">
        <v>-0.67495954138082259</v>
      </c>
      <c r="G1325" s="1">
        <v>-0.12015140458184533</v>
      </c>
    </row>
    <row r="1326" spans="1:10" x14ac:dyDescent="0.25">
      <c r="A1326" s="1">
        <v>148</v>
      </c>
      <c r="B1326" t="s">
        <v>19</v>
      </c>
      <c r="C1326" s="1">
        <f t="shared" ref="C1326" si="2920">2*C1325-F1325*(D1325^2)-2*G1325*C1325</f>
        <v>5.5511151231257827E-16</v>
      </c>
      <c r="D1326" s="1">
        <f t="shared" ref="D1326" si="2921">2*D1325-2*F1325*C1325*D1325+4*G1325*D1325</f>
        <v>-8.8817841970012523E-16</v>
      </c>
      <c r="E1326" s="1">
        <f t="shared" ref="E1326" si="2922">4*E1325+2*F1325+2*G1325</f>
        <v>0</v>
      </c>
      <c r="F1326" s="1">
        <f t="shared" ref="F1326" si="2923">C1325*(D1325^2)-2*E1325+5</f>
        <v>0</v>
      </c>
      <c r="G1326" s="1">
        <f t="shared" ref="G1326" si="2924">C1325^2-2*(D1325^2)-2*E1325+7</f>
        <v>0</v>
      </c>
      <c r="J1326" s="1">
        <f t="shared" ref="J1326" si="2925">0.5*(C1326*C1326+D1326*D1326+E1326*E1326+F1326*F1326+G1326*G1326)</f>
        <v>5.4850484816148477E-31</v>
      </c>
    </row>
    <row r="1327" spans="1:10" x14ac:dyDescent="0.25">
      <c r="C1327" s="5">
        <f t="shared" ref="C1327" si="2926">2-2*G1325</f>
        <v>2.2403028091636905</v>
      </c>
      <c r="D1327" s="6">
        <f t="shared" ref="D1327" si="2927">-2*F1325*D1325</f>
        <v>2.6091774571648814</v>
      </c>
      <c r="E1327" s="6">
        <f>0</f>
        <v>0</v>
      </c>
      <c r="F1327" s="6">
        <f t="shared" ref="F1327" si="2928">-(D1325^2)</f>
        <v>-3.7358700567866143</v>
      </c>
      <c r="G1327" s="7">
        <f t="shared" ref="G1327" si="2929">-2*C1325</f>
        <v>2.2510895668861335</v>
      </c>
    </row>
    <row r="1328" spans="1:10" x14ac:dyDescent="0.25">
      <c r="C1328" s="8">
        <f t="shared" ref="C1328" si="2930">-2*F1325*D1325</f>
        <v>2.6091774571648814</v>
      </c>
      <c r="D1328" s="1">
        <f t="shared" ref="D1328" si="2931">2-2*F1325*C1325+4*G1325</f>
        <v>-4.9960036108132044E-16</v>
      </c>
      <c r="E1328" s="1">
        <f>0</f>
        <v>0</v>
      </c>
      <c r="F1328" s="1">
        <f t="shared" ref="F1328" si="2932">-2*C1325*D1325</f>
        <v>4.3509957203971439</v>
      </c>
      <c r="G1328" s="9">
        <f t="shared" ref="G1328" si="2933">4*D1325</f>
        <v>7.7313595769816468</v>
      </c>
    </row>
    <row r="1329" spans="1:10" x14ac:dyDescent="0.25">
      <c r="B1329" t="s">
        <v>20</v>
      </c>
      <c r="C1329" s="8">
        <f>0</f>
        <v>0</v>
      </c>
      <c r="D1329" s="1">
        <f>0</f>
        <v>0</v>
      </c>
      <c r="E1329" s="1">
        <f>4</f>
        <v>4</v>
      </c>
      <c r="F1329" s="1">
        <f>2</f>
        <v>2</v>
      </c>
      <c r="G1329" s="9">
        <f>2</f>
        <v>2</v>
      </c>
    </row>
    <row r="1330" spans="1:10" x14ac:dyDescent="0.25">
      <c r="C1330" s="8">
        <f t="shared" ref="C1330" si="2934">(D1325^2)</f>
        <v>3.7358700567866143</v>
      </c>
      <c r="D1330" s="1">
        <f t="shared" ref="D1330" si="2935">2*C1325*D1325</f>
        <v>-4.3509957203971439</v>
      </c>
      <c r="E1330" s="1">
        <f t="shared" ref="E1330:E1331" si="2936">-2</f>
        <v>-2</v>
      </c>
      <c r="F1330" s="1">
        <f>0</f>
        <v>0</v>
      </c>
      <c r="G1330" s="9">
        <f>0</f>
        <v>0</v>
      </c>
    </row>
    <row r="1331" spans="1:10" x14ac:dyDescent="0.25">
      <c r="C1331" s="10">
        <f t="shared" ref="C1331" si="2937">2*C1325</f>
        <v>-2.2510895668861335</v>
      </c>
      <c r="D1331" s="11">
        <f t="shared" ref="D1331" si="2938">-4*D1325</f>
        <v>-7.7313595769816468</v>
      </c>
      <c r="E1331" s="11">
        <f t="shared" si="2936"/>
        <v>-2</v>
      </c>
      <c r="F1331" s="11">
        <f>0</f>
        <v>0</v>
      </c>
      <c r="G1331" s="12">
        <f>0</f>
        <v>0</v>
      </c>
    </row>
    <row r="1332" spans="1:10" x14ac:dyDescent="0.25">
      <c r="B1332" t="s">
        <v>21</v>
      </c>
      <c r="C1332" s="1" cm="1">
        <f t="array" ref="C1332:G1332">-MMULT(C1326:G1326,C1327:G1331)</f>
        <v>1.0737972301889219E-15</v>
      </c>
      <c r="D1332" s="1">
        <v>-1.448384444138685E-15</v>
      </c>
      <c r="E1332" s="1">
        <v>0</v>
      </c>
      <c r="F1332" s="1">
        <v>5.9382849800904388E-15</v>
      </c>
      <c r="G1332" s="1">
        <v>5.6172209973917592E-15</v>
      </c>
    </row>
    <row r="1333" spans="1:10" x14ac:dyDescent="0.25">
      <c r="B1333" t="s">
        <v>13</v>
      </c>
      <c r="C1333" s="1">
        <f t="shared" ref="C1333" si="2939">J1326/SUMPRODUCT(_xlfn.ANCHORARRAY(C1332),_xlfn.ANCHORARRAY(C1332))</f>
        <v>7.828261901978455E-3</v>
      </c>
    </row>
    <row r="1334" spans="1:10" x14ac:dyDescent="0.25">
      <c r="A1334" s="1" t="s">
        <v>4</v>
      </c>
      <c r="B1334" t="s">
        <v>18</v>
      </c>
      <c r="C1334" s="1" cm="1">
        <f t="array" ref="C1334:G1334">C1325:G1325+C1333*C1332:G1332</f>
        <v>-1.1255447834430667</v>
      </c>
      <c r="D1334" s="1">
        <v>1.9328398942454117</v>
      </c>
      <c r="E1334" s="1">
        <v>0.39755547298133398</v>
      </c>
      <c r="F1334" s="1">
        <v>-0.67495954138082259</v>
      </c>
      <c r="G1334" s="1">
        <v>-0.12015140458184528</v>
      </c>
    </row>
    <row r="1335" spans="1:10" x14ac:dyDescent="0.25">
      <c r="A1335" s="1">
        <v>149</v>
      </c>
      <c r="B1335" t="s">
        <v>19</v>
      </c>
      <c r="C1335" s="1">
        <f t="shared" ref="C1335" si="2940">2*C1334-F1334*(D1334^2)-2*G1334*C1334</f>
        <v>6.106226635438361E-16</v>
      </c>
      <c r="D1335" s="1">
        <f t="shared" ref="D1335" si="2941">2*D1334-2*F1334*C1334*D1334+4*G1334*D1334</f>
        <v>0</v>
      </c>
      <c r="E1335" s="1">
        <f t="shared" ref="E1335" si="2942">4*E1334+2*F1334+2*G1334</f>
        <v>0</v>
      </c>
      <c r="F1335" s="1">
        <f t="shared" ref="F1335" si="2943">C1334*(D1334^2)-2*E1334+5</f>
        <v>0</v>
      </c>
      <c r="G1335" s="1">
        <f t="shared" ref="G1335" si="2944">C1334^2-2*(D1334^2)-2*E1334+7</f>
        <v>0</v>
      </c>
      <c r="J1335" s="1">
        <f t="shared" ref="J1335" si="2945">0.5*(C1335*C1335+D1335*D1335+E1335*E1335+F1335*F1335+G1335*G1335)</f>
        <v>1.8643001861668443E-31</v>
      </c>
    </row>
    <row r="1336" spans="1:10" x14ac:dyDescent="0.25">
      <c r="C1336" s="5">
        <f t="shared" ref="C1336" si="2946">2-2*G1334</f>
        <v>2.2403028091636905</v>
      </c>
      <c r="D1336" s="6">
        <f t="shared" ref="D1336" si="2947">-2*F1334*D1334</f>
        <v>2.6091774571648814</v>
      </c>
      <c r="E1336" s="6">
        <f>0</f>
        <v>0</v>
      </c>
      <c r="F1336" s="6">
        <f t="shared" ref="F1336" si="2948">-(D1334^2)</f>
        <v>-3.7358700567866143</v>
      </c>
      <c r="G1336" s="7">
        <f t="shared" ref="G1336" si="2949">-2*C1334</f>
        <v>2.2510895668861335</v>
      </c>
    </row>
    <row r="1337" spans="1:10" x14ac:dyDescent="0.25">
      <c r="C1337" s="8">
        <f t="shared" ref="C1337" si="2950">-2*F1334*D1334</f>
        <v>2.6091774571648814</v>
      </c>
      <c r="D1337" s="1">
        <f t="shared" ref="D1337" si="2951">2-2*F1334*C1334+4*G1334</f>
        <v>0</v>
      </c>
      <c r="E1337" s="1">
        <f>0</f>
        <v>0</v>
      </c>
      <c r="F1337" s="1">
        <f t="shared" ref="F1337" si="2952">-2*C1334*D1334</f>
        <v>4.3509957203971439</v>
      </c>
      <c r="G1337" s="9">
        <f t="shared" ref="G1337" si="2953">4*D1334</f>
        <v>7.7313595769816468</v>
      </c>
    </row>
    <row r="1338" spans="1:10" x14ac:dyDescent="0.25">
      <c r="B1338" t="s">
        <v>20</v>
      </c>
      <c r="C1338" s="8">
        <f>0</f>
        <v>0</v>
      </c>
      <c r="D1338" s="1">
        <f>0</f>
        <v>0</v>
      </c>
      <c r="E1338" s="1">
        <f>4</f>
        <v>4</v>
      </c>
      <c r="F1338" s="1">
        <f>2</f>
        <v>2</v>
      </c>
      <c r="G1338" s="9">
        <f>2</f>
        <v>2</v>
      </c>
    </row>
    <row r="1339" spans="1:10" x14ac:dyDescent="0.25">
      <c r="C1339" s="8">
        <f t="shared" ref="C1339" si="2954">(D1334^2)</f>
        <v>3.7358700567866143</v>
      </c>
      <c r="D1339" s="1">
        <f t="shared" ref="D1339" si="2955">2*C1334*D1334</f>
        <v>-4.3509957203971439</v>
      </c>
      <c r="E1339" s="1">
        <f t="shared" ref="E1339:E1340" si="2956">-2</f>
        <v>-2</v>
      </c>
      <c r="F1339" s="1">
        <f>0</f>
        <v>0</v>
      </c>
      <c r="G1339" s="9">
        <f>0</f>
        <v>0</v>
      </c>
    </row>
    <row r="1340" spans="1:10" x14ac:dyDescent="0.25">
      <c r="C1340" s="10">
        <f t="shared" ref="C1340" si="2957">2*C1334</f>
        <v>-2.2510895668861335</v>
      </c>
      <c r="D1340" s="11">
        <f t="shared" ref="D1340" si="2958">-4*D1334</f>
        <v>-7.7313595769816468</v>
      </c>
      <c r="E1340" s="11">
        <f t="shared" si="2956"/>
        <v>-2</v>
      </c>
      <c r="F1340" s="11">
        <f>0</f>
        <v>0</v>
      </c>
      <c r="G1340" s="12">
        <f>0</f>
        <v>0</v>
      </c>
    </row>
    <row r="1341" spans="1:10" x14ac:dyDescent="0.25">
      <c r="B1341" t="s">
        <v>21</v>
      </c>
      <c r="C1341" s="1" cm="1">
        <f t="array" ref="C1341:G1341">-MMULT(C1335:G1335,C1336:G1340)</f>
        <v>-1.367979668476271E-15</v>
      </c>
      <c r="D1341" s="1">
        <v>-1.5932228885525532E-15</v>
      </c>
      <c r="E1341" s="1">
        <v>0</v>
      </c>
      <c r="F1341" s="1">
        <v>2.2812069247287048E-15</v>
      </c>
      <c r="G1341" s="1">
        <v>-1.3745663072077511E-15</v>
      </c>
    </row>
    <row r="1342" spans="1:10" x14ac:dyDescent="0.25">
      <c r="B1342" t="s">
        <v>13</v>
      </c>
      <c r="C1342" s="1">
        <f t="shared" ref="C1342" si="2959">J1335/SUMPRODUCT(_xlfn.ANCHORARRAY(C1341),_xlfn.ANCHORARRAY(C1341))</f>
        <v>1.6206986294211755E-2</v>
      </c>
    </row>
    <row r="1343" spans="1:10" x14ac:dyDescent="0.25">
      <c r="A1343" s="1" t="s">
        <v>4</v>
      </c>
      <c r="B1343" t="s">
        <v>18</v>
      </c>
      <c r="C1343" s="1" cm="1">
        <f t="array" ref="C1343:G1343">C1334:G1334+C1342*C1341:G1341</f>
        <v>-1.1255447834430667</v>
      </c>
      <c r="D1343" s="1">
        <v>1.9328398942454117</v>
      </c>
      <c r="E1343" s="1">
        <v>0.39755547298133398</v>
      </c>
      <c r="F1343" s="1">
        <v>-0.67495954138082259</v>
      </c>
      <c r="G1343" s="1">
        <v>-0.12015140458184531</v>
      </c>
    </row>
    <row r="1344" spans="1:10" x14ac:dyDescent="0.25">
      <c r="A1344" s="1">
        <v>150</v>
      </c>
      <c r="B1344" t="s">
        <v>19</v>
      </c>
      <c r="C1344" s="1">
        <f t="shared" ref="C1344" si="2960">2*C1343-F1343*(D1343^2)-2*G1343*C1343</f>
        <v>5.5511151231257827E-16</v>
      </c>
      <c r="D1344" s="1">
        <f t="shared" ref="D1344" si="2961">2*D1343-2*F1343*C1343*D1343+4*G1343*D1343</f>
        <v>0</v>
      </c>
      <c r="E1344" s="1">
        <f t="shared" ref="E1344" si="2962">4*E1343+2*F1343+2*G1343</f>
        <v>0</v>
      </c>
      <c r="F1344" s="1">
        <f t="shared" ref="F1344" si="2963">C1343*(D1343^2)-2*E1343+5</f>
        <v>0</v>
      </c>
      <c r="G1344" s="1">
        <f t="shared" ref="G1344" si="2964">C1343^2-2*(D1343^2)-2*E1343+7</f>
        <v>0</v>
      </c>
      <c r="J1344" s="1">
        <f t="shared" ref="J1344" si="2965">0.5*(C1344*C1344+D1344*D1344+E1344*E1344+F1344*F1344+G1344*G1344)</f>
        <v>1.5407439555097887E-31</v>
      </c>
    </row>
    <row r="1345" spans="1:10" x14ac:dyDescent="0.25">
      <c r="C1345" s="5">
        <f t="shared" ref="C1345" si="2966">2-2*G1343</f>
        <v>2.2403028091636905</v>
      </c>
      <c r="D1345" s="6">
        <f t="shared" ref="D1345" si="2967">-2*F1343*D1343</f>
        <v>2.6091774571648814</v>
      </c>
      <c r="E1345" s="6">
        <f>0</f>
        <v>0</v>
      </c>
      <c r="F1345" s="6">
        <f t="shared" ref="F1345" si="2968">-(D1343^2)</f>
        <v>-3.7358700567866143</v>
      </c>
      <c r="G1345" s="7">
        <f t="shared" ref="G1345" si="2969">-2*C1343</f>
        <v>2.2510895668861335</v>
      </c>
    </row>
    <row r="1346" spans="1:10" x14ac:dyDescent="0.25">
      <c r="C1346" s="8">
        <f t="shared" ref="C1346" si="2970">-2*F1343*D1343</f>
        <v>2.6091774571648814</v>
      </c>
      <c r="D1346" s="1">
        <f t="shared" ref="D1346" si="2971">2-2*F1343*C1343+4*G1343</f>
        <v>-4.4408920985006262E-16</v>
      </c>
      <c r="E1346" s="1">
        <f>0</f>
        <v>0</v>
      </c>
      <c r="F1346" s="1">
        <f t="shared" ref="F1346" si="2972">-2*C1343*D1343</f>
        <v>4.3509957203971439</v>
      </c>
      <c r="G1346" s="9">
        <f t="shared" ref="G1346" si="2973">4*D1343</f>
        <v>7.7313595769816468</v>
      </c>
    </row>
    <row r="1347" spans="1:10" x14ac:dyDescent="0.25">
      <c r="B1347" t="s">
        <v>20</v>
      </c>
      <c r="C1347" s="8">
        <f>0</f>
        <v>0</v>
      </c>
      <c r="D1347" s="1">
        <f>0</f>
        <v>0</v>
      </c>
      <c r="E1347" s="1">
        <f>4</f>
        <v>4</v>
      </c>
      <c r="F1347" s="1">
        <f>2</f>
        <v>2</v>
      </c>
      <c r="G1347" s="9">
        <f>2</f>
        <v>2</v>
      </c>
    </row>
    <row r="1348" spans="1:10" x14ac:dyDescent="0.25">
      <c r="C1348" s="8">
        <f t="shared" ref="C1348" si="2974">(D1343^2)</f>
        <v>3.7358700567866143</v>
      </c>
      <c r="D1348" s="1">
        <f t="shared" ref="D1348" si="2975">2*C1343*D1343</f>
        <v>-4.3509957203971439</v>
      </c>
      <c r="E1348" s="1">
        <f t="shared" ref="E1348:E1349" si="2976">-2</f>
        <v>-2</v>
      </c>
      <c r="F1348" s="1">
        <f>0</f>
        <v>0</v>
      </c>
      <c r="G1348" s="9">
        <f>0</f>
        <v>0</v>
      </c>
    </row>
    <row r="1349" spans="1:10" x14ac:dyDescent="0.25">
      <c r="C1349" s="10">
        <f t="shared" ref="C1349" si="2977">2*C1343</f>
        <v>-2.2510895668861335</v>
      </c>
      <c r="D1349" s="11">
        <f t="shared" ref="D1349" si="2978">-4*D1343</f>
        <v>-7.7313595769816468</v>
      </c>
      <c r="E1349" s="11">
        <f t="shared" si="2976"/>
        <v>-2</v>
      </c>
      <c r="F1349" s="11">
        <f>0</f>
        <v>0</v>
      </c>
      <c r="G1349" s="12">
        <f>0</f>
        <v>0</v>
      </c>
    </row>
    <row r="1350" spans="1:10" x14ac:dyDescent="0.25">
      <c r="B1350" t="s">
        <v>21</v>
      </c>
      <c r="C1350" s="1" cm="1">
        <f t="array" ref="C1350:G1350">-MMULT(C1344:G1344,C1345:G1349)</f>
        <v>-1.2436178804329737E-15</v>
      </c>
      <c r="D1350" s="1">
        <v>-1.4483844441386847E-15</v>
      </c>
      <c r="E1350" s="1">
        <v>0</v>
      </c>
      <c r="F1350" s="1">
        <v>2.0738244770260952E-15</v>
      </c>
      <c r="G1350" s="1">
        <v>-1.2496057338252283E-15</v>
      </c>
    </row>
    <row r="1351" spans="1:10" x14ac:dyDescent="0.25">
      <c r="B1351" t="s">
        <v>13</v>
      </c>
      <c r="C1351" s="1">
        <f t="shared" ref="C1351" si="2979">J1344/SUMPRODUCT(_xlfn.ANCHORARRAY(C1350),_xlfn.ANCHORARRAY(C1350))</f>
        <v>1.6206986294211755E-2</v>
      </c>
    </row>
    <row r="1352" spans="1:10" x14ac:dyDescent="0.25">
      <c r="A1352" s="1" t="s">
        <v>4</v>
      </c>
      <c r="B1352" t="s">
        <v>18</v>
      </c>
      <c r="C1352" s="1" cm="1">
        <f t="array" ref="C1352:G1352">C1343:G1343+C1351*C1350:G1350</f>
        <v>-1.1255447834430667</v>
      </c>
      <c r="D1352" s="1">
        <v>1.9328398942454117</v>
      </c>
      <c r="E1352" s="1">
        <v>0.39755547298133398</v>
      </c>
      <c r="F1352" s="1">
        <v>-0.67495954138082259</v>
      </c>
      <c r="G1352" s="1">
        <v>-0.12015140458184533</v>
      </c>
    </row>
    <row r="1353" spans="1:10" x14ac:dyDescent="0.25">
      <c r="A1353" s="1">
        <v>151</v>
      </c>
      <c r="B1353" t="s">
        <v>19</v>
      </c>
      <c r="C1353" s="1">
        <f t="shared" ref="C1353" si="2980">2*C1352-F1352*(D1352^2)-2*G1352*C1352</f>
        <v>5.5511151231257827E-16</v>
      </c>
      <c r="D1353" s="1">
        <f t="shared" ref="D1353" si="2981">2*D1352-2*F1352*C1352*D1352+4*G1352*D1352</f>
        <v>-8.8817841970012523E-16</v>
      </c>
      <c r="E1353" s="1">
        <f t="shared" ref="E1353" si="2982">4*E1352+2*F1352+2*G1352</f>
        <v>0</v>
      </c>
      <c r="F1353" s="1">
        <f t="shared" ref="F1353" si="2983">C1352*(D1352^2)-2*E1352+5</f>
        <v>0</v>
      </c>
      <c r="G1353" s="1">
        <f t="shared" ref="G1353" si="2984">C1352^2-2*(D1352^2)-2*E1352+7</f>
        <v>0</v>
      </c>
      <c r="J1353" s="1">
        <f t="shared" ref="J1353" si="2985">0.5*(C1353*C1353+D1353*D1353+E1353*E1353+F1353*F1353+G1353*G1353)</f>
        <v>5.4850484816148477E-31</v>
      </c>
    </row>
    <row r="1354" spans="1:10" x14ac:dyDescent="0.25">
      <c r="C1354" s="5">
        <f t="shared" ref="C1354" si="2986">2-2*G1352</f>
        <v>2.2403028091636905</v>
      </c>
      <c r="D1354" s="6">
        <f t="shared" ref="D1354" si="2987">-2*F1352*D1352</f>
        <v>2.6091774571648814</v>
      </c>
      <c r="E1354" s="6">
        <f>0</f>
        <v>0</v>
      </c>
      <c r="F1354" s="6">
        <f t="shared" ref="F1354" si="2988">-(D1352^2)</f>
        <v>-3.7358700567866143</v>
      </c>
      <c r="G1354" s="7">
        <f t="shared" ref="G1354" si="2989">-2*C1352</f>
        <v>2.2510895668861335</v>
      </c>
    </row>
    <row r="1355" spans="1:10" x14ac:dyDescent="0.25">
      <c r="C1355" s="8">
        <f t="shared" ref="C1355" si="2990">-2*F1352*D1352</f>
        <v>2.6091774571648814</v>
      </c>
      <c r="D1355" s="1">
        <f t="shared" ref="D1355" si="2991">2-2*F1352*C1352+4*G1352</f>
        <v>-4.9960036108132044E-16</v>
      </c>
      <c r="E1355" s="1">
        <f>0</f>
        <v>0</v>
      </c>
      <c r="F1355" s="1">
        <f t="shared" ref="F1355" si="2992">-2*C1352*D1352</f>
        <v>4.3509957203971439</v>
      </c>
      <c r="G1355" s="9">
        <f t="shared" ref="G1355" si="2993">4*D1352</f>
        <v>7.7313595769816468</v>
      </c>
    </row>
    <row r="1356" spans="1:10" x14ac:dyDescent="0.25">
      <c r="B1356" t="s">
        <v>20</v>
      </c>
      <c r="C1356" s="8">
        <f>0</f>
        <v>0</v>
      </c>
      <c r="D1356" s="1">
        <f>0</f>
        <v>0</v>
      </c>
      <c r="E1356" s="1">
        <f>4</f>
        <v>4</v>
      </c>
      <c r="F1356" s="1">
        <f>2</f>
        <v>2</v>
      </c>
      <c r="G1356" s="9">
        <f>2</f>
        <v>2</v>
      </c>
    </row>
    <row r="1357" spans="1:10" x14ac:dyDescent="0.25">
      <c r="C1357" s="8">
        <f t="shared" ref="C1357" si="2994">(D1352^2)</f>
        <v>3.7358700567866143</v>
      </c>
      <c r="D1357" s="1">
        <f t="shared" ref="D1357" si="2995">2*C1352*D1352</f>
        <v>-4.3509957203971439</v>
      </c>
      <c r="E1357" s="1">
        <f t="shared" ref="E1357:E1358" si="2996">-2</f>
        <v>-2</v>
      </c>
      <c r="F1357" s="1">
        <f>0</f>
        <v>0</v>
      </c>
      <c r="G1357" s="9">
        <f>0</f>
        <v>0</v>
      </c>
    </row>
    <row r="1358" spans="1:10" x14ac:dyDescent="0.25">
      <c r="C1358" s="10">
        <f t="shared" ref="C1358" si="2997">2*C1352</f>
        <v>-2.2510895668861335</v>
      </c>
      <c r="D1358" s="11">
        <f t="shared" ref="D1358" si="2998">-4*D1352</f>
        <v>-7.7313595769816468</v>
      </c>
      <c r="E1358" s="11">
        <f t="shared" si="2996"/>
        <v>-2</v>
      </c>
      <c r="F1358" s="11">
        <f>0</f>
        <v>0</v>
      </c>
      <c r="G1358" s="12">
        <f>0</f>
        <v>0</v>
      </c>
    </row>
    <row r="1359" spans="1:10" x14ac:dyDescent="0.25">
      <c r="B1359" t="s">
        <v>21</v>
      </c>
      <c r="C1359" s="1" cm="1">
        <f t="array" ref="C1359:G1359">-MMULT(C1353:G1353,C1354:G1358)</f>
        <v>1.0737972301889219E-15</v>
      </c>
      <c r="D1359" s="1">
        <v>-1.448384444138685E-15</v>
      </c>
      <c r="E1359" s="1">
        <v>0</v>
      </c>
      <c r="F1359" s="1">
        <v>5.9382849800904388E-15</v>
      </c>
      <c r="G1359" s="1">
        <v>5.6172209973917592E-15</v>
      </c>
    </row>
    <row r="1360" spans="1:10" x14ac:dyDescent="0.25">
      <c r="B1360" t="s">
        <v>13</v>
      </c>
      <c r="C1360" s="1">
        <f t="shared" ref="C1360" si="2999">J1353/SUMPRODUCT(_xlfn.ANCHORARRAY(C1359),_xlfn.ANCHORARRAY(C1359))</f>
        <v>7.828261901978455E-3</v>
      </c>
    </row>
    <row r="1361" spans="1:10" x14ac:dyDescent="0.25">
      <c r="A1361" s="1" t="s">
        <v>4</v>
      </c>
      <c r="B1361" t="s">
        <v>18</v>
      </c>
      <c r="C1361" s="1" cm="1">
        <f t="array" ref="C1361:G1361">C1352:G1352+C1360*C1359:G1359</f>
        <v>-1.1255447834430667</v>
      </c>
      <c r="D1361" s="1">
        <v>1.9328398942454117</v>
      </c>
      <c r="E1361" s="1">
        <v>0.39755547298133398</v>
      </c>
      <c r="F1361" s="1">
        <v>-0.67495954138082259</v>
      </c>
      <c r="G1361" s="1">
        <v>-0.12015140458184528</v>
      </c>
    </row>
    <row r="1362" spans="1:10" x14ac:dyDescent="0.25">
      <c r="A1362" s="1">
        <v>152</v>
      </c>
      <c r="B1362" t="s">
        <v>19</v>
      </c>
      <c r="C1362" s="1">
        <f t="shared" ref="C1362" si="3000">2*C1361-F1361*(D1361^2)-2*G1361*C1361</f>
        <v>6.106226635438361E-16</v>
      </c>
      <c r="D1362" s="1">
        <f t="shared" ref="D1362" si="3001">2*D1361-2*F1361*C1361*D1361+4*G1361*D1361</f>
        <v>0</v>
      </c>
      <c r="E1362" s="1">
        <f t="shared" ref="E1362" si="3002">4*E1361+2*F1361+2*G1361</f>
        <v>0</v>
      </c>
      <c r="F1362" s="1">
        <f t="shared" ref="F1362" si="3003">C1361*(D1361^2)-2*E1361+5</f>
        <v>0</v>
      </c>
      <c r="G1362" s="1">
        <f t="shared" ref="G1362" si="3004">C1361^2-2*(D1361^2)-2*E1361+7</f>
        <v>0</v>
      </c>
      <c r="J1362" s="1">
        <f t="shared" ref="J1362" si="3005">0.5*(C1362*C1362+D1362*D1362+E1362*E1362+F1362*F1362+G1362*G1362)</f>
        <v>1.8643001861668443E-31</v>
      </c>
    </row>
    <row r="1363" spans="1:10" x14ac:dyDescent="0.25">
      <c r="C1363" s="5">
        <f t="shared" ref="C1363" si="3006">2-2*G1361</f>
        <v>2.2403028091636905</v>
      </c>
      <c r="D1363" s="6">
        <f t="shared" ref="D1363" si="3007">-2*F1361*D1361</f>
        <v>2.6091774571648814</v>
      </c>
      <c r="E1363" s="6">
        <f>0</f>
        <v>0</v>
      </c>
      <c r="F1363" s="6">
        <f t="shared" ref="F1363" si="3008">-(D1361^2)</f>
        <v>-3.7358700567866143</v>
      </c>
      <c r="G1363" s="7">
        <f t="shared" ref="G1363" si="3009">-2*C1361</f>
        <v>2.2510895668861335</v>
      </c>
    </row>
    <row r="1364" spans="1:10" x14ac:dyDescent="0.25">
      <c r="C1364" s="8">
        <f t="shared" ref="C1364" si="3010">-2*F1361*D1361</f>
        <v>2.6091774571648814</v>
      </c>
      <c r="D1364" s="1">
        <f t="shared" ref="D1364" si="3011">2-2*F1361*C1361+4*G1361</f>
        <v>0</v>
      </c>
      <c r="E1364" s="1">
        <f>0</f>
        <v>0</v>
      </c>
      <c r="F1364" s="1">
        <f t="shared" ref="F1364" si="3012">-2*C1361*D1361</f>
        <v>4.3509957203971439</v>
      </c>
      <c r="G1364" s="9">
        <f t="shared" ref="G1364" si="3013">4*D1361</f>
        <v>7.7313595769816468</v>
      </c>
    </row>
    <row r="1365" spans="1:10" x14ac:dyDescent="0.25">
      <c r="B1365" t="s">
        <v>20</v>
      </c>
      <c r="C1365" s="8">
        <f>0</f>
        <v>0</v>
      </c>
      <c r="D1365" s="1">
        <f>0</f>
        <v>0</v>
      </c>
      <c r="E1365" s="1">
        <f>4</f>
        <v>4</v>
      </c>
      <c r="F1365" s="1">
        <f>2</f>
        <v>2</v>
      </c>
      <c r="G1365" s="9">
        <f>2</f>
        <v>2</v>
      </c>
    </row>
    <row r="1366" spans="1:10" x14ac:dyDescent="0.25">
      <c r="C1366" s="8">
        <f t="shared" ref="C1366" si="3014">(D1361^2)</f>
        <v>3.7358700567866143</v>
      </c>
      <c r="D1366" s="1">
        <f t="shared" ref="D1366" si="3015">2*C1361*D1361</f>
        <v>-4.3509957203971439</v>
      </c>
      <c r="E1366" s="1">
        <f t="shared" ref="E1366:E1367" si="3016">-2</f>
        <v>-2</v>
      </c>
      <c r="F1366" s="1">
        <f>0</f>
        <v>0</v>
      </c>
      <c r="G1366" s="9">
        <f>0</f>
        <v>0</v>
      </c>
    </row>
    <row r="1367" spans="1:10" x14ac:dyDescent="0.25">
      <c r="C1367" s="10">
        <f t="shared" ref="C1367" si="3017">2*C1361</f>
        <v>-2.2510895668861335</v>
      </c>
      <c r="D1367" s="11">
        <f t="shared" ref="D1367" si="3018">-4*D1361</f>
        <v>-7.7313595769816468</v>
      </c>
      <c r="E1367" s="11">
        <f t="shared" si="3016"/>
        <v>-2</v>
      </c>
      <c r="F1367" s="11">
        <f>0</f>
        <v>0</v>
      </c>
      <c r="G1367" s="12">
        <f>0</f>
        <v>0</v>
      </c>
    </row>
    <row r="1368" spans="1:10" x14ac:dyDescent="0.25">
      <c r="B1368" t="s">
        <v>21</v>
      </c>
      <c r="C1368" s="1" cm="1">
        <f t="array" ref="C1368:G1368">-MMULT(C1362:G1362,C1363:G1367)</f>
        <v>-1.367979668476271E-15</v>
      </c>
      <c r="D1368" s="1">
        <v>-1.5932228885525532E-15</v>
      </c>
      <c r="E1368" s="1">
        <v>0</v>
      </c>
      <c r="F1368" s="1">
        <v>2.2812069247287048E-15</v>
      </c>
      <c r="G1368" s="1">
        <v>-1.3745663072077511E-15</v>
      </c>
    </row>
    <row r="1369" spans="1:10" x14ac:dyDescent="0.25">
      <c r="B1369" t="s">
        <v>13</v>
      </c>
      <c r="C1369" s="1">
        <f t="shared" ref="C1369" si="3019">J1362/SUMPRODUCT(_xlfn.ANCHORARRAY(C1368),_xlfn.ANCHORARRAY(C1368))</f>
        <v>1.6206986294211755E-2</v>
      </c>
    </row>
    <row r="1370" spans="1:10" x14ac:dyDescent="0.25">
      <c r="A1370" s="1" t="s">
        <v>4</v>
      </c>
      <c r="B1370" t="s">
        <v>18</v>
      </c>
      <c r="C1370" s="1" cm="1">
        <f t="array" ref="C1370:G1370">C1361:G1361+C1369*C1368:G1368</f>
        <v>-1.1255447834430667</v>
      </c>
      <c r="D1370" s="1">
        <v>1.9328398942454117</v>
      </c>
      <c r="E1370" s="1">
        <v>0.39755547298133398</v>
      </c>
      <c r="F1370" s="1">
        <v>-0.67495954138082259</v>
      </c>
      <c r="G1370" s="1">
        <v>-0.12015140458184531</v>
      </c>
    </row>
    <row r="1371" spans="1:10" x14ac:dyDescent="0.25">
      <c r="A1371" s="1">
        <v>153</v>
      </c>
      <c r="B1371" t="s">
        <v>19</v>
      </c>
      <c r="C1371" s="1">
        <f t="shared" ref="C1371" si="3020">2*C1370-F1370*(D1370^2)-2*G1370*C1370</f>
        <v>5.5511151231257827E-16</v>
      </c>
      <c r="D1371" s="1">
        <f t="shared" ref="D1371" si="3021">2*D1370-2*F1370*C1370*D1370+4*G1370*D1370</f>
        <v>0</v>
      </c>
      <c r="E1371" s="1">
        <f t="shared" ref="E1371" si="3022">4*E1370+2*F1370+2*G1370</f>
        <v>0</v>
      </c>
      <c r="F1371" s="1">
        <f t="shared" ref="F1371" si="3023">C1370*(D1370^2)-2*E1370+5</f>
        <v>0</v>
      </c>
      <c r="G1371" s="1">
        <f t="shared" ref="G1371" si="3024">C1370^2-2*(D1370^2)-2*E1370+7</f>
        <v>0</v>
      </c>
      <c r="J1371" s="1">
        <f t="shared" ref="J1371" si="3025">0.5*(C1371*C1371+D1371*D1371+E1371*E1371+F1371*F1371+G1371*G1371)</f>
        <v>1.5407439555097887E-31</v>
      </c>
    </row>
    <row r="1372" spans="1:10" x14ac:dyDescent="0.25">
      <c r="C1372" s="5">
        <f t="shared" ref="C1372" si="3026">2-2*G1370</f>
        <v>2.2403028091636905</v>
      </c>
      <c r="D1372" s="6">
        <f t="shared" ref="D1372" si="3027">-2*F1370*D1370</f>
        <v>2.6091774571648814</v>
      </c>
      <c r="E1372" s="6">
        <f>0</f>
        <v>0</v>
      </c>
      <c r="F1372" s="6">
        <f t="shared" ref="F1372" si="3028">-(D1370^2)</f>
        <v>-3.7358700567866143</v>
      </c>
      <c r="G1372" s="7">
        <f t="shared" ref="G1372" si="3029">-2*C1370</f>
        <v>2.2510895668861335</v>
      </c>
    </row>
    <row r="1373" spans="1:10" x14ac:dyDescent="0.25">
      <c r="C1373" s="8">
        <f t="shared" ref="C1373" si="3030">-2*F1370*D1370</f>
        <v>2.6091774571648814</v>
      </c>
      <c r="D1373" s="1">
        <f t="shared" ref="D1373" si="3031">2-2*F1370*C1370+4*G1370</f>
        <v>-4.4408920985006262E-16</v>
      </c>
      <c r="E1373" s="1">
        <f>0</f>
        <v>0</v>
      </c>
      <c r="F1373" s="1">
        <f t="shared" ref="F1373" si="3032">-2*C1370*D1370</f>
        <v>4.3509957203971439</v>
      </c>
      <c r="G1373" s="9">
        <f t="shared" ref="G1373" si="3033">4*D1370</f>
        <v>7.7313595769816468</v>
      </c>
    </row>
    <row r="1374" spans="1:10" x14ac:dyDescent="0.25">
      <c r="B1374" t="s">
        <v>20</v>
      </c>
      <c r="C1374" s="8">
        <f>0</f>
        <v>0</v>
      </c>
      <c r="D1374" s="1">
        <f>0</f>
        <v>0</v>
      </c>
      <c r="E1374" s="1">
        <f>4</f>
        <v>4</v>
      </c>
      <c r="F1374" s="1">
        <f>2</f>
        <v>2</v>
      </c>
      <c r="G1374" s="9">
        <f>2</f>
        <v>2</v>
      </c>
    </row>
    <row r="1375" spans="1:10" x14ac:dyDescent="0.25">
      <c r="C1375" s="8">
        <f t="shared" ref="C1375" si="3034">(D1370^2)</f>
        <v>3.7358700567866143</v>
      </c>
      <c r="D1375" s="1">
        <f t="shared" ref="D1375" si="3035">2*C1370*D1370</f>
        <v>-4.3509957203971439</v>
      </c>
      <c r="E1375" s="1">
        <f t="shared" ref="E1375:E1376" si="3036">-2</f>
        <v>-2</v>
      </c>
      <c r="F1375" s="1">
        <f>0</f>
        <v>0</v>
      </c>
      <c r="G1375" s="9">
        <f>0</f>
        <v>0</v>
      </c>
    </row>
    <row r="1376" spans="1:10" x14ac:dyDescent="0.25">
      <c r="C1376" s="10">
        <f t="shared" ref="C1376" si="3037">2*C1370</f>
        <v>-2.2510895668861335</v>
      </c>
      <c r="D1376" s="11">
        <f t="shared" ref="D1376" si="3038">-4*D1370</f>
        <v>-7.7313595769816468</v>
      </c>
      <c r="E1376" s="11">
        <f t="shared" si="3036"/>
        <v>-2</v>
      </c>
      <c r="F1376" s="11">
        <f>0</f>
        <v>0</v>
      </c>
      <c r="G1376" s="12">
        <f>0</f>
        <v>0</v>
      </c>
    </row>
    <row r="1377" spans="1:10" x14ac:dyDescent="0.25">
      <c r="B1377" t="s">
        <v>21</v>
      </c>
      <c r="C1377" s="1" cm="1">
        <f t="array" ref="C1377:G1377">-MMULT(C1371:G1371,C1372:G1376)</f>
        <v>-1.2436178804329737E-15</v>
      </c>
      <c r="D1377" s="1">
        <v>-1.4483844441386847E-15</v>
      </c>
      <c r="E1377" s="1">
        <v>0</v>
      </c>
      <c r="F1377" s="1">
        <v>2.0738244770260952E-15</v>
      </c>
      <c r="G1377" s="1">
        <v>-1.2496057338252283E-15</v>
      </c>
    </row>
    <row r="1378" spans="1:10" x14ac:dyDescent="0.25">
      <c r="B1378" t="s">
        <v>13</v>
      </c>
      <c r="C1378" s="1">
        <f t="shared" ref="C1378" si="3039">J1371/SUMPRODUCT(_xlfn.ANCHORARRAY(C1377),_xlfn.ANCHORARRAY(C1377))</f>
        <v>1.6206986294211755E-2</v>
      </c>
    </row>
    <row r="1379" spans="1:10" x14ac:dyDescent="0.25">
      <c r="A1379" s="1" t="s">
        <v>4</v>
      </c>
      <c r="B1379" t="s">
        <v>18</v>
      </c>
      <c r="C1379" s="1" cm="1">
        <f t="array" ref="C1379:G1379">C1370:G1370+C1378*C1377:G1377</f>
        <v>-1.1255447834430667</v>
      </c>
      <c r="D1379" s="1">
        <v>1.9328398942454117</v>
      </c>
      <c r="E1379" s="1">
        <v>0.39755547298133398</v>
      </c>
      <c r="F1379" s="1">
        <v>-0.67495954138082259</v>
      </c>
      <c r="G1379" s="1">
        <v>-0.12015140458184533</v>
      </c>
    </row>
    <row r="1380" spans="1:10" x14ac:dyDescent="0.25">
      <c r="A1380" s="1">
        <v>154</v>
      </c>
      <c r="B1380" t="s">
        <v>19</v>
      </c>
      <c r="C1380" s="1">
        <f t="shared" ref="C1380" si="3040">2*C1379-F1379*(D1379^2)-2*G1379*C1379</f>
        <v>5.5511151231257827E-16</v>
      </c>
      <c r="D1380" s="1">
        <f t="shared" ref="D1380" si="3041">2*D1379-2*F1379*C1379*D1379+4*G1379*D1379</f>
        <v>-8.8817841970012523E-16</v>
      </c>
      <c r="E1380" s="1">
        <f t="shared" ref="E1380" si="3042">4*E1379+2*F1379+2*G1379</f>
        <v>0</v>
      </c>
      <c r="F1380" s="1">
        <f t="shared" ref="F1380" si="3043">C1379*(D1379^2)-2*E1379+5</f>
        <v>0</v>
      </c>
      <c r="G1380" s="1">
        <f t="shared" ref="G1380" si="3044">C1379^2-2*(D1379^2)-2*E1379+7</f>
        <v>0</v>
      </c>
      <c r="J1380" s="1">
        <f t="shared" ref="J1380" si="3045">0.5*(C1380*C1380+D1380*D1380+E1380*E1380+F1380*F1380+G1380*G1380)</f>
        <v>5.4850484816148477E-31</v>
      </c>
    </row>
    <row r="1381" spans="1:10" x14ac:dyDescent="0.25">
      <c r="C1381" s="5">
        <f t="shared" ref="C1381" si="3046">2-2*G1379</f>
        <v>2.2403028091636905</v>
      </c>
      <c r="D1381" s="6">
        <f t="shared" ref="D1381" si="3047">-2*F1379*D1379</f>
        <v>2.6091774571648814</v>
      </c>
      <c r="E1381" s="6">
        <f>0</f>
        <v>0</v>
      </c>
      <c r="F1381" s="6">
        <f t="shared" ref="F1381" si="3048">-(D1379^2)</f>
        <v>-3.7358700567866143</v>
      </c>
      <c r="G1381" s="7">
        <f t="shared" ref="G1381" si="3049">-2*C1379</f>
        <v>2.2510895668861335</v>
      </c>
    </row>
    <row r="1382" spans="1:10" x14ac:dyDescent="0.25">
      <c r="C1382" s="8">
        <f t="shared" ref="C1382" si="3050">-2*F1379*D1379</f>
        <v>2.6091774571648814</v>
      </c>
      <c r="D1382" s="1">
        <f t="shared" ref="D1382" si="3051">2-2*F1379*C1379+4*G1379</f>
        <v>-4.9960036108132044E-16</v>
      </c>
      <c r="E1382" s="1">
        <f>0</f>
        <v>0</v>
      </c>
      <c r="F1382" s="1">
        <f t="shared" ref="F1382" si="3052">-2*C1379*D1379</f>
        <v>4.3509957203971439</v>
      </c>
      <c r="G1382" s="9">
        <f t="shared" ref="G1382" si="3053">4*D1379</f>
        <v>7.7313595769816468</v>
      </c>
    </row>
    <row r="1383" spans="1:10" x14ac:dyDescent="0.25">
      <c r="B1383" t="s">
        <v>20</v>
      </c>
      <c r="C1383" s="8">
        <f>0</f>
        <v>0</v>
      </c>
      <c r="D1383" s="1">
        <f>0</f>
        <v>0</v>
      </c>
      <c r="E1383" s="1">
        <f>4</f>
        <v>4</v>
      </c>
      <c r="F1383" s="1">
        <f>2</f>
        <v>2</v>
      </c>
      <c r="G1383" s="9">
        <f>2</f>
        <v>2</v>
      </c>
    </row>
    <row r="1384" spans="1:10" x14ac:dyDescent="0.25">
      <c r="C1384" s="8">
        <f t="shared" ref="C1384" si="3054">(D1379^2)</f>
        <v>3.7358700567866143</v>
      </c>
      <c r="D1384" s="1">
        <f t="shared" ref="D1384" si="3055">2*C1379*D1379</f>
        <v>-4.3509957203971439</v>
      </c>
      <c r="E1384" s="1">
        <f t="shared" ref="E1384:E1385" si="3056">-2</f>
        <v>-2</v>
      </c>
      <c r="F1384" s="1">
        <f>0</f>
        <v>0</v>
      </c>
      <c r="G1384" s="9">
        <f>0</f>
        <v>0</v>
      </c>
    </row>
    <row r="1385" spans="1:10" x14ac:dyDescent="0.25">
      <c r="C1385" s="10">
        <f t="shared" ref="C1385" si="3057">2*C1379</f>
        <v>-2.2510895668861335</v>
      </c>
      <c r="D1385" s="11">
        <f t="shared" ref="D1385" si="3058">-4*D1379</f>
        <v>-7.7313595769816468</v>
      </c>
      <c r="E1385" s="11">
        <f t="shared" si="3056"/>
        <v>-2</v>
      </c>
      <c r="F1385" s="11">
        <f>0</f>
        <v>0</v>
      </c>
      <c r="G1385" s="12">
        <f>0</f>
        <v>0</v>
      </c>
    </row>
    <row r="1386" spans="1:10" x14ac:dyDescent="0.25">
      <c r="B1386" t="s">
        <v>21</v>
      </c>
      <c r="C1386" s="1" cm="1">
        <f t="array" ref="C1386:G1386">-MMULT(C1380:G1380,C1381:G1385)</f>
        <v>1.0737972301889219E-15</v>
      </c>
      <c r="D1386" s="1">
        <v>-1.448384444138685E-15</v>
      </c>
      <c r="E1386" s="1">
        <v>0</v>
      </c>
      <c r="F1386" s="1">
        <v>5.9382849800904388E-15</v>
      </c>
      <c r="G1386" s="1">
        <v>5.6172209973917592E-15</v>
      </c>
    </row>
    <row r="1387" spans="1:10" x14ac:dyDescent="0.25">
      <c r="B1387" t="s">
        <v>13</v>
      </c>
      <c r="C1387" s="1">
        <f t="shared" ref="C1387" si="3059">J1380/SUMPRODUCT(_xlfn.ANCHORARRAY(C1386),_xlfn.ANCHORARRAY(C1386))</f>
        <v>7.828261901978455E-3</v>
      </c>
    </row>
    <row r="1388" spans="1:10" x14ac:dyDescent="0.25">
      <c r="A1388" s="1" t="s">
        <v>4</v>
      </c>
      <c r="B1388" t="s">
        <v>18</v>
      </c>
      <c r="C1388" s="1" cm="1">
        <f t="array" ref="C1388:G1388">C1379:G1379+C1387*C1386:G1386</f>
        <v>-1.1255447834430667</v>
      </c>
      <c r="D1388" s="1">
        <v>1.9328398942454117</v>
      </c>
      <c r="E1388" s="1">
        <v>0.39755547298133398</v>
      </c>
      <c r="F1388" s="1">
        <v>-0.67495954138082259</v>
      </c>
      <c r="G1388" s="1">
        <v>-0.12015140458184528</v>
      </c>
    </row>
    <row r="1389" spans="1:10" x14ac:dyDescent="0.25">
      <c r="A1389" s="1">
        <v>155</v>
      </c>
      <c r="B1389" t="s">
        <v>19</v>
      </c>
      <c r="C1389" s="1">
        <f t="shared" ref="C1389" si="3060">2*C1388-F1388*(D1388^2)-2*G1388*C1388</f>
        <v>6.106226635438361E-16</v>
      </c>
      <c r="D1389" s="1">
        <f t="shared" ref="D1389" si="3061">2*D1388-2*F1388*C1388*D1388+4*G1388*D1388</f>
        <v>0</v>
      </c>
      <c r="E1389" s="1">
        <f t="shared" ref="E1389" si="3062">4*E1388+2*F1388+2*G1388</f>
        <v>0</v>
      </c>
      <c r="F1389" s="1">
        <f t="shared" ref="F1389" si="3063">C1388*(D1388^2)-2*E1388+5</f>
        <v>0</v>
      </c>
      <c r="G1389" s="1">
        <f t="shared" ref="G1389" si="3064">C1388^2-2*(D1388^2)-2*E1388+7</f>
        <v>0</v>
      </c>
      <c r="J1389" s="1">
        <f t="shared" ref="J1389" si="3065">0.5*(C1389*C1389+D1389*D1389+E1389*E1389+F1389*F1389+G1389*G1389)</f>
        <v>1.8643001861668443E-31</v>
      </c>
    </row>
    <row r="1390" spans="1:10" x14ac:dyDescent="0.25">
      <c r="C1390" s="5">
        <f t="shared" ref="C1390" si="3066">2-2*G1388</f>
        <v>2.2403028091636905</v>
      </c>
      <c r="D1390" s="6">
        <f t="shared" ref="D1390" si="3067">-2*F1388*D1388</f>
        <v>2.6091774571648814</v>
      </c>
      <c r="E1390" s="6">
        <f>0</f>
        <v>0</v>
      </c>
      <c r="F1390" s="6">
        <f t="shared" ref="F1390" si="3068">-(D1388^2)</f>
        <v>-3.7358700567866143</v>
      </c>
      <c r="G1390" s="7">
        <f t="shared" ref="G1390" si="3069">-2*C1388</f>
        <v>2.2510895668861335</v>
      </c>
    </row>
    <row r="1391" spans="1:10" x14ac:dyDescent="0.25">
      <c r="C1391" s="8">
        <f t="shared" ref="C1391" si="3070">-2*F1388*D1388</f>
        <v>2.6091774571648814</v>
      </c>
      <c r="D1391" s="1">
        <f t="shared" ref="D1391" si="3071">2-2*F1388*C1388+4*G1388</f>
        <v>0</v>
      </c>
      <c r="E1391" s="1">
        <f>0</f>
        <v>0</v>
      </c>
      <c r="F1391" s="1">
        <f t="shared" ref="F1391" si="3072">-2*C1388*D1388</f>
        <v>4.3509957203971439</v>
      </c>
      <c r="G1391" s="9">
        <f t="shared" ref="G1391" si="3073">4*D1388</f>
        <v>7.7313595769816468</v>
      </c>
    </row>
    <row r="1392" spans="1:10" x14ac:dyDescent="0.25">
      <c r="B1392" t="s">
        <v>20</v>
      </c>
      <c r="C1392" s="8">
        <f>0</f>
        <v>0</v>
      </c>
      <c r="D1392" s="1">
        <f>0</f>
        <v>0</v>
      </c>
      <c r="E1392" s="1">
        <f>4</f>
        <v>4</v>
      </c>
      <c r="F1392" s="1">
        <f>2</f>
        <v>2</v>
      </c>
      <c r="G1392" s="9">
        <f>2</f>
        <v>2</v>
      </c>
    </row>
    <row r="1393" spans="1:10" x14ac:dyDescent="0.25">
      <c r="C1393" s="8">
        <f t="shared" ref="C1393" si="3074">(D1388^2)</f>
        <v>3.7358700567866143</v>
      </c>
      <c r="D1393" s="1">
        <f t="shared" ref="D1393" si="3075">2*C1388*D1388</f>
        <v>-4.3509957203971439</v>
      </c>
      <c r="E1393" s="1">
        <f t="shared" ref="E1393:E1394" si="3076">-2</f>
        <v>-2</v>
      </c>
      <c r="F1393" s="1">
        <f>0</f>
        <v>0</v>
      </c>
      <c r="G1393" s="9">
        <f>0</f>
        <v>0</v>
      </c>
    </row>
    <row r="1394" spans="1:10" x14ac:dyDescent="0.25">
      <c r="C1394" s="10">
        <f t="shared" ref="C1394" si="3077">2*C1388</f>
        <v>-2.2510895668861335</v>
      </c>
      <c r="D1394" s="11">
        <f t="shared" ref="D1394" si="3078">-4*D1388</f>
        <v>-7.7313595769816468</v>
      </c>
      <c r="E1394" s="11">
        <f t="shared" si="3076"/>
        <v>-2</v>
      </c>
      <c r="F1394" s="11">
        <f>0</f>
        <v>0</v>
      </c>
      <c r="G1394" s="12">
        <f>0</f>
        <v>0</v>
      </c>
    </row>
    <row r="1395" spans="1:10" x14ac:dyDescent="0.25">
      <c r="B1395" t="s">
        <v>21</v>
      </c>
      <c r="C1395" s="1" cm="1">
        <f t="array" ref="C1395:G1395">-MMULT(C1389:G1389,C1390:G1394)</f>
        <v>-1.367979668476271E-15</v>
      </c>
      <c r="D1395" s="1">
        <v>-1.5932228885525532E-15</v>
      </c>
      <c r="E1395" s="1">
        <v>0</v>
      </c>
      <c r="F1395" s="1">
        <v>2.2812069247287048E-15</v>
      </c>
      <c r="G1395" s="1">
        <v>-1.3745663072077511E-15</v>
      </c>
    </row>
    <row r="1396" spans="1:10" x14ac:dyDescent="0.25">
      <c r="B1396" t="s">
        <v>13</v>
      </c>
      <c r="C1396" s="1">
        <f t="shared" ref="C1396" si="3079">J1389/SUMPRODUCT(_xlfn.ANCHORARRAY(C1395),_xlfn.ANCHORARRAY(C1395))</f>
        <v>1.6206986294211755E-2</v>
      </c>
    </row>
    <row r="1397" spans="1:10" x14ac:dyDescent="0.25">
      <c r="A1397" s="1" t="s">
        <v>4</v>
      </c>
      <c r="B1397" t="s">
        <v>18</v>
      </c>
      <c r="C1397" s="1" cm="1">
        <f t="array" ref="C1397:G1397">C1388:G1388+C1396*C1395:G1395</f>
        <v>-1.1255447834430667</v>
      </c>
      <c r="D1397" s="1">
        <v>1.9328398942454117</v>
      </c>
      <c r="E1397" s="1">
        <v>0.39755547298133398</v>
      </c>
      <c r="F1397" s="1">
        <v>-0.67495954138082259</v>
      </c>
      <c r="G1397" s="1">
        <v>-0.12015140458184531</v>
      </c>
    </row>
    <row r="1398" spans="1:10" x14ac:dyDescent="0.25">
      <c r="A1398" s="1">
        <v>156</v>
      </c>
      <c r="B1398" t="s">
        <v>19</v>
      </c>
      <c r="C1398" s="1">
        <f t="shared" ref="C1398" si="3080">2*C1397-F1397*(D1397^2)-2*G1397*C1397</f>
        <v>5.5511151231257827E-16</v>
      </c>
      <c r="D1398" s="1">
        <f t="shared" ref="D1398" si="3081">2*D1397-2*F1397*C1397*D1397+4*G1397*D1397</f>
        <v>0</v>
      </c>
      <c r="E1398" s="1">
        <f t="shared" ref="E1398" si="3082">4*E1397+2*F1397+2*G1397</f>
        <v>0</v>
      </c>
      <c r="F1398" s="1">
        <f t="shared" ref="F1398" si="3083">C1397*(D1397^2)-2*E1397+5</f>
        <v>0</v>
      </c>
      <c r="G1398" s="1">
        <f t="shared" ref="G1398" si="3084">C1397^2-2*(D1397^2)-2*E1397+7</f>
        <v>0</v>
      </c>
      <c r="J1398" s="1">
        <f t="shared" ref="J1398" si="3085">0.5*(C1398*C1398+D1398*D1398+E1398*E1398+F1398*F1398+G1398*G1398)</f>
        <v>1.5407439555097887E-31</v>
      </c>
    </row>
    <row r="1399" spans="1:10" x14ac:dyDescent="0.25">
      <c r="C1399" s="5">
        <f t="shared" ref="C1399" si="3086">2-2*G1397</f>
        <v>2.2403028091636905</v>
      </c>
      <c r="D1399" s="6">
        <f t="shared" ref="D1399" si="3087">-2*F1397*D1397</f>
        <v>2.6091774571648814</v>
      </c>
      <c r="E1399" s="6">
        <f>0</f>
        <v>0</v>
      </c>
      <c r="F1399" s="6">
        <f t="shared" ref="F1399" si="3088">-(D1397^2)</f>
        <v>-3.7358700567866143</v>
      </c>
      <c r="G1399" s="7">
        <f t="shared" ref="G1399" si="3089">-2*C1397</f>
        <v>2.2510895668861335</v>
      </c>
    </row>
    <row r="1400" spans="1:10" x14ac:dyDescent="0.25">
      <c r="C1400" s="8">
        <f t="shared" ref="C1400" si="3090">-2*F1397*D1397</f>
        <v>2.6091774571648814</v>
      </c>
      <c r="D1400" s="1">
        <f t="shared" ref="D1400" si="3091">2-2*F1397*C1397+4*G1397</f>
        <v>-4.4408920985006262E-16</v>
      </c>
      <c r="E1400" s="1">
        <f>0</f>
        <v>0</v>
      </c>
      <c r="F1400" s="1">
        <f t="shared" ref="F1400" si="3092">-2*C1397*D1397</f>
        <v>4.3509957203971439</v>
      </c>
      <c r="G1400" s="9">
        <f t="shared" ref="G1400" si="3093">4*D1397</f>
        <v>7.7313595769816468</v>
      </c>
    </row>
    <row r="1401" spans="1:10" x14ac:dyDescent="0.25">
      <c r="B1401" t="s">
        <v>20</v>
      </c>
      <c r="C1401" s="8">
        <f>0</f>
        <v>0</v>
      </c>
      <c r="D1401" s="1">
        <f>0</f>
        <v>0</v>
      </c>
      <c r="E1401" s="1">
        <f>4</f>
        <v>4</v>
      </c>
      <c r="F1401" s="1">
        <f>2</f>
        <v>2</v>
      </c>
      <c r="G1401" s="9">
        <f>2</f>
        <v>2</v>
      </c>
    </row>
    <row r="1402" spans="1:10" x14ac:dyDescent="0.25">
      <c r="C1402" s="8">
        <f t="shared" ref="C1402" si="3094">(D1397^2)</f>
        <v>3.7358700567866143</v>
      </c>
      <c r="D1402" s="1">
        <f t="shared" ref="D1402" si="3095">2*C1397*D1397</f>
        <v>-4.3509957203971439</v>
      </c>
      <c r="E1402" s="1">
        <f t="shared" ref="E1402:E1403" si="3096">-2</f>
        <v>-2</v>
      </c>
      <c r="F1402" s="1">
        <f>0</f>
        <v>0</v>
      </c>
      <c r="G1402" s="9">
        <f>0</f>
        <v>0</v>
      </c>
    </row>
    <row r="1403" spans="1:10" x14ac:dyDescent="0.25">
      <c r="C1403" s="10">
        <f t="shared" ref="C1403" si="3097">2*C1397</f>
        <v>-2.2510895668861335</v>
      </c>
      <c r="D1403" s="11">
        <f t="shared" ref="D1403" si="3098">-4*D1397</f>
        <v>-7.7313595769816468</v>
      </c>
      <c r="E1403" s="11">
        <f t="shared" si="3096"/>
        <v>-2</v>
      </c>
      <c r="F1403" s="11">
        <f>0</f>
        <v>0</v>
      </c>
      <c r="G1403" s="12">
        <f>0</f>
        <v>0</v>
      </c>
    </row>
    <row r="1404" spans="1:10" x14ac:dyDescent="0.25">
      <c r="B1404" t="s">
        <v>21</v>
      </c>
      <c r="C1404" s="1" cm="1">
        <f t="array" ref="C1404:G1404">-MMULT(C1398:G1398,C1399:G1403)</f>
        <v>-1.2436178804329737E-15</v>
      </c>
      <c r="D1404" s="1">
        <v>-1.4483844441386847E-15</v>
      </c>
      <c r="E1404" s="1">
        <v>0</v>
      </c>
      <c r="F1404" s="1">
        <v>2.0738244770260952E-15</v>
      </c>
      <c r="G1404" s="1">
        <v>-1.2496057338252283E-15</v>
      </c>
    </row>
    <row r="1405" spans="1:10" x14ac:dyDescent="0.25">
      <c r="B1405" t="s">
        <v>13</v>
      </c>
      <c r="C1405" s="1">
        <f t="shared" ref="C1405" si="3099">J1398/SUMPRODUCT(_xlfn.ANCHORARRAY(C1404),_xlfn.ANCHORARRAY(C1404))</f>
        <v>1.6206986294211755E-2</v>
      </c>
    </row>
    <row r="1406" spans="1:10" x14ac:dyDescent="0.25">
      <c r="A1406" s="1" t="s">
        <v>4</v>
      </c>
      <c r="B1406" t="s">
        <v>18</v>
      </c>
      <c r="C1406" s="1" cm="1">
        <f t="array" ref="C1406:G1406">C1397:G1397+C1405*C1404:G1404</f>
        <v>-1.1255447834430667</v>
      </c>
      <c r="D1406" s="1">
        <v>1.9328398942454117</v>
      </c>
      <c r="E1406" s="1">
        <v>0.39755547298133398</v>
      </c>
      <c r="F1406" s="1">
        <v>-0.67495954138082259</v>
      </c>
      <c r="G1406" s="1">
        <v>-0.12015140458184533</v>
      </c>
    </row>
    <row r="1407" spans="1:10" x14ac:dyDescent="0.25">
      <c r="A1407" s="1">
        <v>157</v>
      </c>
      <c r="B1407" t="s">
        <v>19</v>
      </c>
      <c r="C1407" s="1">
        <f t="shared" ref="C1407" si="3100">2*C1406-F1406*(D1406^2)-2*G1406*C1406</f>
        <v>5.5511151231257827E-16</v>
      </c>
      <c r="D1407" s="1">
        <f t="shared" ref="D1407" si="3101">2*D1406-2*F1406*C1406*D1406+4*G1406*D1406</f>
        <v>-8.8817841970012523E-16</v>
      </c>
      <c r="E1407" s="1">
        <f t="shared" ref="E1407" si="3102">4*E1406+2*F1406+2*G1406</f>
        <v>0</v>
      </c>
      <c r="F1407" s="1">
        <f t="shared" ref="F1407" si="3103">C1406*(D1406^2)-2*E1406+5</f>
        <v>0</v>
      </c>
      <c r="G1407" s="1">
        <f t="shared" ref="G1407" si="3104">C1406^2-2*(D1406^2)-2*E1406+7</f>
        <v>0</v>
      </c>
      <c r="J1407" s="1">
        <f t="shared" ref="J1407" si="3105">0.5*(C1407*C1407+D1407*D1407+E1407*E1407+F1407*F1407+G1407*G1407)</f>
        <v>5.4850484816148477E-31</v>
      </c>
    </row>
    <row r="1408" spans="1:10" x14ac:dyDescent="0.25">
      <c r="C1408" s="5">
        <f t="shared" ref="C1408" si="3106">2-2*G1406</f>
        <v>2.2403028091636905</v>
      </c>
      <c r="D1408" s="6">
        <f t="shared" ref="D1408" si="3107">-2*F1406*D1406</f>
        <v>2.6091774571648814</v>
      </c>
      <c r="E1408" s="6">
        <f>0</f>
        <v>0</v>
      </c>
      <c r="F1408" s="6">
        <f t="shared" ref="F1408" si="3108">-(D1406^2)</f>
        <v>-3.7358700567866143</v>
      </c>
      <c r="G1408" s="7">
        <f t="shared" ref="G1408" si="3109">-2*C1406</f>
        <v>2.2510895668861335</v>
      </c>
    </row>
    <row r="1409" spans="1:10" x14ac:dyDescent="0.25">
      <c r="C1409" s="8">
        <f t="shared" ref="C1409" si="3110">-2*F1406*D1406</f>
        <v>2.6091774571648814</v>
      </c>
      <c r="D1409" s="1">
        <f t="shared" ref="D1409" si="3111">2-2*F1406*C1406+4*G1406</f>
        <v>-4.9960036108132044E-16</v>
      </c>
      <c r="E1409" s="1">
        <f>0</f>
        <v>0</v>
      </c>
      <c r="F1409" s="1">
        <f t="shared" ref="F1409" si="3112">-2*C1406*D1406</f>
        <v>4.3509957203971439</v>
      </c>
      <c r="G1409" s="9">
        <f t="shared" ref="G1409" si="3113">4*D1406</f>
        <v>7.7313595769816468</v>
      </c>
    </row>
    <row r="1410" spans="1:10" x14ac:dyDescent="0.25">
      <c r="B1410" t="s">
        <v>20</v>
      </c>
      <c r="C1410" s="8">
        <f>0</f>
        <v>0</v>
      </c>
      <c r="D1410" s="1">
        <f>0</f>
        <v>0</v>
      </c>
      <c r="E1410" s="1">
        <f>4</f>
        <v>4</v>
      </c>
      <c r="F1410" s="1">
        <f>2</f>
        <v>2</v>
      </c>
      <c r="G1410" s="9">
        <f>2</f>
        <v>2</v>
      </c>
    </row>
    <row r="1411" spans="1:10" x14ac:dyDescent="0.25">
      <c r="C1411" s="8">
        <f t="shared" ref="C1411" si="3114">(D1406^2)</f>
        <v>3.7358700567866143</v>
      </c>
      <c r="D1411" s="1">
        <f t="shared" ref="D1411" si="3115">2*C1406*D1406</f>
        <v>-4.3509957203971439</v>
      </c>
      <c r="E1411" s="1">
        <f t="shared" ref="E1411:E1412" si="3116">-2</f>
        <v>-2</v>
      </c>
      <c r="F1411" s="1">
        <f>0</f>
        <v>0</v>
      </c>
      <c r="G1411" s="9">
        <f>0</f>
        <v>0</v>
      </c>
    </row>
    <row r="1412" spans="1:10" x14ac:dyDescent="0.25">
      <c r="C1412" s="10">
        <f t="shared" ref="C1412" si="3117">2*C1406</f>
        <v>-2.2510895668861335</v>
      </c>
      <c r="D1412" s="11">
        <f t="shared" ref="D1412" si="3118">-4*D1406</f>
        <v>-7.7313595769816468</v>
      </c>
      <c r="E1412" s="11">
        <f t="shared" si="3116"/>
        <v>-2</v>
      </c>
      <c r="F1412" s="11">
        <f>0</f>
        <v>0</v>
      </c>
      <c r="G1412" s="12">
        <f>0</f>
        <v>0</v>
      </c>
    </row>
    <row r="1413" spans="1:10" x14ac:dyDescent="0.25">
      <c r="B1413" t="s">
        <v>21</v>
      </c>
      <c r="C1413" s="1" cm="1">
        <f t="array" ref="C1413:G1413">-MMULT(C1407:G1407,C1408:G1412)</f>
        <v>1.0737972301889219E-15</v>
      </c>
      <c r="D1413" s="1">
        <v>-1.448384444138685E-15</v>
      </c>
      <c r="E1413" s="1">
        <v>0</v>
      </c>
      <c r="F1413" s="1">
        <v>5.9382849800904388E-15</v>
      </c>
      <c r="G1413" s="1">
        <v>5.6172209973917592E-15</v>
      </c>
    </row>
    <row r="1414" spans="1:10" x14ac:dyDescent="0.25">
      <c r="B1414" t="s">
        <v>13</v>
      </c>
      <c r="C1414" s="1">
        <f t="shared" ref="C1414" si="3119">J1407/SUMPRODUCT(_xlfn.ANCHORARRAY(C1413),_xlfn.ANCHORARRAY(C1413))</f>
        <v>7.828261901978455E-3</v>
      </c>
    </row>
    <row r="1415" spans="1:10" x14ac:dyDescent="0.25">
      <c r="A1415" s="1" t="s">
        <v>4</v>
      </c>
      <c r="B1415" t="s">
        <v>18</v>
      </c>
      <c r="C1415" s="1" cm="1">
        <f t="array" ref="C1415:G1415">C1406:G1406+C1414*C1413:G1413</f>
        <v>-1.1255447834430667</v>
      </c>
      <c r="D1415" s="1">
        <v>1.9328398942454117</v>
      </c>
      <c r="E1415" s="1">
        <v>0.39755547298133398</v>
      </c>
      <c r="F1415" s="1">
        <v>-0.67495954138082259</v>
      </c>
      <c r="G1415" s="1">
        <v>-0.12015140458184528</v>
      </c>
    </row>
    <row r="1416" spans="1:10" x14ac:dyDescent="0.25">
      <c r="A1416" s="1">
        <v>158</v>
      </c>
      <c r="B1416" t="s">
        <v>19</v>
      </c>
      <c r="C1416" s="1">
        <f t="shared" ref="C1416" si="3120">2*C1415-F1415*(D1415^2)-2*G1415*C1415</f>
        <v>6.106226635438361E-16</v>
      </c>
      <c r="D1416" s="1">
        <f t="shared" ref="D1416" si="3121">2*D1415-2*F1415*C1415*D1415+4*G1415*D1415</f>
        <v>0</v>
      </c>
      <c r="E1416" s="1">
        <f t="shared" ref="E1416" si="3122">4*E1415+2*F1415+2*G1415</f>
        <v>0</v>
      </c>
      <c r="F1416" s="1">
        <f t="shared" ref="F1416" si="3123">C1415*(D1415^2)-2*E1415+5</f>
        <v>0</v>
      </c>
      <c r="G1416" s="1">
        <f t="shared" ref="G1416" si="3124">C1415^2-2*(D1415^2)-2*E1415+7</f>
        <v>0</v>
      </c>
      <c r="J1416" s="1">
        <f t="shared" ref="J1416" si="3125">0.5*(C1416*C1416+D1416*D1416+E1416*E1416+F1416*F1416+G1416*G1416)</f>
        <v>1.8643001861668443E-31</v>
      </c>
    </row>
    <row r="1417" spans="1:10" x14ac:dyDescent="0.25">
      <c r="C1417" s="5">
        <f t="shared" ref="C1417" si="3126">2-2*G1415</f>
        <v>2.2403028091636905</v>
      </c>
      <c r="D1417" s="6">
        <f t="shared" ref="D1417" si="3127">-2*F1415*D1415</f>
        <v>2.6091774571648814</v>
      </c>
      <c r="E1417" s="6">
        <f>0</f>
        <v>0</v>
      </c>
      <c r="F1417" s="6">
        <f t="shared" ref="F1417" si="3128">-(D1415^2)</f>
        <v>-3.7358700567866143</v>
      </c>
      <c r="G1417" s="7">
        <f t="shared" ref="G1417" si="3129">-2*C1415</f>
        <v>2.2510895668861335</v>
      </c>
    </row>
    <row r="1418" spans="1:10" x14ac:dyDescent="0.25">
      <c r="C1418" s="8">
        <f t="shared" ref="C1418" si="3130">-2*F1415*D1415</f>
        <v>2.6091774571648814</v>
      </c>
      <c r="D1418" s="1">
        <f t="shared" ref="D1418" si="3131">2-2*F1415*C1415+4*G1415</f>
        <v>0</v>
      </c>
      <c r="E1418" s="1">
        <f>0</f>
        <v>0</v>
      </c>
      <c r="F1418" s="1">
        <f t="shared" ref="F1418" si="3132">-2*C1415*D1415</f>
        <v>4.3509957203971439</v>
      </c>
      <c r="G1418" s="9">
        <f t="shared" ref="G1418" si="3133">4*D1415</f>
        <v>7.7313595769816468</v>
      </c>
    </row>
    <row r="1419" spans="1:10" x14ac:dyDescent="0.25">
      <c r="B1419" t="s">
        <v>20</v>
      </c>
      <c r="C1419" s="8">
        <f>0</f>
        <v>0</v>
      </c>
      <c r="D1419" s="1">
        <f>0</f>
        <v>0</v>
      </c>
      <c r="E1419" s="1">
        <f>4</f>
        <v>4</v>
      </c>
      <c r="F1419" s="1">
        <f>2</f>
        <v>2</v>
      </c>
      <c r="G1419" s="9">
        <f>2</f>
        <v>2</v>
      </c>
    </row>
    <row r="1420" spans="1:10" x14ac:dyDescent="0.25">
      <c r="C1420" s="8">
        <f t="shared" ref="C1420" si="3134">(D1415^2)</f>
        <v>3.7358700567866143</v>
      </c>
      <c r="D1420" s="1">
        <f t="shared" ref="D1420" si="3135">2*C1415*D1415</f>
        <v>-4.3509957203971439</v>
      </c>
      <c r="E1420" s="1">
        <f t="shared" ref="E1420:E1421" si="3136">-2</f>
        <v>-2</v>
      </c>
      <c r="F1420" s="1">
        <f>0</f>
        <v>0</v>
      </c>
      <c r="G1420" s="9">
        <f>0</f>
        <v>0</v>
      </c>
    </row>
    <row r="1421" spans="1:10" x14ac:dyDescent="0.25">
      <c r="C1421" s="10">
        <f t="shared" ref="C1421" si="3137">2*C1415</f>
        <v>-2.2510895668861335</v>
      </c>
      <c r="D1421" s="11">
        <f t="shared" ref="D1421" si="3138">-4*D1415</f>
        <v>-7.7313595769816468</v>
      </c>
      <c r="E1421" s="11">
        <f t="shared" si="3136"/>
        <v>-2</v>
      </c>
      <c r="F1421" s="11">
        <f>0</f>
        <v>0</v>
      </c>
      <c r="G1421" s="12">
        <f>0</f>
        <v>0</v>
      </c>
    </row>
    <row r="1422" spans="1:10" x14ac:dyDescent="0.25">
      <c r="B1422" t="s">
        <v>21</v>
      </c>
      <c r="C1422" s="1" cm="1">
        <f t="array" ref="C1422:G1422">-MMULT(C1416:G1416,C1417:G1421)</f>
        <v>-1.367979668476271E-15</v>
      </c>
      <c r="D1422" s="1">
        <v>-1.5932228885525532E-15</v>
      </c>
      <c r="E1422" s="1">
        <v>0</v>
      </c>
      <c r="F1422" s="1">
        <v>2.2812069247287048E-15</v>
      </c>
      <c r="G1422" s="1">
        <v>-1.3745663072077511E-15</v>
      </c>
    </row>
    <row r="1423" spans="1:10" x14ac:dyDescent="0.25">
      <c r="B1423" t="s">
        <v>13</v>
      </c>
      <c r="C1423" s="1">
        <f t="shared" ref="C1423" si="3139">J1416/SUMPRODUCT(_xlfn.ANCHORARRAY(C1422),_xlfn.ANCHORARRAY(C1422))</f>
        <v>1.6206986294211755E-2</v>
      </c>
    </row>
    <row r="1424" spans="1:10" x14ac:dyDescent="0.25">
      <c r="A1424" s="1" t="s">
        <v>4</v>
      </c>
      <c r="B1424" t="s">
        <v>18</v>
      </c>
      <c r="C1424" s="1" cm="1">
        <f t="array" ref="C1424:G1424">C1415:G1415+C1423*C1422:G1422</f>
        <v>-1.1255447834430667</v>
      </c>
      <c r="D1424" s="1">
        <v>1.9328398942454117</v>
      </c>
      <c r="E1424" s="1">
        <v>0.39755547298133398</v>
      </c>
      <c r="F1424" s="1">
        <v>-0.67495954138082259</v>
      </c>
      <c r="G1424" s="1">
        <v>-0.12015140458184531</v>
      </c>
    </row>
    <row r="1425" spans="1:10" x14ac:dyDescent="0.25">
      <c r="A1425" s="1">
        <v>159</v>
      </c>
      <c r="B1425" t="s">
        <v>19</v>
      </c>
      <c r="C1425" s="1">
        <f t="shared" ref="C1425" si="3140">2*C1424-F1424*(D1424^2)-2*G1424*C1424</f>
        <v>5.5511151231257827E-16</v>
      </c>
      <c r="D1425" s="1">
        <f t="shared" ref="D1425" si="3141">2*D1424-2*F1424*C1424*D1424+4*G1424*D1424</f>
        <v>0</v>
      </c>
      <c r="E1425" s="1">
        <f t="shared" ref="E1425" si="3142">4*E1424+2*F1424+2*G1424</f>
        <v>0</v>
      </c>
      <c r="F1425" s="1">
        <f t="shared" ref="F1425" si="3143">C1424*(D1424^2)-2*E1424+5</f>
        <v>0</v>
      </c>
      <c r="G1425" s="1">
        <f t="shared" ref="G1425" si="3144">C1424^2-2*(D1424^2)-2*E1424+7</f>
        <v>0</v>
      </c>
      <c r="J1425" s="1">
        <f t="shared" ref="J1425" si="3145">0.5*(C1425*C1425+D1425*D1425+E1425*E1425+F1425*F1425+G1425*G1425)</f>
        <v>1.5407439555097887E-31</v>
      </c>
    </row>
    <row r="1426" spans="1:10" x14ac:dyDescent="0.25">
      <c r="C1426" s="5">
        <f t="shared" ref="C1426" si="3146">2-2*G1424</f>
        <v>2.2403028091636905</v>
      </c>
      <c r="D1426" s="6">
        <f t="shared" ref="D1426" si="3147">-2*F1424*D1424</f>
        <v>2.6091774571648814</v>
      </c>
      <c r="E1426" s="6">
        <f>0</f>
        <v>0</v>
      </c>
      <c r="F1426" s="6">
        <f t="shared" ref="F1426" si="3148">-(D1424^2)</f>
        <v>-3.7358700567866143</v>
      </c>
      <c r="G1426" s="7">
        <f t="shared" ref="G1426" si="3149">-2*C1424</f>
        <v>2.2510895668861335</v>
      </c>
    </row>
    <row r="1427" spans="1:10" x14ac:dyDescent="0.25">
      <c r="C1427" s="8">
        <f t="shared" ref="C1427" si="3150">-2*F1424*D1424</f>
        <v>2.6091774571648814</v>
      </c>
      <c r="D1427" s="1">
        <f t="shared" ref="D1427" si="3151">2-2*F1424*C1424+4*G1424</f>
        <v>-4.4408920985006262E-16</v>
      </c>
      <c r="E1427" s="1">
        <f>0</f>
        <v>0</v>
      </c>
      <c r="F1427" s="1">
        <f t="shared" ref="F1427" si="3152">-2*C1424*D1424</f>
        <v>4.3509957203971439</v>
      </c>
      <c r="G1427" s="9">
        <f t="shared" ref="G1427" si="3153">4*D1424</f>
        <v>7.7313595769816468</v>
      </c>
    </row>
    <row r="1428" spans="1:10" x14ac:dyDescent="0.25">
      <c r="B1428" t="s">
        <v>20</v>
      </c>
      <c r="C1428" s="8">
        <f>0</f>
        <v>0</v>
      </c>
      <c r="D1428" s="1">
        <f>0</f>
        <v>0</v>
      </c>
      <c r="E1428" s="1">
        <f>4</f>
        <v>4</v>
      </c>
      <c r="F1428" s="1">
        <f>2</f>
        <v>2</v>
      </c>
      <c r="G1428" s="9">
        <f>2</f>
        <v>2</v>
      </c>
    </row>
    <row r="1429" spans="1:10" x14ac:dyDescent="0.25">
      <c r="C1429" s="8">
        <f t="shared" ref="C1429" si="3154">(D1424^2)</f>
        <v>3.7358700567866143</v>
      </c>
      <c r="D1429" s="1">
        <f t="shared" ref="D1429" si="3155">2*C1424*D1424</f>
        <v>-4.3509957203971439</v>
      </c>
      <c r="E1429" s="1">
        <f t="shared" ref="E1429:E1430" si="3156">-2</f>
        <v>-2</v>
      </c>
      <c r="F1429" s="1">
        <f>0</f>
        <v>0</v>
      </c>
      <c r="G1429" s="9">
        <f>0</f>
        <v>0</v>
      </c>
    </row>
    <row r="1430" spans="1:10" x14ac:dyDescent="0.25">
      <c r="C1430" s="10">
        <f t="shared" ref="C1430" si="3157">2*C1424</f>
        <v>-2.2510895668861335</v>
      </c>
      <c r="D1430" s="11">
        <f t="shared" ref="D1430" si="3158">-4*D1424</f>
        <v>-7.7313595769816468</v>
      </c>
      <c r="E1430" s="11">
        <f t="shared" si="3156"/>
        <v>-2</v>
      </c>
      <c r="F1430" s="11">
        <f>0</f>
        <v>0</v>
      </c>
      <c r="G1430" s="12">
        <f>0</f>
        <v>0</v>
      </c>
    </row>
    <row r="1431" spans="1:10" x14ac:dyDescent="0.25">
      <c r="B1431" t="s">
        <v>21</v>
      </c>
      <c r="C1431" s="1" cm="1">
        <f t="array" ref="C1431:G1431">-MMULT(C1425:G1425,C1426:G1430)</f>
        <v>-1.2436178804329737E-15</v>
      </c>
      <c r="D1431" s="1">
        <v>-1.4483844441386847E-15</v>
      </c>
      <c r="E1431" s="1">
        <v>0</v>
      </c>
      <c r="F1431" s="1">
        <v>2.0738244770260952E-15</v>
      </c>
      <c r="G1431" s="1">
        <v>-1.2496057338252283E-15</v>
      </c>
    </row>
    <row r="1432" spans="1:10" x14ac:dyDescent="0.25">
      <c r="B1432" t="s">
        <v>13</v>
      </c>
      <c r="C1432" s="1">
        <f t="shared" ref="C1432" si="3159">J1425/SUMPRODUCT(_xlfn.ANCHORARRAY(C1431),_xlfn.ANCHORARRAY(C1431))</f>
        <v>1.6206986294211755E-2</v>
      </c>
    </row>
    <row r="1433" spans="1:10" x14ac:dyDescent="0.25">
      <c r="A1433" s="1" t="s">
        <v>4</v>
      </c>
      <c r="B1433" t="s">
        <v>18</v>
      </c>
      <c r="C1433" s="1" cm="1">
        <f t="array" ref="C1433:G1433">C1424:G1424+C1432*C1431:G1431</f>
        <v>-1.1255447834430667</v>
      </c>
      <c r="D1433" s="1">
        <v>1.9328398942454117</v>
      </c>
      <c r="E1433" s="1">
        <v>0.39755547298133398</v>
      </c>
      <c r="F1433" s="1">
        <v>-0.67495954138082259</v>
      </c>
      <c r="G1433" s="1">
        <v>-0.12015140458184533</v>
      </c>
    </row>
    <row r="1434" spans="1:10" x14ac:dyDescent="0.25">
      <c r="A1434" s="1">
        <v>160</v>
      </c>
      <c r="B1434" t="s">
        <v>19</v>
      </c>
      <c r="C1434" s="1">
        <f t="shared" ref="C1434" si="3160">2*C1433-F1433*(D1433^2)-2*G1433*C1433</f>
        <v>5.5511151231257827E-16</v>
      </c>
      <c r="D1434" s="1">
        <f t="shared" ref="D1434" si="3161">2*D1433-2*F1433*C1433*D1433+4*G1433*D1433</f>
        <v>-8.8817841970012523E-16</v>
      </c>
      <c r="E1434" s="1">
        <f t="shared" ref="E1434" si="3162">4*E1433+2*F1433+2*G1433</f>
        <v>0</v>
      </c>
      <c r="F1434" s="1">
        <f t="shared" ref="F1434" si="3163">C1433*(D1433^2)-2*E1433+5</f>
        <v>0</v>
      </c>
      <c r="G1434" s="1">
        <f t="shared" ref="G1434" si="3164">C1433^2-2*(D1433^2)-2*E1433+7</f>
        <v>0</v>
      </c>
      <c r="J1434" s="1">
        <f t="shared" ref="J1434" si="3165">0.5*(C1434*C1434+D1434*D1434+E1434*E1434+F1434*F1434+G1434*G1434)</f>
        <v>5.4850484816148477E-31</v>
      </c>
    </row>
    <row r="1435" spans="1:10" x14ac:dyDescent="0.25">
      <c r="C1435" s="5">
        <f t="shared" ref="C1435" si="3166">2-2*G1433</f>
        <v>2.2403028091636905</v>
      </c>
      <c r="D1435" s="6">
        <f t="shared" ref="D1435" si="3167">-2*F1433*D1433</f>
        <v>2.6091774571648814</v>
      </c>
      <c r="E1435" s="6">
        <f>0</f>
        <v>0</v>
      </c>
      <c r="F1435" s="6">
        <f t="shared" ref="F1435" si="3168">-(D1433^2)</f>
        <v>-3.7358700567866143</v>
      </c>
      <c r="G1435" s="7">
        <f t="shared" ref="G1435" si="3169">-2*C1433</f>
        <v>2.2510895668861335</v>
      </c>
    </row>
    <row r="1436" spans="1:10" x14ac:dyDescent="0.25">
      <c r="C1436" s="8">
        <f t="shared" ref="C1436" si="3170">-2*F1433*D1433</f>
        <v>2.6091774571648814</v>
      </c>
      <c r="D1436" s="1">
        <f t="shared" ref="D1436" si="3171">2-2*F1433*C1433+4*G1433</f>
        <v>-4.9960036108132044E-16</v>
      </c>
      <c r="E1436" s="1">
        <f>0</f>
        <v>0</v>
      </c>
      <c r="F1436" s="1">
        <f t="shared" ref="F1436" si="3172">-2*C1433*D1433</f>
        <v>4.3509957203971439</v>
      </c>
      <c r="G1436" s="9">
        <f t="shared" ref="G1436" si="3173">4*D1433</f>
        <v>7.7313595769816468</v>
      </c>
    </row>
    <row r="1437" spans="1:10" x14ac:dyDescent="0.25">
      <c r="B1437" t="s">
        <v>20</v>
      </c>
      <c r="C1437" s="8">
        <f>0</f>
        <v>0</v>
      </c>
      <c r="D1437" s="1">
        <f>0</f>
        <v>0</v>
      </c>
      <c r="E1437" s="1">
        <f>4</f>
        <v>4</v>
      </c>
      <c r="F1437" s="1">
        <f>2</f>
        <v>2</v>
      </c>
      <c r="G1437" s="9">
        <f>2</f>
        <v>2</v>
      </c>
    </row>
    <row r="1438" spans="1:10" x14ac:dyDescent="0.25">
      <c r="C1438" s="8">
        <f t="shared" ref="C1438" si="3174">(D1433^2)</f>
        <v>3.7358700567866143</v>
      </c>
      <c r="D1438" s="1">
        <f t="shared" ref="D1438" si="3175">2*C1433*D1433</f>
        <v>-4.3509957203971439</v>
      </c>
      <c r="E1438" s="1">
        <f t="shared" ref="E1438:E1439" si="3176">-2</f>
        <v>-2</v>
      </c>
      <c r="F1438" s="1">
        <f>0</f>
        <v>0</v>
      </c>
      <c r="G1438" s="9">
        <f>0</f>
        <v>0</v>
      </c>
    </row>
    <row r="1439" spans="1:10" x14ac:dyDescent="0.25">
      <c r="C1439" s="10">
        <f t="shared" ref="C1439" si="3177">2*C1433</f>
        <v>-2.2510895668861335</v>
      </c>
      <c r="D1439" s="11">
        <f t="shared" ref="D1439" si="3178">-4*D1433</f>
        <v>-7.7313595769816468</v>
      </c>
      <c r="E1439" s="11">
        <f t="shared" si="3176"/>
        <v>-2</v>
      </c>
      <c r="F1439" s="11">
        <f>0</f>
        <v>0</v>
      </c>
      <c r="G1439" s="12">
        <f>0</f>
        <v>0</v>
      </c>
    </row>
    <row r="1440" spans="1:10" x14ac:dyDescent="0.25">
      <c r="B1440" t="s">
        <v>21</v>
      </c>
      <c r="C1440" s="1" cm="1">
        <f t="array" ref="C1440:G1440">-MMULT(C1434:G1434,C1435:G1439)</f>
        <v>1.0737972301889219E-15</v>
      </c>
      <c r="D1440" s="1">
        <v>-1.448384444138685E-15</v>
      </c>
      <c r="E1440" s="1">
        <v>0</v>
      </c>
      <c r="F1440" s="1">
        <v>5.9382849800904388E-15</v>
      </c>
      <c r="G1440" s="1">
        <v>5.6172209973917592E-15</v>
      </c>
    </row>
    <row r="1441" spans="1:10" x14ac:dyDescent="0.25">
      <c r="B1441" t="s">
        <v>13</v>
      </c>
      <c r="C1441" s="1">
        <f t="shared" ref="C1441" si="3179">J1434/SUMPRODUCT(_xlfn.ANCHORARRAY(C1440),_xlfn.ANCHORARRAY(C1440))</f>
        <v>7.828261901978455E-3</v>
      </c>
    </row>
    <row r="1442" spans="1:10" x14ac:dyDescent="0.25">
      <c r="A1442" s="1" t="s">
        <v>4</v>
      </c>
      <c r="B1442" t="s">
        <v>18</v>
      </c>
      <c r="C1442" s="1" cm="1">
        <f t="array" ref="C1442:G1442">C1433:G1433+C1441*C1440:G1440</f>
        <v>-1.1255447834430667</v>
      </c>
      <c r="D1442" s="1">
        <v>1.9328398942454117</v>
      </c>
      <c r="E1442" s="1">
        <v>0.39755547298133398</v>
      </c>
      <c r="F1442" s="1">
        <v>-0.67495954138082259</v>
      </c>
      <c r="G1442" s="1">
        <v>-0.12015140458184528</v>
      </c>
    </row>
    <row r="1443" spans="1:10" x14ac:dyDescent="0.25">
      <c r="A1443" s="1">
        <v>161</v>
      </c>
      <c r="B1443" t="s">
        <v>19</v>
      </c>
      <c r="C1443" s="1">
        <f t="shared" ref="C1443" si="3180">2*C1442-F1442*(D1442^2)-2*G1442*C1442</f>
        <v>6.106226635438361E-16</v>
      </c>
      <c r="D1443" s="1">
        <f t="shared" ref="D1443" si="3181">2*D1442-2*F1442*C1442*D1442+4*G1442*D1442</f>
        <v>0</v>
      </c>
      <c r="E1443" s="1">
        <f t="shared" ref="E1443" si="3182">4*E1442+2*F1442+2*G1442</f>
        <v>0</v>
      </c>
      <c r="F1443" s="1">
        <f t="shared" ref="F1443" si="3183">C1442*(D1442^2)-2*E1442+5</f>
        <v>0</v>
      </c>
      <c r="G1443" s="1">
        <f t="shared" ref="G1443" si="3184">C1442^2-2*(D1442^2)-2*E1442+7</f>
        <v>0</v>
      </c>
      <c r="J1443" s="1">
        <f t="shared" ref="J1443" si="3185">0.5*(C1443*C1443+D1443*D1443+E1443*E1443+F1443*F1443+G1443*G1443)</f>
        <v>1.8643001861668443E-31</v>
      </c>
    </row>
    <row r="1444" spans="1:10" x14ac:dyDescent="0.25">
      <c r="C1444" s="5">
        <f t="shared" ref="C1444" si="3186">2-2*G1442</f>
        <v>2.2403028091636905</v>
      </c>
      <c r="D1444" s="6">
        <f t="shared" ref="D1444" si="3187">-2*F1442*D1442</f>
        <v>2.6091774571648814</v>
      </c>
      <c r="E1444" s="6">
        <f>0</f>
        <v>0</v>
      </c>
      <c r="F1444" s="6">
        <f t="shared" ref="F1444" si="3188">-(D1442^2)</f>
        <v>-3.7358700567866143</v>
      </c>
      <c r="G1444" s="7">
        <f t="shared" ref="G1444" si="3189">-2*C1442</f>
        <v>2.2510895668861335</v>
      </c>
    </row>
    <row r="1445" spans="1:10" x14ac:dyDescent="0.25">
      <c r="C1445" s="8">
        <f t="shared" ref="C1445" si="3190">-2*F1442*D1442</f>
        <v>2.6091774571648814</v>
      </c>
      <c r="D1445" s="1">
        <f t="shared" ref="D1445" si="3191">2-2*F1442*C1442+4*G1442</f>
        <v>0</v>
      </c>
      <c r="E1445" s="1">
        <f>0</f>
        <v>0</v>
      </c>
      <c r="F1445" s="1">
        <f t="shared" ref="F1445" si="3192">-2*C1442*D1442</f>
        <v>4.3509957203971439</v>
      </c>
      <c r="G1445" s="9">
        <f t="shared" ref="G1445" si="3193">4*D1442</f>
        <v>7.7313595769816468</v>
      </c>
    </row>
    <row r="1446" spans="1:10" x14ac:dyDescent="0.25">
      <c r="B1446" t="s">
        <v>20</v>
      </c>
      <c r="C1446" s="8">
        <f>0</f>
        <v>0</v>
      </c>
      <c r="D1446" s="1">
        <f>0</f>
        <v>0</v>
      </c>
      <c r="E1446" s="1">
        <f>4</f>
        <v>4</v>
      </c>
      <c r="F1446" s="1">
        <f>2</f>
        <v>2</v>
      </c>
      <c r="G1446" s="9">
        <f>2</f>
        <v>2</v>
      </c>
    </row>
    <row r="1447" spans="1:10" x14ac:dyDescent="0.25">
      <c r="C1447" s="8">
        <f t="shared" ref="C1447" si="3194">(D1442^2)</f>
        <v>3.7358700567866143</v>
      </c>
      <c r="D1447" s="1">
        <f t="shared" ref="D1447" si="3195">2*C1442*D1442</f>
        <v>-4.3509957203971439</v>
      </c>
      <c r="E1447" s="1">
        <f t="shared" ref="E1447:E1448" si="3196">-2</f>
        <v>-2</v>
      </c>
      <c r="F1447" s="1">
        <f>0</f>
        <v>0</v>
      </c>
      <c r="G1447" s="9">
        <f>0</f>
        <v>0</v>
      </c>
    </row>
    <row r="1448" spans="1:10" x14ac:dyDescent="0.25">
      <c r="C1448" s="10">
        <f t="shared" ref="C1448" si="3197">2*C1442</f>
        <v>-2.2510895668861335</v>
      </c>
      <c r="D1448" s="11">
        <f t="shared" ref="D1448" si="3198">-4*D1442</f>
        <v>-7.7313595769816468</v>
      </c>
      <c r="E1448" s="11">
        <f t="shared" si="3196"/>
        <v>-2</v>
      </c>
      <c r="F1448" s="11">
        <f>0</f>
        <v>0</v>
      </c>
      <c r="G1448" s="12">
        <f>0</f>
        <v>0</v>
      </c>
    </row>
    <row r="1449" spans="1:10" x14ac:dyDescent="0.25">
      <c r="B1449" t="s">
        <v>21</v>
      </c>
      <c r="C1449" s="1" cm="1">
        <f t="array" ref="C1449:G1449">-MMULT(C1443:G1443,C1444:G1448)</f>
        <v>-1.367979668476271E-15</v>
      </c>
      <c r="D1449" s="1">
        <v>-1.5932228885525532E-15</v>
      </c>
      <c r="E1449" s="1">
        <v>0</v>
      </c>
      <c r="F1449" s="1">
        <v>2.2812069247287048E-15</v>
      </c>
      <c r="G1449" s="1">
        <v>-1.3745663072077511E-15</v>
      </c>
    </row>
    <row r="1450" spans="1:10" x14ac:dyDescent="0.25">
      <c r="B1450" t="s">
        <v>13</v>
      </c>
      <c r="C1450" s="1">
        <f t="shared" ref="C1450" si="3199">J1443/SUMPRODUCT(_xlfn.ANCHORARRAY(C1449),_xlfn.ANCHORARRAY(C1449))</f>
        <v>1.6206986294211755E-2</v>
      </c>
    </row>
    <row r="1451" spans="1:10" x14ac:dyDescent="0.25">
      <c r="A1451" s="1" t="s">
        <v>4</v>
      </c>
      <c r="B1451" t="s">
        <v>18</v>
      </c>
      <c r="C1451" s="1" cm="1">
        <f t="array" ref="C1451:G1451">C1442:G1442+C1450*C1449:G1449</f>
        <v>-1.1255447834430667</v>
      </c>
      <c r="D1451" s="1">
        <v>1.9328398942454117</v>
      </c>
      <c r="E1451" s="1">
        <v>0.39755547298133398</v>
      </c>
      <c r="F1451" s="1">
        <v>-0.67495954138082259</v>
      </c>
      <c r="G1451" s="1">
        <v>-0.12015140458184531</v>
      </c>
    </row>
    <row r="1452" spans="1:10" x14ac:dyDescent="0.25">
      <c r="A1452" s="1">
        <v>162</v>
      </c>
      <c r="B1452" t="s">
        <v>19</v>
      </c>
      <c r="C1452" s="1">
        <f t="shared" ref="C1452" si="3200">2*C1451-F1451*(D1451^2)-2*G1451*C1451</f>
        <v>5.5511151231257827E-16</v>
      </c>
      <c r="D1452" s="1">
        <f t="shared" ref="D1452" si="3201">2*D1451-2*F1451*C1451*D1451+4*G1451*D1451</f>
        <v>0</v>
      </c>
      <c r="E1452" s="1">
        <f t="shared" ref="E1452" si="3202">4*E1451+2*F1451+2*G1451</f>
        <v>0</v>
      </c>
      <c r="F1452" s="1">
        <f t="shared" ref="F1452" si="3203">C1451*(D1451^2)-2*E1451+5</f>
        <v>0</v>
      </c>
      <c r="G1452" s="1">
        <f t="shared" ref="G1452" si="3204">C1451^2-2*(D1451^2)-2*E1451+7</f>
        <v>0</v>
      </c>
      <c r="J1452" s="1">
        <f t="shared" ref="J1452" si="3205">0.5*(C1452*C1452+D1452*D1452+E1452*E1452+F1452*F1452+G1452*G1452)</f>
        <v>1.5407439555097887E-31</v>
      </c>
    </row>
    <row r="1453" spans="1:10" x14ac:dyDescent="0.25">
      <c r="C1453" s="5">
        <f t="shared" ref="C1453" si="3206">2-2*G1451</f>
        <v>2.2403028091636905</v>
      </c>
      <c r="D1453" s="6">
        <f t="shared" ref="D1453" si="3207">-2*F1451*D1451</f>
        <v>2.6091774571648814</v>
      </c>
      <c r="E1453" s="6">
        <f>0</f>
        <v>0</v>
      </c>
      <c r="F1453" s="6">
        <f t="shared" ref="F1453" si="3208">-(D1451^2)</f>
        <v>-3.7358700567866143</v>
      </c>
      <c r="G1453" s="7">
        <f t="shared" ref="G1453" si="3209">-2*C1451</f>
        <v>2.2510895668861335</v>
      </c>
    </row>
    <row r="1454" spans="1:10" x14ac:dyDescent="0.25">
      <c r="C1454" s="8">
        <f t="shared" ref="C1454" si="3210">-2*F1451*D1451</f>
        <v>2.6091774571648814</v>
      </c>
      <c r="D1454" s="1">
        <f t="shared" ref="D1454" si="3211">2-2*F1451*C1451+4*G1451</f>
        <v>-4.4408920985006262E-16</v>
      </c>
      <c r="E1454" s="1">
        <f>0</f>
        <v>0</v>
      </c>
      <c r="F1454" s="1">
        <f t="shared" ref="F1454" si="3212">-2*C1451*D1451</f>
        <v>4.3509957203971439</v>
      </c>
      <c r="G1454" s="9">
        <f t="shared" ref="G1454" si="3213">4*D1451</f>
        <v>7.7313595769816468</v>
      </c>
    </row>
    <row r="1455" spans="1:10" x14ac:dyDescent="0.25">
      <c r="B1455" t="s">
        <v>20</v>
      </c>
      <c r="C1455" s="8">
        <f>0</f>
        <v>0</v>
      </c>
      <c r="D1455" s="1">
        <f>0</f>
        <v>0</v>
      </c>
      <c r="E1455" s="1">
        <f>4</f>
        <v>4</v>
      </c>
      <c r="F1455" s="1">
        <f>2</f>
        <v>2</v>
      </c>
      <c r="G1455" s="9">
        <f>2</f>
        <v>2</v>
      </c>
    </row>
    <row r="1456" spans="1:10" x14ac:dyDescent="0.25">
      <c r="C1456" s="8">
        <f t="shared" ref="C1456" si="3214">(D1451^2)</f>
        <v>3.7358700567866143</v>
      </c>
      <c r="D1456" s="1">
        <f t="shared" ref="D1456" si="3215">2*C1451*D1451</f>
        <v>-4.3509957203971439</v>
      </c>
      <c r="E1456" s="1">
        <f t="shared" ref="E1456:E1457" si="3216">-2</f>
        <v>-2</v>
      </c>
      <c r="F1456" s="1">
        <f>0</f>
        <v>0</v>
      </c>
      <c r="G1456" s="9">
        <f>0</f>
        <v>0</v>
      </c>
    </row>
    <row r="1457" spans="1:10" x14ac:dyDescent="0.25">
      <c r="C1457" s="10">
        <f t="shared" ref="C1457" si="3217">2*C1451</f>
        <v>-2.2510895668861335</v>
      </c>
      <c r="D1457" s="11">
        <f t="shared" ref="D1457" si="3218">-4*D1451</f>
        <v>-7.7313595769816468</v>
      </c>
      <c r="E1457" s="11">
        <f t="shared" si="3216"/>
        <v>-2</v>
      </c>
      <c r="F1457" s="11">
        <f>0</f>
        <v>0</v>
      </c>
      <c r="G1457" s="12">
        <f>0</f>
        <v>0</v>
      </c>
    </row>
    <row r="1458" spans="1:10" x14ac:dyDescent="0.25">
      <c r="B1458" t="s">
        <v>21</v>
      </c>
      <c r="C1458" s="1" cm="1">
        <f t="array" ref="C1458:G1458">-MMULT(C1452:G1452,C1453:G1457)</f>
        <v>-1.2436178804329737E-15</v>
      </c>
      <c r="D1458" s="1">
        <v>-1.4483844441386847E-15</v>
      </c>
      <c r="E1458" s="1">
        <v>0</v>
      </c>
      <c r="F1458" s="1">
        <v>2.0738244770260952E-15</v>
      </c>
      <c r="G1458" s="1">
        <v>-1.2496057338252283E-15</v>
      </c>
    </row>
    <row r="1459" spans="1:10" x14ac:dyDescent="0.25">
      <c r="B1459" t="s">
        <v>13</v>
      </c>
      <c r="C1459" s="1">
        <f t="shared" ref="C1459" si="3219">J1452/SUMPRODUCT(_xlfn.ANCHORARRAY(C1458),_xlfn.ANCHORARRAY(C1458))</f>
        <v>1.6206986294211755E-2</v>
      </c>
    </row>
    <row r="1460" spans="1:10" x14ac:dyDescent="0.25">
      <c r="A1460" s="1" t="s">
        <v>4</v>
      </c>
      <c r="B1460" t="s">
        <v>18</v>
      </c>
      <c r="C1460" s="1" cm="1">
        <f t="array" ref="C1460:G1460">C1451:G1451+C1459*C1458:G1458</f>
        <v>-1.1255447834430667</v>
      </c>
      <c r="D1460" s="1">
        <v>1.9328398942454117</v>
      </c>
      <c r="E1460" s="1">
        <v>0.39755547298133398</v>
      </c>
      <c r="F1460" s="1">
        <v>-0.67495954138082259</v>
      </c>
      <c r="G1460" s="1">
        <v>-0.12015140458184533</v>
      </c>
    </row>
    <row r="1461" spans="1:10" x14ac:dyDescent="0.25">
      <c r="A1461" s="1">
        <v>163</v>
      </c>
      <c r="B1461" t="s">
        <v>19</v>
      </c>
      <c r="C1461" s="1">
        <f t="shared" ref="C1461" si="3220">2*C1460-F1460*(D1460^2)-2*G1460*C1460</f>
        <v>5.5511151231257827E-16</v>
      </c>
      <c r="D1461" s="1">
        <f t="shared" ref="D1461" si="3221">2*D1460-2*F1460*C1460*D1460+4*G1460*D1460</f>
        <v>-8.8817841970012523E-16</v>
      </c>
      <c r="E1461" s="1">
        <f t="shared" ref="E1461" si="3222">4*E1460+2*F1460+2*G1460</f>
        <v>0</v>
      </c>
      <c r="F1461" s="1">
        <f t="shared" ref="F1461" si="3223">C1460*(D1460^2)-2*E1460+5</f>
        <v>0</v>
      </c>
      <c r="G1461" s="1">
        <f t="shared" ref="G1461" si="3224">C1460^2-2*(D1460^2)-2*E1460+7</f>
        <v>0</v>
      </c>
      <c r="J1461" s="1">
        <f t="shared" ref="J1461" si="3225">0.5*(C1461*C1461+D1461*D1461+E1461*E1461+F1461*F1461+G1461*G1461)</f>
        <v>5.4850484816148477E-31</v>
      </c>
    </row>
    <row r="1462" spans="1:10" x14ac:dyDescent="0.25">
      <c r="C1462" s="5">
        <f t="shared" ref="C1462" si="3226">2-2*G1460</f>
        <v>2.2403028091636905</v>
      </c>
      <c r="D1462" s="6">
        <f t="shared" ref="D1462" si="3227">-2*F1460*D1460</f>
        <v>2.6091774571648814</v>
      </c>
      <c r="E1462" s="6">
        <f>0</f>
        <v>0</v>
      </c>
      <c r="F1462" s="6">
        <f t="shared" ref="F1462" si="3228">-(D1460^2)</f>
        <v>-3.7358700567866143</v>
      </c>
      <c r="G1462" s="7">
        <f t="shared" ref="G1462" si="3229">-2*C1460</f>
        <v>2.2510895668861335</v>
      </c>
    </row>
    <row r="1463" spans="1:10" x14ac:dyDescent="0.25">
      <c r="C1463" s="8">
        <f t="shared" ref="C1463" si="3230">-2*F1460*D1460</f>
        <v>2.6091774571648814</v>
      </c>
      <c r="D1463" s="1">
        <f t="shared" ref="D1463" si="3231">2-2*F1460*C1460+4*G1460</f>
        <v>-4.9960036108132044E-16</v>
      </c>
      <c r="E1463" s="1">
        <f>0</f>
        <v>0</v>
      </c>
      <c r="F1463" s="1">
        <f t="shared" ref="F1463" si="3232">-2*C1460*D1460</f>
        <v>4.3509957203971439</v>
      </c>
      <c r="G1463" s="9">
        <f t="shared" ref="G1463" si="3233">4*D1460</f>
        <v>7.7313595769816468</v>
      </c>
    </row>
    <row r="1464" spans="1:10" x14ac:dyDescent="0.25">
      <c r="B1464" t="s">
        <v>20</v>
      </c>
      <c r="C1464" s="8">
        <f>0</f>
        <v>0</v>
      </c>
      <c r="D1464" s="1">
        <f>0</f>
        <v>0</v>
      </c>
      <c r="E1464" s="1">
        <f>4</f>
        <v>4</v>
      </c>
      <c r="F1464" s="1">
        <f>2</f>
        <v>2</v>
      </c>
      <c r="G1464" s="9">
        <f>2</f>
        <v>2</v>
      </c>
    </row>
    <row r="1465" spans="1:10" x14ac:dyDescent="0.25">
      <c r="C1465" s="8">
        <f t="shared" ref="C1465" si="3234">(D1460^2)</f>
        <v>3.7358700567866143</v>
      </c>
      <c r="D1465" s="1">
        <f t="shared" ref="D1465" si="3235">2*C1460*D1460</f>
        <v>-4.3509957203971439</v>
      </c>
      <c r="E1465" s="1">
        <f t="shared" ref="E1465:E1466" si="3236">-2</f>
        <v>-2</v>
      </c>
      <c r="F1465" s="1">
        <f>0</f>
        <v>0</v>
      </c>
      <c r="G1465" s="9">
        <f>0</f>
        <v>0</v>
      </c>
    </row>
    <row r="1466" spans="1:10" x14ac:dyDescent="0.25">
      <c r="C1466" s="10">
        <f t="shared" ref="C1466" si="3237">2*C1460</f>
        <v>-2.2510895668861335</v>
      </c>
      <c r="D1466" s="11">
        <f t="shared" ref="D1466" si="3238">-4*D1460</f>
        <v>-7.7313595769816468</v>
      </c>
      <c r="E1466" s="11">
        <f t="shared" si="3236"/>
        <v>-2</v>
      </c>
      <c r="F1466" s="11">
        <f>0</f>
        <v>0</v>
      </c>
      <c r="G1466" s="12">
        <f>0</f>
        <v>0</v>
      </c>
    </row>
    <row r="1467" spans="1:10" x14ac:dyDescent="0.25">
      <c r="B1467" t="s">
        <v>21</v>
      </c>
      <c r="C1467" s="1" cm="1">
        <f t="array" ref="C1467:G1467">-MMULT(C1461:G1461,C1462:G1466)</f>
        <v>1.0737972301889219E-15</v>
      </c>
      <c r="D1467" s="1">
        <v>-1.448384444138685E-15</v>
      </c>
      <c r="E1467" s="1">
        <v>0</v>
      </c>
      <c r="F1467" s="1">
        <v>5.9382849800904388E-15</v>
      </c>
      <c r="G1467" s="1">
        <v>5.6172209973917592E-15</v>
      </c>
    </row>
    <row r="1468" spans="1:10" x14ac:dyDescent="0.25">
      <c r="B1468" t="s">
        <v>13</v>
      </c>
      <c r="C1468" s="1">
        <f t="shared" ref="C1468" si="3239">J1461/SUMPRODUCT(_xlfn.ANCHORARRAY(C1467),_xlfn.ANCHORARRAY(C1467))</f>
        <v>7.828261901978455E-3</v>
      </c>
    </row>
    <row r="1469" spans="1:10" x14ac:dyDescent="0.25">
      <c r="A1469" s="1" t="s">
        <v>4</v>
      </c>
      <c r="B1469" t="s">
        <v>18</v>
      </c>
      <c r="C1469" s="1" cm="1">
        <f t="array" ref="C1469:G1469">C1460:G1460+C1468*C1467:G1467</f>
        <v>-1.1255447834430667</v>
      </c>
      <c r="D1469" s="1">
        <v>1.9328398942454117</v>
      </c>
      <c r="E1469" s="1">
        <v>0.39755547298133398</v>
      </c>
      <c r="F1469" s="1">
        <v>-0.67495954138082259</v>
      </c>
      <c r="G1469" s="1">
        <v>-0.12015140458184528</v>
      </c>
    </row>
    <row r="1470" spans="1:10" x14ac:dyDescent="0.25">
      <c r="A1470" s="1">
        <v>164</v>
      </c>
      <c r="B1470" t="s">
        <v>19</v>
      </c>
      <c r="C1470" s="1">
        <f t="shared" ref="C1470" si="3240">2*C1469-F1469*(D1469^2)-2*G1469*C1469</f>
        <v>6.106226635438361E-16</v>
      </c>
      <c r="D1470" s="1">
        <f t="shared" ref="D1470" si="3241">2*D1469-2*F1469*C1469*D1469+4*G1469*D1469</f>
        <v>0</v>
      </c>
      <c r="E1470" s="1">
        <f t="shared" ref="E1470" si="3242">4*E1469+2*F1469+2*G1469</f>
        <v>0</v>
      </c>
      <c r="F1470" s="1">
        <f t="shared" ref="F1470" si="3243">C1469*(D1469^2)-2*E1469+5</f>
        <v>0</v>
      </c>
      <c r="G1470" s="1">
        <f t="shared" ref="G1470" si="3244">C1469^2-2*(D1469^2)-2*E1469+7</f>
        <v>0</v>
      </c>
      <c r="J1470" s="1">
        <f t="shared" ref="J1470" si="3245">0.5*(C1470*C1470+D1470*D1470+E1470*E1470+F1470*F1470+G1470*G1470)</f>
        <v>1.8643001861668443E-31</v>
      </c>
    </row>
    <row r="1471" spans="1:10" x14ac:dyDescent="0.25">
      <c r="C1471" s="5">
        <f t="shared" ref="C1471" si="3246">2-2*G1469</f>
        <v>2.2403028091636905</v>
      </c>
      <c r="D1471" s="6">
        <f t="shared" ref="D1471" si="3247">-2*F1469*D1469</f>
        <v>2.6091774571648814</v>
      </c>
      <c r="E1471" s="6">
        <f>0</f>
        <v>0</v>
      </c>
      <c r="F1471" s="6">
        <f t="shared" ref="F1471" si="3248">-(D1469^2)</f>
        <v>-3.7358700567866143</v>
      </c>
      <c r="G1471" s="7">
        <f t="shared" ref="G1471" si="3249">-2*C1469</f>
        <v>2.2510895668861335</v>
      </c>
    </row>
    <row r="1472" spans="1:10" x14ac:dyDescent="0.25">
      <c r="C1472" s="8">
        <f t="shared" ref="C1472" si="3250">-2*F1469*D1469</f>
        <v>2.6091774571648814</v>
      </c>
      <c r="D1472" s="1">
        <f t="shared" ref="D1472" si="3251">2-2*F1469*C1469+4*G1469</f>
        <v>0</v>
      </c>
      <c r="E1472" s="1">
        <f>0</f>
        <v>0</v>
      </c>
      <c r="F1472" s="1">
        <f t="shared" ref="F1472" si="3252">-2*C1469*D1469</f>
        <v>4.3509957203971439</v>
      </c>
      <c r="G1472" s="9">
        <f t="shared" ref="G1472" si="3253">4*D1469</f>
        <v>7.7313595769816468</v>
      </c>
    </row>
    <row r="1473" spans="1:10" x14ac:dyDescent="0.25">
      <c r="B1473" t="s">
        <v>20</v>
      </c>
      <c r="C1473" s="8">
        <f>0</f>
        <v>0</v>
      </c>
      <c r="D1473" s="1">
        <f>0</f>
        <v>0</v>
      </c>
      <c r="E1473" s="1">
        <f>4</f>
        <v>4</v>
      </c>
      <c r="F1473" s="1">
        <f>2</f>
        <v>2</v>
      </c>
      <c r="G1473" s="9">
        <f>2</f>
        <v>2</v>
      </c>
    </row>
    <row r="1474" spans="1:10" x14ac:dyDescent="0.25">
      <c r="C1474" s="8">
        <f t="shared" ref="C1474" si="3254">(D1469^2)</f>
        <v>3.7358700567866143</v>
      </c>
      <c r="D1474" s="1">
        <f t="shared" ref="D1474" si="3255">2*C1469*D1469</f>
        <v>-4.3509957203971439</v>
      </c>
      <c r="E1474" s="1">
        <f t="shared" ref="E1474:E1475" si="3256">-2</f>
        <v>-2</v>
      </c>
      <c r="F1474" s="1">
        <f>0</f>
        <v>0</v>
      </c>
      <c r="G1474" s="9">
        <f>0</f>
        <v>0</v>
      </c>
    </row>
    <row r="1475" spans="1:10" x14ac:dyDescent="0.25">
      <c r="C1475" s="10">
        <f t="shared" ref="C1475" si="3257">2*C1469</f>
        <v>-2.2510895668861335</v>
      </c>
      <c r="D1475" s="11">
        <f t="shared" ref="D1475" si="3258">-4*D1469</f>
        <v>-7.7313595769816468</v>
      </c>
      <c r="E1475" s="11">
        <f t="shared" si="3256"/>
        <v>-2</v>
      </c>
      <c r="F1475" s="11">
        <f>0</f>
        <v>0</v>
      </c>
      <c r="G1475" s="12">
        <f>0</f>
        <v>0</v>
      </c>
    </row>
    <row r="1476" spans="1:10" x14ac:dyDescent="0.25">
      <c r="B1476" t="s">
        <v>21</v>
      </c>
      <c r="C1476" s="1" cm="1">
        <f t="array" ref="C1476:G1476">-MMULT(C1470:G1470,C1471:G1475)</f>
        <v>-1.367979668476271E-15</v>
      </c>
      <c r="D1476" s="1">
        <v>-1.5932228885525532E-15</v>
      </c>
      <c r="E1476" s="1">
        <v>0</v>
      </c>
      <c r="F1476" s="1">
        <v>2.2812069247287048E-15</v>
      </c>
      <c r="G1476" s="1">
        <v>-1.3745663072077511E-15</v>
      </c>
    </row>
    <row r="1477" spans="1:10" x14ac:dyDescent="0.25">
      <c r="B1477" t="s">
        <v>13</v>
      </c>
      <c r="C1477" s="1">
        <f t="shared" ref="C1477" si="3259">J1470/SUMPRODUCT(_xlfn.ANCHORARRAY(C1476),_xlfn.ANCHORARRAY(C1476))</f>
        <v>1.6206986294211755E-2</v>
      </c>
    </row>
    <row r="1478" spans="1:10" x14ac:dyDescent="0.25">
      <c r="A1478" s="1" t="s">
        <v>4</v>
      </c>
      <c r="B1478" t="s">
        <v>18</v>
      </c>
      <c r="C1478" s="1" cm="1">
        <f t="array" ref="C1478:G1478">C1469:G1469+C1477*C1476:G1476</f>
        <v>-1.1255447834430667</v>
      </c>
      <c r="D1478" s="1">
        <v>1.9328398942454117</v>
      </c>
      <c r="E1478" s="1">
        <v>0.39755547298133398</v>
      </c>
      <c r="F1478" s="1">
        <v>-0.67495954138082259</v>
      </c>
      <c r="G1478" s="1">
        <v>-0.12015140458184531</v>
      </c>
    </row>
    <row r="1479" spans="1:10" x14ac:dyDescent="0.25">
      <c r="A1479" s="1">
        <v>165</v>
      </c>
      <c r="B1479" t="s">
        <v>19</v>
      </c>
      <c r="C1479" s="1">
        <f t="shared" ref="C1479" si="3260">2*C1478-F1478*(D1478^2)-2*G1478*C1478</f>
        <v>5.5511151231257827E-16</v>
      </c>
      <c r="D1479" s="1">
        <f t="shared" ref="D1479" si="3261">2*D1478-2*F1478*C1478*D1478+4*G1478*D1478</f>
        <v>0</v>
      </c>
      <c r="E1479" s="1">
        <f t="shared" ref="E1479" si="3262">4*E1478+2*F1478+2*G1478</f>
        <v>0</v>
      </c>
      <c r="F1479" s="1">
        <f t="shared" ref="F1479" si="3263">C1478*(D1478^2)-2*E1478+5</f>
        <v>0</v>
      </c>
      <c r="G1479" s="1">
        <f t="shared" ref="G1479" si="3264">C1478^2-2*(D1478^2)-2*E1478+7</f>
        <v>0</v>
      </c>
      <c r="J1479" s="1">
        <f t="shared" ref="J1479" si="3265">0.5*(C1479*C1479+D1479*D1479+E1479*E1479+F1479*F1479+G1479*G1479)</f>
        <v>1.5407439555097887E-31</v>
      </c>
    </row>
    <row r="1480" spans="1:10" x14ac:dyDescent="0.25">
      <c r="C1480" s="5">
        <f t="shared" ref="C1480" si="3266">2-2*G1478</f>
        <v>2.2403028091636905</v>
      </c>
      <c r="D1480" s="6">
        <f t="shared" ref="D1480" si="3267">-2*F1478*D1478</f>
        <v>2.6091774571648814</v>
      </c>
      <c r="E1480" s="6">
        <f>0</f>
        <v>0</v>
      </c>
      <c r="F1480" s="6">
        <f t="shared" ref="F1480" si="3268">-(D1478^2)</f>
        <v>-3.7358700567866143</v>
      </c>
      <c r="G1480" s="7">
        <f t="shared" ref="G1480" si="3269">-2*C1478</f>
        <v>2.2510895668861335</v>
      </c>
    </row>
    <row r="1481" spans="1:10" x14ac:dyDescent="0.25">
      <c r="C1481" s="8">
        <f t="shared" ref="C1481" si="3270">-2*F1478*D1478</f>
        <v>2.6091774571648814</v>
      </c>
      <c r="D1481" s="1">
        <f t="shared" ref="D1481" si="3271">2-2*F1478*C1478+4*G1478</f>
        <v>-4.4408920985006262E-16</v>
      </c>
      <c r="E1481" s="1">
        <f>0</f>
        <v>0</v>
      </c>
      <c r="F1481" s="1">
        <f t="shared" ref="F1481" si="3272">-2*C1478*D1478</f>
        <v>4.3509957203971439</v>
      </c>
      <c r="G1481" s="9">
        <f t="shared" ref="G1481" si="3273">4*D1478</f>
        <v>7.7313595769816468</v>
      </c>
    </row>
    <row r="1482" spans="1:10" x14ac:dyDescent="0.25">
      <c r="B1482" t="s">
        <v>20</v>
      </c>
      <c r="C1482" s="8">
        <f>0</f>
        <v>0</v>
      </c>
      <c r="D1482" s="1">
        <f>0</f>
        <v>0</v>
      </c>
      <c r="E1482" s="1">
        <f>4</f>
        <v>4</v>
      </c>
      <c r="F1482" s="1">
        <f>2</f>
        <v>2</v>
      </c>
      <c r="G1482" s="9">
        <f>2</f>
        <v>2</v>
      </c>
    </row>
    <row r="1483" spans="1:10" x14ac:dyDescent="0.25">
      <c r="C1483" s="8">
        <f t="shared" ref="C1483" si="3274">(D1478^2)</f>
        <v>3.7358700567866143</v>
      </c>
      <c r="D1483" s="1">
        <f t="shared" ref="D1483" si="3275">2*C1478*D1478</f>
        <v>-4.3509957203971439</v>
      </c>
      <c r="E1483" s="1">
        <f t="shared" ref="E1483:E1484" si="3276">-2</f>
        <v>-2</v>
      </c>
      <c r="F1483" s="1">
        <f>0</f>
        <v>0</v>
      </c>
      <c r="G1483" s="9">
        <f>0</f>
        <v>0</v>
      </c>
    </row>
    <row r="1484" spans="1:10" x14ac:dyDescent="0.25">
      <c r="C1484" s="10">
        <f t="shared" ref="C1484" si="3277">2*C1478</f>
        <v>-2.2510895668861335</v>
      </c>
      <c r="D1484" s="11">
        <f t="shared" ref="D1484" si="3278">-4*D1478</f>
        <v>-7.7313595769816468</v>
      </c>
      <c r="E1484" s="11">
        <f t="shared" si="3276"/>
        <v>-2</v>
      </c>
      <c r="F1484" s="11">
        <f>0</f>
        <v>0</v>
      </c>
      <c r="G1484" s="12">
        <f>0</f>
        <v>0</v>
      </c>
    </row>
    <row r="1485" spans="1:10" x14ac:dyDescent="0.25">
      <c r="B1485" t="s">
        <v>21</v>
      </c>
      <c r="C1485" s="1" cm="1">
        <f t="array" ref="C1485:G1485">-MMULT(C1479:G1479,C1480:G1484)</f>
        <v>-1.2436178804329737E-15</v>
      </c>
      <c r="D1485" s="1">
        <v>-1.4483844441386847E-15</v>
      </c>
      <c r="E1485" s="1">
        <v>0</v>
      </c>
      <c r="F1485" s="1">
        <v>2.0738244770260952E-15</v>
      </c>
      <c r="G1485" s="1">
        <v>-1.2496057338252283E-15</v>
      </c>
    </row>
    <row r="1486" spans="1:10" x14ac:dyDescent="0.25">
      <c r="B1486" t="s">
        <v>13</v>
      </c>
      <c r="C1486" s="1">
        <f t="shared" ref="C1486" si="3279">J1479/SUMPRODUCT(_xlfn.ANCHORARRAY(C1485),_xlfn.ANCHORARRAY(C1485))</f>
        <v>1.6206986294211755E-2</v>
      </c>
    </row>
    <row r="1487" spans="1:10" x14ac:dyDescent="0.25">
      <c r="A1487" s="1" t="s">
        <v>4</v>
      </c>
      <c r="B1487" t="s">
        <v>18</v>
      </c>
      <c r="C1487" s="1" cm="1">
        <f t="array" ref="C1487:G1487">C1478:G1478+C1486*C1485:G1485</f>
        <v>-1.1255447834430667</v>
      </c>
      <c r="D1487" s="1">
        <v>1.9328398942454117</v>
      </c>
      <c r="E1487" s="1">
        <v>0.39755547298133398</v>
      </c>
      <c r="F1487" s="1">
        <v>-0.67495954138082259</v>
      </c>
      <c r="G1487" s="1">
        <v>-0.12015140458184533</v>
      </c>
    </row>
    <row r="1488" spans="1:10" x14ac:dyDescent="0.25">
      <c r="A1488" s="1">
        <v>166</v>
      </c>
      <c r="B1488" t="s">
        <v>19</v>
      </c>
      <c r="C1488" s="1">
        <f t="shared" ref="C1488" si="3280">2*C1487-F1487*(D1487^2)-2*G1487*C1487</f>
        <v>5.5511151231257827E-16</v>
      </c>
      <c r="D1488" s="1">
        <f t="shared" ref="D1488" si="3281">2*D1487-2*F1487*C1487*D1487+4*G1487*D1487</f>
        <v>-8.8817841970012523E-16</v>
      </c>
      <c r="E1488" s="1">
        <f t="shared" ref="E1488" si="3282">4*E1487+2*F1487+2*G1487</f>
        <v>0</v>
      </c>
      <c r="F1488" s="1">
        <f t="shared" ref="F1488" si="3283">C1487*(D1487^2)-2*E1487+5</f>
        <v>0</v>
      </c>
      <c r="G1488" s="1">
        <f t="shared" ref="G1488" si="3284">C1487^2-2*(D1487^2)-2*E1487+7</f>
        <v>0</v>
      </c>
      <c r="J1488" s="1">
        <f t="shared" ref="J1488" si="3285">0.5*(C1488*C1488+D1488*D1488+E1488*E1488+F1488*F1488+G1488*G1488)</f>
        <v>5.4850484816148477E-31</v>
      </c>
    </row>
    <row r="1489" spans="1:10" x14ac:dyDescent="0.25">
      <c r="C1489" s="5">
        <f t="shared" ref="C1489" si="3286">2-2*G1487</f>
        <v>2.2403028091636905</v>
      </c>
      <c r="D1489" s="6">
        <f t="shared" ref="D1489" si="3287">-2*F1487*D1487</f>
        <v>2.6091774571648814</v>
      </c>
      <c r="E1489" s="6">
        <f>0</f>
        <v>0</v>
      </c>
      <c r="F1489" s="6">
        <f t="shared" ref="F1489" si="3288">-(D1487^2)</f>
        <v>-3.7358700567866143</v>
      </c>
      <c r="G1489" s="7">
        <f t="shared" ref="G1489" si="3289">-2*C1487</f>
        <v>2.2510895668861335</v>
      </c>
    </row>
    <row r="1490" spans="1:10" x14ac:dyDescent="0.25">
      <c r="C1490" s="8">
        <f t="shared" ref="C1490" si="3290">-2*F1487*D1487</f>
        <v>2.6091774571648814</v>
      </c>
      <c r="D1490" s="1">
        <f t="shared" ref="D1490" si="3291">2-2*F1487*C1487+4*G1487</f>
        <v>-4.9960036108132044E-16</v>
      </c>
      <c r="E1490" s="1">
        <f>0</f>
        <v>0</v>
      </c>
      <c r="F1490" s="1">
        <f t="shared" ref="F1490" si="3292">-2*C1487*D1487</f>
        <v>4.3509957203971439</v>
      </c>
      <c r="G1490" s="9">
        <f t="shared" ref="G1490" si="3293">4*D1487</f>
        <v>7.7313595769816468</v>
      </c>
    </row>
    <row r="1491" spans="1:10" x14ac:dyDescent="0.25">
      <c r="B1491" t="s">
        <v>20</v>
      </c>
      <c r="C1491" s="8">
        <f>0</f>
        <v>0</v>
      </c>
      <c r="D1491" s="1">
        <f>0</f>
        <v>0</v>
      </c>
      <c r="E1491" s="1">
        <f>4</f>
        <v>4</v>
      </c>
      <c r="F1491" s="1">
        <f>2</f>
        <v>2</v>
      </c>
      <c r="G1491" s="9">
        <f>2</f>
        <v>2</v>
      </c>
    </row>
    <row r="1492" spans="1:10" x14ac:dyDescent="0.25">
      <c r="C1492" s="8">
        <f t="shared" ref="C1492" si="3294">(D1487^2)</f>
        <v>3.7358700567866143</v>
      </c>
      <c r="D1492" s="1">
        <f t="shared" ref="D1492" si="3295">2*C1487*D1487</f>
        <v>-4.3509957203971439</v>
      </c>
      <c r="E1492" s="1">
        <f t="shared" ref="E1492:E1493" si="3296">-2</f>
        <v>-2</v>
      </c>
      <c r="F1492" s="1">
        <f>0</f>
        <v>0</v>
      </c>
      <c r="G1492" s="9">
        <f>0</f>
        <v>0</v>
      </c>
    </row>
    <row r="1493" spans="1:10" x14ac:dyDescent="0.25">
      <c r="C1493" s="10">
        <f t="shared" ref="C1493" si="3297">2*C1487</f>
        <v>-2.2510895668861335</v>
      </c>
      <c r="D1493" s="11">
        <f t="shared" ref="D1493" si="3298">-4*D1487</f>
        <v>-7.7313595769816468</v>
      </c>
      <c r="E1493" s="11">
        <f t="shared" si="3296"/>
        <v>-2</v>
      </c>
      <c r="F1493" s="11">
        <f>0</f>
        <v>0</v>
      </c>
      <c r="G1493" s="12">
        <f>0</f>
        <v>0</v>
      </c>
    </row>
    <row r="1494" spans="1:10" x14ac:dyDescent="0.25">
      <c r="B1494" t="s">
        <v>21</v>
      </c>
      <c r="C1494" s="1" cm="1">
        <f t="array" ref="C1494:G1494">-MMULT(C1488:G1488,C1489:G1493)</f>
        <v>1.0737972301889219E-15</v>
      </c>
      <c r="D1494" s="1">
        <v>-1.448384444138685E-15</v>
      </c>
      <c r="E1494" s="1">
        <v>0</v>
      </c>
      <c r="F1494" s="1">
        <v>5.9382849800904388E-15</v>
      </c>
      <c r="G1494" s="1">
        <v>5.6172209973917592E-15</v>
      </c>
    </row>
    <row r="1495" spans="1:10" x14ac:dyDescent="0.25">
      <c r="B1495" t="s">
        <v>13</v>
      </c>
      <c r="C1495" s="1">
        <f t="shared" ref="C1495" si="3299">J1488/SUMPRODUCT(_xlfn.ANCHORARRAY(C1494),_xlfn.ANCHORARRAY(C1494))</f>
        <v>7.828261901978455E-3</v>
      </c>
    </row>
    <row r="1496" spans="1:10" x14ac:dyDescent="0.25">
      <c r="A1496" s="1" t="s">
        <v>4</v>
      </c>
      <c r="B1496" t="s">
        <v>18</v>
      </c>
      <c r="C1496" s="1" cm="1">
        <f t="array" ref="C1496:G1496">C1487:G1487+C1495*C1494:G1494</f>
        <v>-1.1255447834430667</v>
      </c>
      <c r="D1496" s="1">
        <v>1.9328398942454117</v>
      </c>
      <c r="E1496" s="1">
        <v>0.39755547298133398</v>
      </c>
      <c r="F1496" s="1">
        <v>-0.67495954138082259</v>
      </c>
      <c r="G1496" s="1">
        <v>-0.12015140458184528</v>
      </c>
    </row>
    <row r="1497" spans="1:10" x14ac:dyDescent="0.25">
      <c r="A1497" s="1">
        <v>167</v>
      </c>
      <c r="B1497" t="s">
        <v>19</v>
      </c>
      <c r="C1497" s="1">
        <f t="shared" ref="C1497" si="3300">2*C1496-F1496*(D1496^2)-2*G1496*C1496</f>
        <v>6.106226635438361E-16</v>
      </c>
      <c r="D1497" s="1">
        <f t="shared" ref="D1497" si="3301">2*D1496-2*F1496*C1496*D1496+4*G1496*D1496</f>
        <v>0</v>
      </c>
      <c r="E1497" s="1">
        <f t="shared" ref="E1497" si="3302">4*E1496+2*F1496+2*G1496</f>
        <v>0</v>
      </c>
      <c r="F1497" s="1">
        <f t="shared" ref="F1497" si="3303">C1496*(D1496^2)-2*E1496+5</f>
        <v>0</v>
      </c>
      <c r="G1497" s="1">
        <f t="shared" ref="G1497" si="3304">C1496^2-2*(D1496^2)-2*E1496+7</f>
        <v>0</v>
      </c>
      <c r="J1497" s="1">
        <f t="shared" ref="J1497" si="3305">0.5*(C1497*C1497+D1497*D1497+E1497*E1497+F1497*F1497+G1497*G1497)</f>
        <v>1.8643001861668443E-31</v>
      </c>
    </row>
    <row r="1498" spans="1:10" x14ac:dyDescent="0.25">
      <c r="C1498" s="5">
        <f t="shared" ref="C1498" si="3306">2-2*G1496</f>
        <v>2.2403028091636905</v>
      </c>
      <c r="D1498" s="6">
        <f t="shared" ref="D1498" si="3307">-2*F1496*D1496</f>
        <v>2.6091774571648814</v>
      </c>
      <c r="E1498" s="6">
        <f>0</f>
        <v>0</v>
      </c>
      <c r="F1498" s="6">
        <f t="shared" ref="F1498" si="3308">-(D1496^2)</f>
        <v>-3.7358700567866143</v>
      </c>
      <c r="G1498" s="7">
        <f t="shared" ref="G1498" si="3309">-2*C1496</f>
        <v>2.2510895668861335</v>
      </c>
    </row>
    <row r="1499" spans="1:10" x14ac:dyDescent="0.25">
      <c r="C1499" s="8">
        <f t="shared" ref="C1499" si="3310">-2*F1496*D1496</f>
        <v>2.6091774571648814</v>
      </c>
      <c r="D1499" s="1">
        <f t="shared" ref="D1499" si="3311">2-2*F1496*C1496+4*G1496</f>
        <v>0</v>
      </c>
      <c r="E1499" s="1">
        <f>0</f>
        <v>0</v>
      </c>
      <c r="F1499" s="1">
        <f t="shared" ref="F1499" si="3312">-2*C1496*D1496</f>
        <v>4.3509957203971439</v>
      </c>
      <c r="G1499" s="9">
        <f t="shared" ref="G1499" si="3313">4*D1496</f>
        <v>7.7313595769816468</v>
      </c>
    </row>
    <row r="1500" spans="1:10" x14ac:dyDescent="0.25">
      <c r="B1500" t="s">
        <v>20</v>
      </c>
      <c r="C1500" s="8">
        <f>0</f>
        <v>0</v>
      </c>
      <c r="D1500" s="1">
        <f>0</f>
        <v>0</v>
      </c>
      <c r="E1500" s="1">
        <f>4</f>
        <v>4</v>
      </c>
      <c r="F1500" s="1">
        <f>2</f>
        <v>2</v>
      </c>
      <c r="G1500" s="9">
        <f>2</f>
        <v>2</v>
      </c>
    </row>
    <row r="1501" spans="1:10" x14ac:dyDescent="0.25">
      <c r="C1501" s="8">
        <f t="shared" ref="C1501" si="3314">(D1496^2)</f>
        <v>3.7358700567866143</v>
      </c>
      <c r="D1501" s="1">
        <f t="shared" ref="D1501" si="3315">2*C1496*D1496</f>
        <v>-4.3509957203971439</v>
      </c>
      <c r="E1501" s="1">
        <f t="shared" ref="E1501:E1502" si="3316">-2</f>
        <v>-2</v>
      </c>
      <c r="F1501" s="1">
        <f>0</f>
        <v>0</v>
      </c>
      <c r="G1501" s="9">
        <f>0</f>
        <v>0</v>
      </c>
    </row>
    <row r="1502" spans="1:10" x14ac:dyDescent="0.25">
      <c r="C1502" s="10">
        <f t="shared" ref="C1502" si="3317">2*C1496</f>
        <v>-2.2510895668861335</v>
      </c>
      <c r="D1502" s="11">
        <f t="shared" ref="D1502" si="3318">-4*D1496</f>
        <v>-7.7313595769816468</v>
      </c>
      <c r="E1502" s="11">
        <f t="shared" si="3316"/>
        <v>-2</v>
      </c>
      <c r="F1502" s="11">
        <f>0</f>
        <v>0</v>
      </c>
      <c r="G1502" s="12">
        <f>0</f>
        <v>0</v>
      </c>
    </row>
    <row r="1503" spans="1:10" x14ac:dyDescent="0.25">
      <c r="B1503" t="s">
        <v>21</v>
      </c>
      <c r="C1503" s="1" cm="1">
        <f t="array" ref="C1503:G1503">-MMULT(C1497:G1497,C1498:G1502)</f>
        <v>-1.367979668476271E-15</v>
      </c>
      <c r="D1503" s="1">
        <v>-1.5932228885525532E-15</v>
      </c>
      <c r="E1503" s="1">
        <v>0</v>
      </c>
      <c r="F1503" s="1">
        <v>2.2812069247287048E-15</v>
      </c>
      <c r="G1503" s="1">
        <v>-1.3745663072077511E-15</v>
      </c>
    </row>
    <row r="1504" spans="1:10" x14ac:dyDescent="0.25">
      <c r="B1504" t="s">
        <v>13</v>
      </c>
      <c r="C1504" s="1">
        <f t="shared" ref="C1504" si="3319">J1497/SUMPRODUCT(_xlfn.ANCHORARRAY(C1503),_xlfn.ANCHORARRAY(C1503))</f>
        <v>1.6206986294211755E-2</v>
      </c>
    </row>
    <row r="1505" spans="1:10" x14ac:dyDescent="0.25">
      <c r="A1505" s="1" t="s">
        <v>4</v>
      </c>
      <c r="B1505" t="s">
        <v>18</v>
      </c>
      <c r="C1505" s="1" cm="1">
        <f t="array" ref="C1505:G1505">C1496:G1496+C1504*C1503:G1503</f>
        <v>-1.1255447834430667</v>
      </c>
      <c r="D1505" s="1">
        <v>1.9328398942454117</v>
      </c>
      <c r="E1505" s="1">
        <v>0.39755547298133398</v>
      </c>
      <c r="F1505" s="1">
        <v>-0.67495954138082259</v>
      </c>
      <c r="G1505" s="1">
        <v>-0.12015140458184531</v>
      </c>
    </row>
    <row r="1506" spans="1:10" x14ac:dyDescent="0.25">
      <c r="A1506" s="1">
        <v>168</v>
      </c>
      <c r="B1506" t="s">
        <v>19</v>
      </c>
      <c r="C1506" s="1">
        <f t="shared" ref="C1506" si="3320">2*C1505-F1505*(D1505^2)-2*G1505*C1505</f>
        <v>5.5511151231257827E-16</v>
      </c>
      <c r="D1506" s="1">
        <f t="shared" ref="D1506" si="3321">2*D1505-2*F1505*C1505*D1505+4*G1505*D1505</f>
        <v>0</v>
      </c>
      <c r="E1506" s="1">
        <f t="shared" ref="E1506" si="3322">4*E1505+2*F1505+2*G1505</f>
        <v>0</v>
      </c>
      <c r="F1506" s="1">
        <f t="shared" ref="F1506" si="3323">C1505*(D1505^2)-2*E1505+5</f>
        <v>0</v>
      </c>
      <c r="G1506" s="1">
        <f t="shared" ref="G1506" si="3324">C1505^2-2*(D1505^2)-2*E1505+7</f>
        <v>0</v>
      </c>
      <c r="J1506" s="1">
        <f t="shared" ref="J1506" si="3325">0.5*(C1506*C1506+D1506*D1506+E1506*E1506+F1506*F1506+G1506*G1506)</f>
        <v>1.5407439555097887E-31</v>
      </c>
    </row>
    <row r="1507" spans="1:10" x14ac:dyDescent="0.25">
      <c r="C1507" s="5">
        <f t="shared" ref="C1507" si="3326">2-2*G1505</f>
        <v>2.2403028091636905</v>
      </c>
      <c r="D1507" s="6">
        <f t="shared" ref="D1507" si="3327">-2*F1505*D1505</f>
        <v>2.6091774571648814</v>
      </c>
      <c r="E1507" s="6">
        <f>0</f>
        <v>0</v>
      </c>
      <c r="F1507" s="6">
        <f t="shared" ref="F1507" si="3328">-(D1505^2)</f>
        <v>-3.7358700567866143</v>
      </c>
      <c r="G1507" s="7">
        <f t="shared" ref="G1507" si="3329">-2*C1505</f>
        <v>2.2510895668861335</v>
      </c>
    </row>
    <row r="1508" spans="1:10" x14ac:dyDescent="0.25">
      <c r="C1508" s="8">
        <f t="shared" ref="C1508" si="3330">-2*F1505*D1505</f>
        <v>2.6091774571648814</v>
      </c>
      <c r="D1508" s="1">
        <f t="shared" ref="D1508" si="3331">2-2*F1505*C1505+4*G1505</f>
        <v>-4.4408920985006262E-16</v>
      </c>
      <c r="E1508" s="1">
        <f>0</f>
        <v>0</v>
      </c>
      <c r="F1508" s="1">
        <f t="shared" ref="F1508" si="3332">-2*C1505*D1505</f>
        <v>4.3509957203971439</v>
      </c>
      <c r="G1508" s="9">
        <f t="shared" ref="G1508" si="3333">4*D1505</f>
        <v>7.7313595769816468</v>
      </c>
    </row>
    <row r="1509" spans="1:10" x14ac:dyDescent="0.25">
      <c r="B1509" t="s">
        <v>20</v>
      </c>
      <c r="C1509" s="8">
        <f>0</f>
        <v>0</v>
      </c>
      <c r="D1509" s="1">
        <f>0</f>
        <v>0</v>
      </c>
      <c r="E1509" s="1">
        <f>4</f>
        <v>4</v>
      </c>
      <c r="F1509" s="1">
        <f>2</f>
        <v>2</v>
      </c>
      <c r="G1509" s="9">
        <f>2</f>
        <v>2</v>
      </c>
    </row>
    <row r="1510" spans="1:10" x14ac:dyDescent="0.25">
      <c r="C1510" s="8">
        <f t="shared" ref="C1510" si="3334">(D1505^2)</f>
        <v>3.7358700567866143</v>
      </c>
      <c r="D1510" s="1">
        <f t="shared" ref="D1510" si="3335">2*C1505*D1505</f>
        <v>-4.3509957203971439</v>
      </c>
      <c r="E1510" s="1">
        <f t="shared" ref="E1510:E1511" si="3336">-2</f>
        <v>-2</v>
      </c>
      <c r="F1510" s="1">
        <f>0</f>
        <v>0</v>
      </c>
      <c r="G1510" s="9">
        <f>0</f>
        <v>0</v>
      </c>
    </row>
    <row r="1511" spans="1:10" x14ac:dyDescent="0.25">
      <c r="C1511" s="10">
        <f t="shared" ref="C1511" si="3337">2*C1505</f>
        <v>-2.2510895668861335</v>
      </c>
      <c r="D1511" s="11">
        <f t="shared" ref="D1511" si="3338">-4*D1505</f>
        <v>-7.7313595769816468</v>
      </c>
      <c r="E1511" s="11">
        <f t="shared" si="3336"/>
        <v>-2</v>
      </c>
      <c r="F1511" s="11">
        <f>0</f>
        <v>0</v>
      </c>
      <c r="G1511" s="12">
        <f>0</f>
        <v>0</v>
      </c>
    </row>
    <row r="1512" spans="1:10" x14ac:dyDescent="0.25">
      <c r="B1512" t="s">
        <v>21</v>
      </c>
      <c r="C1512" s="1" cm="1">
        <f t="array" ref="C1512:G1512">-MMULT(C1506:G1506,C1507:G1511)</f>
        <v>-1.2436178804329737E-15</v>
      </c>
      <c r="D1512" s="1">
        <v>-1.4483844441386847E-15</v>
      </c>
      <c r="E1512" s="1">
        <v>0</v>
      </c>
      <c r="F1512" s="1">
        <v>2.0738244770260952E-15</v>
      </c>
      <c r="G1512" s="1">
        <v>-1.2496057338252283E-15</v>
      </c>
    </row>
    <row r="1513" spans="1:10" x14ac:dyDescent="0.25">
      <c r="B1513" t="s">
        <v>13</v>
      </c>
      <c r="C1513" s="1">
        <f t="shared" ref="C1513" si="3339">J1506/SUMPRODUCT(_xlfn.ANCHORARRAY(C1512),_xlfn.ANCHORARRAY(C1512))</f>
        <v>1.6206986294211755E-2</v>
      </c>
    </row>
    <row r="1514" spans="1:10" x14ac:dyDescent="0.25">
      <c r="A1514" s="1" t="s">
        <v>4</v>
      </c>
      <c r="B1514" t="s">
        <v>18</v>
      </c>
      <c r="C1514" s="1" cm="1">
        <f t="array" ref="C1514:G1514">C1505:G1505+C1513*C1512:G1512</f>
        <v>-1.1255447834430667</v>
      </c>
      <c r="D1514" s="1">
        <v>1.9328398942454117</v>
      </c>
      <c r="E1514" s="1">
        <v>0.39755547298133398</v>
      </c>
      <c r="F1514" s="1">
        <v>-0.67495954138082259</v>
      </c>
      <c r="G1514" s="1">
        <v>-0.12015140458184533</v>
      </c>
    </row>
    <row r="1515" spans="1:10" x14ac:dyDescent="0.25">
      <c r="A1515" s="1">
        <v>169</v>
      </c>
      <c r="B1515" t="s">
        <v>19</v>
      </c>
      <c r="C1515" s="1">
        <f t="shared" ref="C1515" si="3340">2*C1514-F1514*(D1514^2)-2*G1514*C1514</f>
        <v>5.5511151231257827E-16</v>
      </c>
      <c r="D1515" s="1">
        <f t="shared" ref="D1515" si="3341">2*D1514-2*F1514*C1514*D1514+4*G1514*D1514</f>
        <v>-8.8817841970012523E-16</v>
      </c>
      <c r="E1515" s="1">
        <f t="shared" ref="E1515" si="3342">4*E1514+2*F1514+2*G1514</f>
        <v>0</v>
      </c>
      <c r="F1515" s="1">
        <f t="shared" ref="F1515" si="3343">C1514*(D1514^2)-2*E1514+5</f>
        <v>0</v>
      </c>
      <c r="G1515" s="1">
        <f t="shared" ref="G1515" si="3344">C1514^2-2*(D1514^2)-2*E1514+7</f>
        <v>0</v>
      </c>
      <c r="J1515" s="1">
        <f t="shared" ref="J1515" si="3345">0.5*(C1515*C1515+D1515*D1515+E1515*E1515+F1515*F1515+G1515*G1515)</f>
        <v>5.4850484816148477E-31</v>
      </c>
    </row>
    <row r="1516" spans="1:10" x14ac:dyDescent="0.25">
      <c r="C1516" s="5">
        <f t="shared" ref="C1516" si="3346">2-2*G1514</f>
        <v>2.2403028091636905</v>
      </c>
      <c r="D1516" s="6">
        <f t="shared" ref="D1516" si="3347">-2*F1514*D1514</f>
        <v>2.6091774571648814</v>
      </c>
      <c r="E1516" s="6">
        <f>0</f>
        <v>0</v>
      </c>
      <c r="F1516" s="6">
        <f t="shared" ref="F1516" si="3348">-(D1514^2)</f>
        <v>-3.7358700567866143</v>
      </c>
      <c r="G1516" s="7">
        <f t="shared" ref="G1516" si="3349">-2*C1514</f>
        <v>2.2510895668861335</v>
      </c>
    </row>
    <row r="1517" spans="1:10" x14ac:dyDescent="0.25">
      <c r="C1517" s="8">
        <f t="shared" ref="C1517" si="3350">-2*F1514*D1514</f>
        <v>2.6091774571648814</v>
      </c>
      <c r="D1517" s="1">
        <f t="shared" ref="D1517" si="3351">2-2*F1514*C1514+4*G1514</f>
        <v>-4.9960036108132044E-16</v>
      </c>
      <c r="E1517" s="1">
        <f>0</f>
        <v>0</v>
      </c>
      <c r="F1517" s="1">
        <f t="shared" ref="F1517" si="3352">-2*C1514*D1514</f>
        <v>4.3509957203971439</v>
      </c>
      <c r="G1517" s="9">
        <f t="shared" ref="G1517" si="3353">4*D1514</f>
        <v>7.7313595769816468</v>
      </c>
    </row>
    <row r="1518" spans="1:10" x14ac:dyDescent="0.25">
      <c r="B1518" t="s">
        <v>20</v>
      </c>
      <c r="C1518" s="8">
        <f>0</f>
        <v>0</v>
      </c>
      <c r="D1518" s="1">
        <f>0</f>
        <v>0</v>
      </c>
      <c r="E1518" s="1">
        <f>4</f>
        <v>4</v>
      </c>
      <c r="F1518" s="1">
        <f>2</f>
        <v>2</v>
      </c>
      <c r="G1518" s="9">
        <f>2</f>
        <v>2</v>
      </c>
    </row>
    <row r="1519" spans="1:10" x14ac:dyDescent="0.25">
      <c r="C1519" s="8">
        <f t="shared" ref="C1519" si="3354">(D1514^2)</f>
        <v>3.7358700567866143</v>
      </c>
      <c r="D1519" s="1">
        <f t="shared" ref="D1519" si="3355">2*C1514*D1514</f>
        <v>-4.3509957203971439</v>
      </c>
      <c r="E1519" s="1">
        <f t="shared" ref="E1519:E1520" si="3356">-2</f>
        <v>-2</v>
      </c>
      <c r="F1519" s="1">
        <f>0</f>
        <v>0</v>
      </c>
      <c r="G1519" s="9">
        <f>0</f>
        <v>0</v>
      </c>
    </row>
    <row r="1520" spans="1:10" x14ac:dyDescent="0.25">
      <c r="C1520" s="10">
        <f t="shared" ref="C1520" si="3357">2*C1514</f>
        <v>-2.2510895668861335</v>
      </c>
      <c r="D1520" s="11">
        <f t="shared" ref="D1520" si="3358">-4*D1514</f>
        <v>-7.7313595769816468</v>
      </c>
      <c r="E1520" s="11">
        <f t="shared" si="3356"/>
        <v>-2</v>
      </c>
      <c r="F1520" s="11">
        <f>0</f>
        <v>0</v>
      </c>
      <c r="G1520" s="12">
        <f>0</f>
        <v>0</v>
      </c>
    </row>
    <row r="1521" spans="1:10" x14ac:dyDescent="0.25">
      <c r="B1521" t="s">
        <v>21</v>
      </c>
      <c r="C1521" s="1" cm="1">
        <f t="array" ref="C1521:G1521">-MMULT(C1515:G1515,C1516:G1520)</f>
        <v>1.0737972301889219E-15</v>
      </c>
      <c r="D1521" s="1">
        <v>-1.448384444138685E-15</v>
      </c>
      <c r="E1521" s="1">
        <v>0</v>
      </c>
      <c r="F1521" s="1">
        <v>5.9382849800904388E-15</v>
      </c>
      <c r="G1521" s="1">
        <v>5.6172209973917592E-15</v>
      </c>
    </row>
    <row r="1522" spans="1:10" x14ac:dyDescent="0.25">
      <c r="B1522" t="s">
        <v>13</v>
      </c>
      <c r="C1522" s="1">
        <f t="shared" ref="C1522" si="3359">J1515/SUMPRODUCT(_xlfn.ANCHORARRAY(C1521),_xlfn.ANCHORARRAY(C1521))</f>
        <v>7.828261901978455E-3</v>
      </c>
    </row>
    <row r="1523" spans="1:10" x14ac:dyDescent="0.25">
      <c r="A1523" s="1" t="s">
        <v>4</v>
      </c>
      <c r="B1523" t="s">
        <v>18</v>
      </c>
      <c r="C1523" s="1" cm="1">
        <f t="array" ref="C1523:G1523">C1514:G1514+C1522*C1521:G1521</f>
        <v>-1.1255447834430667</v>
      </c>
      <c r="D1523" s="1">
        <v>1.9328398942454117</v>
      </c>
      <c r="E1523" s="1">
        <v>0.39755547298133398</v>
      </c>
      <c r="F1523" s="1">
        <v>-0.67495954138082259</v>
      </c>
      <c r="G1523" s="1">
        <v>-0.12015140458184528</v>
      </c>
    </row>
    <row r="1524" spans="1:10" x14ac:dyDescent="0.25">
      <c r="A1524" s="1">
        <v>170</v>
      </c>
      <c r="B1524" t="s">
        <v>19</v>
      </c>
      <c r="C1524" s="1">
        <f t="shared" ref="C1524" si="3360">2*C1523-F1523*(D1523^2)-2*G1523*C1523</f>
        <v>6.106226635438361E-16</v>
      </c>
      <c r="D1524" s="1">
        <f t="shared" ref="D1524" si="3361">2*D1523-2*F1523*C1523*D1523+4*G1523*D1523</f>
        <v>0</v>
      </c>
      <c r="E1524" s="1">
        <f t="shared" ref="E1524" si="3362">4*E1523+2*F1523+2*G1523</f>
        <v>0</v>
      </c>
      <c r="F1524" s="1">
        <f t="shared" ref="F1524" si="3363">C1523*(D1523^2)-2*E1523+5</f>
        <v>0</v>
      </c>
      <c r="G1524" s="1">
        <f t="shared" ref="G1524" si="3364">C1523^2-2*(D1523^2)-2*E1523+7</f>
        <v>0</v>
      </c>
      <c r="J1524" s="1">
        <f t="shared" ref="J1524" si="3365">0.5*(C1524*C1524+D1524*D1524+E1524*E1524+F1524*F1524+G1524*G1524)</f>
        <v>1.8643001861668443E-31</v>
      </c>
    </row>
    <row r="1525" spans="1:10" x14ac:dyDescent="0.25">
      <c r="C1525" s="5">
        <f t="shared" ref="C1525" si="3366">2-2*G1523</f>
        <v>2.2403028091636905</v>
      </c>
      <c r="D1525" s="6">
        <f t="shared" ref="D1525" si="3367">-2*F1523*D1523</f>
        <v>2.6091774571648814</v>
      </c>
      <c r="E1525" s="6">
        <f>0</f>
        <v>0</v>
      </c>
      <c r="F1525" s="6">
        <f t="shared" ref="F1525" si="3368">-(D1523^2)</f>
        <v>-3.7358700567866143</v>
      </c>
      <c r="G1525" s="7">
        <f t="shared" ref="G1525" si="3369">-2*C1523</f>
        <v>2.2510895668861335</v>
      </c>
    </row>
    <row r="1526" spans="1:10" x14ac:dyDescent="0.25">
      <c r="C1526" s="8">
        <f t="shared" ref="C1526" si="3370">-2*F1523*D1523</f>
        <v>2.6091774571648814</v>
      </c>
      <c r="D1526" s="1">
        <f t="shared" ref="D1526" si="3371">2-2*F1523*C1523+4*G1523</f>
        <v>0</v>
      </c>
      <c r="E1526" s="1">
        <f>0</f>
        <v>0</v>
      </c>
      <c r="F1526" s="1">
        <f t="shared" ref="F1526" si="3372">-2*C1523*D1523</f>
        <v>4.3509957203971439</v>
      </c>
      <c r="G1526" s="9">
        <f t="shared" ref="G1526" si="3373">4*D1523</f>
        <v>7.7313595769816468</v>
      </c>
    </row>
    <row r="1527" spans="1:10" x14ac:dyDescent="0.25">
      <c r="B1527" t="s">
        <v>20</v>
      </c>
      <c r="C1527" s="8">
        <f>0</f>
        <v>0</v>
      </c>
      <c r="D1527" s="1">
        <f>0</f>
        <v>0</v>
      </c>
      <c r="E1527" s="1">
        <f>4</f>
        <v>4</v>
      </c>
      <c r="F1527" s="1">
        <f>2</f>
        <v>2</v>
      </c>
      <c r="G1527" s="9">
        <f>2</f>
        <v>2</v>
      </c>
    </row>
    <row r="1528" spans="1:10" x14ac:dyDescent="0.25">
      <c r="C1528" s="8">
        <f t="shared" ref="C1528" si="3374">(D1523^2)</f>
        <v>3.7358700567866143</v>
      </c>
      <c r="D1528" s="1">
        <f t="shared" ref="D1528" si="3375">2*C1523*D1523</f>
        <v>-4.3509957203971439</v>
      </c>
      <c r="E1528" s="1">
        <f t="shared" ref="E1528:E1529" si="3376">-2</f>
        <v>-2</v>
      </c>
      <c r="F1528" s="1">
        <f>0</f>
        <v>0</v>
      </c>
      <c r="G1528" s="9">
        <f>0</f>
        <v>0</v>
      </c>
    </row>
    <row r="1529" spans="1:10" x14ac:dyDescent="0.25">
      <c r="C1529" s="10">
        <f t="shared" ref="C1529" si="3377">2*C1523</f>
        <v>-2.2510895668861335</v>
      </c>
      <c r="D1529" s="11">
        <f t="shared" ref="D1529" si="3378">-4*D1523</f>
        <v>-7.7313595769816468</v>
      </c>
      <c r="E1529" s="11">
        <f t="shared" si="3376"/>
        <v>-2</v>
      </c>
      <c r="F1529" s="11">
        <f>0</f>
        <v>0</v>
      </c>
      <c r="G1529" s="12">
        <f>0</f>
        <v>0</v>
      </c>
    </row>
    <row r="1530" spans="1:10" x14ac:dyDescent="0.25">
      <c r="B1530" t="s">
        <v>21</v>
      </c>
      <c r="C1530" s="1" cm="1">
        <f t="array" ref="C1530:G1530">-MMULT(C1524:G1524,C1525:G1529)</f>
        <v>-1.367979668476271E-15</v>
      </c>
      <c r="D1530" s="1">
        <v>-1.5932228885525532E-15</v>
      </c>
      <c r="E1530" s="1">
        <v>0</v>
      </c>
      <c r="F1530" s="1">
        <v>2.2812069247287048E-15</v>
      </c>
      <c r="G1530" s="1">
        <v>-1.3745663072077511E-15</v>
      </c>
    </row>
    <row r="1531" spans="1:10" x14ac:dyDescent="0.25">
      <c r="B1531" t="s">
        <v>13</v>
      </c>
      <c r="C1531" s="1">
        <f t="shared" ref="C1531" si="3379">J1524/SUMPRODUCT(_xlfn.ANCHORARRAY(C1530),_xlfn.ANCHORARRAY(C1530))</f>
        <v>1.6206986294211755E-2</v>
      </c>
    </row>
    <row r="1532" spans="1:10" x14ac:dyDescent="0.25">
      <c r="A1532" s="1" t="s">
        <v>4</v>
      </c>
      <c r="B1532" t="s">
        <v>18</v>
      </c>
      <c r="C1532" s="1" cm="1">
        <f t="array" ref="C1532:G1532">C1523:G1523+C1531*C1530:G1530</f>
        <v>-1.1255447834430667</v>
      </c>
      <c r="D1532" s="1">
        <v>1.9328398942454117</v>
      </c>
      <c r="E1532" s="1">
        <v>0.39755547298133398</v>
      </c>
      <c r="F1532" s="1">
        <v>-0.67495954138082259</v>
      </c>
      <c r="G1532" s="1">
        <v>-0.12015140458184531</v>
      </c>
    </row>
    <row r="1533" spans="1:10" x14ac:dyDescent="0.25">
      <c r="A1533" s="1">
        <v>171</v>
      </c>
      <c r="B1533" t="s">
        <v>19</v>
      </c>
      <c r="C1533" s="1">
        <f t="shared" ref="C1533" si="3380">2*C1532-F1532*(D1532^2)-2*G1532*C1532</f>
        <v>5.5511151231257827E-16</v>
      </c>
      <c r="D1533" s="1">
        <f t="shared" ref="D1533" si="3381">2*D1532-2*F1532*C1532*D1532+4*G1532*D1532</f>
        <v>0</v>
      </c>
      <c r="E1533" s="1">
        <f t="shared" ref="E1533" si="3382">4*E1532+2*F1532+2*G1532</f>
        <v>0</v>
      </c>
      <c r="F1533" s="1">
        <f t="shared" ref="F1533" si="3383">C1532*(D1532^2)-2*E1532+5</f>
        <v>0</v>
      </c>
      <c r="G1533" s="1">
        <f t="shared" ref="G1533" si="3384">C1532^2-2*(D1532^2)-2*E1532+7</f>
        <v>0</v>
      </c>
      <c r="J1533" s="1">
        <f t="shared" ref="J1533" si="3385">0.5*(C1533*C1533+D1533*D1533+E1533*E1533+F1533*F1533+G1533*G1533)</f>
        <v>1.5407439555097887E-31</v>
      </c>
    </row>
    <row r="1534" spans="1:10" x14ac:dyDescent="0.25">
      <c r="C1534" s="5">
        <f t="shared" ref="C1534" si="3386">2-2*G1532</f>
        <v>2.2403028091636905</v>
      </c>
      <c r="D1534" s="6">
        <f t="shared" ref="D1534" si="3387">-2*F1532*D1532</f>
        <v>2.6091774571648814</v>
      </c>
      <c r="E1534" s="6">
        <f>0</f>
        <v>0</v>
      </c>
      <c r="F1534" s="6">
        <f t="shared" ref="F1534" si="3388">-(D1532^2)</f>
        <v>-3.7358700567866143</v>
      </c>
      <c r="G1534" s="7">
        <f t="shared" ref="G1534" si="3389">-2*C1532</f>
        <v>2.2510895668861335</v>
      </c>
    </row>
    <row r="1535" spans="1:10" x14ac:dyDescent="0.25">
      <c r="C1535" s="8">
        <f t="shared" ref="C1535" si="3390">-2*F1532*D1532</f>
        <v>2.6091774571648814</v>
      </c>
      <c r="D1535" s="1">
        <f t="shared" ref="D1535" si="3391">2-2*F1532*C1532+4*G1532</f>
        <v>-4.4408920985006262E-16</v>
      </c>
      <c r="E1535" s="1">
        <f>0</f>
        <v>0</v>
      </c>
      <c r="F1535" s="1">
        <f t="shared" ref="F1535" si="3392">-2*C1532*D1532</f>
        <v>4.3509957203971439</v>
      </c>
      <c r="G1535" s="9">
        <f t="shared" ref="G1535" si="3393">4*D1532</f>
        <v>7.7313595769816468</v>
      </c>
    </row>
    <row r="1536" spans="1:10" x14ac:dyDescent="0.25">
      <c r="B1536" t="s">
        <v>20</v>
      </c>
      <c r="C1536" s="8">
        <f>0</f>
        <v>0</v>
      </c>
      <c r="D1536" s="1">
        <f>0</f>
        <v>0</v>
      </c>
      <c r="E1536" s="1">
        <f>4</f>
        <v>4</v>
      </c>
      <c r="F1536" s="1">
        <f>2</f>
        <v>2</v>
      </c>
      <c r="G1536" s="9">
        <f>2</f>
        <v>2</v>
      </c>
    </row>
    <row r="1537" spans="1:10" x14ac:dyDescent="0.25">
      <c r="C1537" s="8">
        <f t="shared" ref="C1537" si="3394">(D1532^2)</f>
        <v>3.7358700567866143</v>
      </c>
      <c r="D1537" s="1">
        <f t="shared" ref="D1537" si="3395">2*C1532*D1532</f>
        <v>-4.3509957203971439</v>
      </c>
      <c r="E1537" s="1">
        <f t="shared" ref="E1537:E1538" si="3396">-2</f>
        <v>-2</v>
      </c>
      <c r="F1537" s="1">
        <f>0</f>
        <v>0</v>
      </c>
      <c r="G1537" s="9">
        <f>0</f>
        <v>0</v>
      </c>
    </row>
    <row r="1538" spans="1:10" x14ac:dyDescent="0.25">
      <c r="C1538" s="10">
        <f t="shared" ref="C1538" si="3397">2*C1532</f>
        <v>-2.2510895668861335</v>
      </c>
      <c r="D1538" s="11">
        <f t="shared" ref="D1538" si="3398">-4*D1532</f>
        <v>-7.7313595769816468</v>
      </c>
      <c r="E1538" s="11">
        <f t="shared" si="3396"/>
        <v>-2</v>
      </c>
      <c r="F1538" s="11">
        <f>0</f>
        <v>0</v>
      </c>
      <c r="G1538" s="12">
        <f>0</f>
        <v>0</v>
      </c>
    </row>
    <row r="1539" spans="1:10" x14ac:dyDescent="0.25">
      <c r="B1539" t="s">
        <v>21</v>
      </c>
      <c r="C1539" s="1" cm="1">
        <f t="array" ref="C1539:G1539">-MMULT(C1533:G1533,C1534:G1538)</f>
        <v>-1.2436178804329737E-15</v>
      </c>
      <c r="D1539" s="1">
        <v>-1.4483844441386847E-15</v>
      </c>
      <c r="E1539" s="1">
        <v>0</v>
      </c>
      <c r="F1539" s="1">
        <v>2.0738244770260952E-15</v>
      </c>
      <c r="G1539" s="1">
        <v>-1.2496057338252283E-15</v>
      </c>
    </row>
    <row r="1540" spans="1:10" x14ac:dyDescent="0.25">
      <c r="B1540" t="s">
        <v>13</v>
      </c>
      <c r="C1540" s="1">
        <f t="shared" ref="C1540" si="3399">J1533/SUMPRODUCT(_xlfn.ANCHORARRAY(C1539),_xlfn.ANCHORARRAY(C1539))</f>
        <v>1.6206986294211755E-2</v>
      </c>
    </row>
    <row r="1541" spans="1:10" x14ac:dyDescent="0.25">
      <c r="A1541" s="1" t="s">
        <v>4</v>
      </c>
      <c r="B1541" t="s">
        <v>18</v>
      </c>
      <c r="C1541" s="1" cm="1">
        <f t="array" ref="C1541:G1541">C1532:G1532+C1540*C1539:G1539</f>
        <v>-1.1255447834430667</v>
      </c>
      <c r="D1541" s="1">
        <v>1.9328398942454117</v>
      </c>
      <c r="E1541" s="1">
        <v>0.39755547298133398</v>
      </c>
      <c r="F1541" s="1">
        <v>-0.67495954138082259</v>
      </c>
      <c r="G1541" s="1">
        <v>-0.12015140458184533</v>
      </c>
    </row>
    <row r="1542" spans="1:10" x14ac:dyDescent="0.25">
      <c r="A1542" s="1">
        <v>172</v>
      </c>
      <c r="B1542" t="s">
        <v>19</v>
      </c>
      <c r="C1542" s="1">
        <f t="shared" ref="C1542" si="3400">2*C1541-F1541*(D1541^2)-2*G1541*C1541</f>
        <v>5.5511151231257827E-16</v>
      </c>
      <c r="D1542" s="1">
        <f t="shared" ref="D1542" si="3401">2*D1541-2*F1541*C1541*D1541+4*G1541*D1541</f>
        <v>-8.8817841970012523E-16</v>
      </c>
      <c r="E1542" s="1">
        <f t="shared" ref="E1542" si="3402">4*E1541+2*F1541+2*G1541</f>
        <v>0</v>
      </c>
      <c r="F1542" s="1">
        <f t="shared" ref="F1542" si="3403">C1541*(D1541^2)-2*E1541+5</f>
        <v>0</v>
      </c>
      <c r="G1542" s="1">
        <f t="shared" ref="G1542" si="3404">C1541^2-2*(D1541^2)-2*E1541+7</f>
        <v>0</v>
      </c>
      <c r="J1542" s="1">
        <f t="shared" ref="J1542" si="3405">0.5*(C1542*C1542+D1542*D1542+E1542*E1542+F1542*F1542+G1542*G1542)</f>
        <v>5.4850484816148477E-31</v>
      </c>
    </row>
    <row r="1543" spans="1:10" x14ac:dyDescent="0.25">
      <c r="C1543" s="5">
        <f t="shared" ref="C1543" si="3406">2-2*G1541</f>
        <v>2.2403028091636905</v>
      </c>
      <c r="D1543" s="6">
        <f t="shared" ref="D1543" si="3407">-2*F1541*D1541</f>
        <v>2.6091774571648814</v>
      </c>
      <c r="E1543" s="6">
        <f>0</f>
        <v>0</v>
      </c>
      <c r="F1543" s="6">
        <f t="shared" ref="F1543" si="3408">-(D1541^2)</f>
        <v>-3.7358700567866143</v>
      </c>
      <c r="G1543" s="7">
        <f t="shared" ref="G1543" si="3409">-2*C1541</f>
        <v>2.2510895668861335</v>
      </c>
    </row>
    <row r="1544" spans="1:10" x14ac:dyDescent="0.25">
      <c r="C1544" s="8">
        <f t="shared" ref="C1544" si="3410">-2*F1541*D1541</f>
        <v>2.6091774571648814</v>
      </c>
      <c r="D1544" s="1">
        <f t="shared" ref="D1544" si="3411">2-2*F1541*C1541+4*G1541</f>
        <v>-4.9960036108132044E-16</v>
      </c>
      <c r="E1544" s="1">
        <f>0</f>
        <v>0</v>
      </c>
      <c r="F1544" s="1">
        <f t="shared" ref="F1544" si="3412">-2*C1541*D1541</f>
        <v>4.3509957203971439</v>
      </c>
      <c r="G1544" s="9">
        <f t="shared" ref="G1544" si="3413">4*D1541</f>
        <v>7.7313595769816468</v>
      </c>
    </row>
    <row r="1545" spans="1:10" x14ac:dyDescent="0.25">
      <c r="B1545" t="s">
        <v>20</v>
      </c>
      <c r="C1545" s="8">
        <f>0</f>
        <v>0</v>
      </c>
      <c r="D1545" s="1">
        <f>0</f>
        <v>0</v>
      </c>
      <c r="E1545" s="1">
        <f>4</f>
        <v>4</v>
      </c>
      <c r="F1545" s="1">
        <f>2</f>
        <v>2</v>
      </c>
      <c r="G1545" s="9">
        <f>2</f>
        <v>2</v>
      </c>
    </row>
    <row r="1546" spans="1:10" x14ac:dyDescent="0.25">
      <c r="C1546" s="8">
        <f t="shared" ref="C1546" si="3414">(D1541^2)</f>
        <v>3.7358700567866143</v>
      </c>
      <c r="D1546" s="1">
        <f t="shared" ref="D1546" si="3415">2*C1541*D1541</f>
        <v>-4.3509957203971439</v>
      </c>
      <c r="E1546" s="1">
        <f t="shared" ref="E1546:E1547" si="3416">-2</f>
        <v>-2</v>
      </c>
      <c r="F1546" s="1">
        <f>0</f>
        <v>0</v>
      </c>
      <c r="G1546" s="9">
        <f>0</f>
        <v>0</v>
      </c>
    </row>
    <row r="1547" spans="1:10" x14ac:dyDescent="0.25">
      <c r="C1547" s="10">
        <f t="shared" ref="C1547" si="3417">2*C1541</f>
        <v>-2.2510895668861335</v>
      </c>
      <c r="D1547" s="11">
        <f t="shared" ref="D1547" si="3418">-4*D1541</f>
        <v>-7.7313595769816468</v>
      </c>
      <c r="E1547" s="11">
        <f t="shared" si="3416"/>
        <v>-2</v>
      </c>
      <c r="F1547" s="11">
        <f>0</f>
        <v>0</v>
      </c>
      <c r="G1547" s="12">
        <f>0</f>
        <v>0</v>
      </c>
    </row>
    <row r="1548" spans="1:10" x14ac:dyDescent="0.25">
      <c r="B1548" t="s">
        <v>21</v>
      </c>
      <c r="C1548" s="1" cm="1">
        <f t="array" ref="C1548:G1548">-MMULT(C1542:G1542,C1543:G1547)</f>
        <v>1.0737972301889219E-15</v>
      </c>
      <c r="D1548" s="1">
        <v>-1.448384444138685E-15</v>
      </c>
      <c r="E1548" s="1">
        <v>0</v>
      </c>
      <c r="F1548" s="1">
        <v>5.9382849800904388E-15</v>
      </c>
      <c r="G1548" s="1">
        <v>5.6172209973917592E-15</v>
      </c>
    </row>
    <row r="1549" spans="1:10" x14ac:dyDescent="0.25">
      <c r="B1549" t="s">
        <v>13</v>
      </c>
      <c r="C1549" s="1">
        <f t="shared" ref="C1549" si="3419">J1542/SUMPRODUCT(_xlfn.ANCHORARRAY(C1548),_xlfn.ANCHORARRAY(C1548))</f>
        <v>7.828261901978455E-3</v>
      </c>
    </row>
    <row r="1550" spans="1:10" x14ac:dyDescent="0.25">
      <c r="A1550" s="1" t="s">
        <v>4</v>
      </c>
      <c r="B1550" t="s">
        <v>18</v>
      </c>
      <c r="C1550" s="1" cm="1">
        <f t="array" ref="C1550:G1550">C1541:G1541+C1549*C1548:G1548</f>
        <v>-1.1255447834430667</v>
      </c>
      <c r="D1550" s="1">
        <v>1.9328398942454117</v>
      </c>
      <c r="E1550" s="1">
        <v>0.39755547298133398</v>
      </c>
      <c r="F1550" s="1">
        <v>-0.67495954138082259</v>
      </c>
      <c r="G1550" s="1">
        <v>-0.12015140458184528</v>
      </c>
    </row>
    <row r="1551" spans="1:10" x14ac:dyDescent="0.25">
      <c r="A1551" s="1">
        <v>173</v>
      </c>
      <c r="B1551" t="s">
        <v>19</v>
      </c>
      <c r="C1551" s="1">
        <f t="shared" ref="C1551" si="3420">2*C1550-F1550*(D1550^2)-2*G1550*C1550</f>
        <v>6.106226635438361E-16</v>
      </c>
      <c r="D1551" s="1">
        <f t="shared" ref="D1551" si="3421">2*D1550-2*F1550*C1550*D1550+4*G1550*D1550</f>
        <v>0</v>
      </c>
      <c r="E1551" s="1">
        <f t="shared" ref="E1551" si="3422">4*E1550+2*F1550+2*G1550</f>
        <v>0</v>
      </c>
      <c r="F1551" s="1">
        <f t="shared" ref="F1551" si="3423">C1550*(D1550^2)-2*E1550+5</f>
        <v>0</v>
      </c>
      <c r="G1551" s="1">
        <f t="shared" ref="G1551" si="3424">C1550^2-2*(D1550^2)-2*E1550+7</f>
        <v>0</v>
      </c>
      <c r="J1551" s="1">
        <f t="shared" ref="J1551" si="3425">0.5*(C1551*C1551+D1551*D1551+E1551*E1551+F1551*F1551+G1551*G1551)</f>
        <v>1.8643001861668443E-31</v>
      </c>
    </row>
    <row r="1552" spans="1:10" x14ac:dyDescent="0.25">
      <c r="C1552" s="5">
        <f t="shared" ref="C1552" si="3426">2-2*G1550</f>
        <v>2.2403028091636905</v>
      </c>
      <c r="D1552" s="6">
        <f t="shared" ref="D1552" si="3427">-2*F1550*D1550</f>
        <v>2.6091774571648814</v>
      </c>
      <c r="E1552" s="6">
        <f>0</f>
        <v>0</v>
      </c>
      <c r="F1552" s="6">
        <f t="shared" ref="F1552" si="3428">-(D1550^2)</f>
        <v>-3.7358700567866143</v>
      </c>
      <c r="G1552" s="7">
        <f t="shared" ref="G1552" si="3429">-2*C1550</f>
        <v>2.2510895668861335</v>
      </c>
    </row>
    <row r="1553" spans="1:10" x14ac:dyDescent="0.25">
      <c r="C1553" s="8">
        <f t="shared" ref="C1553" si="3430">-2*F1550*D1550</f>
        <v>2.6091774571648814</v>
      </c>
      <c r="D1553" s="1">
        <f t="shared" ref="D1553" si="3431">2-2*F1550*C1550+4*G1550</f>
        <v>0</v>
      </c>
      <c r="E1553" s="1">
        <f>0</f>
        <v>0</v>
      </c>
      <c r="F1553" s="1">
        <f t="shared" ref="F1553" si="3432">-2*C1550*D1550</f>
        <v>4.3509957203971439</v>
      </c>
      <c r="G1553" s="9">
        <f t="shared" ref="G1553" si="3433">4*D1550</f>
        <v>7.7313595769816468</v>
      </c>
    </row>
    <row r="1554" spans="1:10" x14ac:dyDescent="0.25">
      <c r="B1554" t="s">
        <v>20</v>
      </c>
      <c r="C1554" s="8">
        <f>0</f>
        <v>0</v>
      </c>
      <c r="D1554" s="1">
        <f>0</f>
        <v>0</v>
      </c>
      <c r="E1554" s="1">
        <f>4</f>
        <v>4</v>
      </c>
      <c r="F1554" s="1">
        <f>2</f>
        <v>2</v>
      </c>
      <c r="G1554" s="9">
        <f>2</f>
        <v>2</v>
      </c>
    </row>
    <row r="1555" spans="1:10" x14ac:dyDescent="0.25">
      <c r="C1555" s="8">
        <f t="shared" ref="C1555" si="3434">(D1550^2)</f>
        <v>3.7358700567866143</v>
      </c>
      <c r="D1555" s="1">
        <f t="shared" ref="D1555" si="3435">2*C1550*D1550</f>
        <v>-4.3509957203971439</v>
      </c>
      <c r="E1555" s="1">
        <f t="shared" ref="E1555:E1556" si="3436">-2</f>
        <v>-2</v>
      </c>
      <c r="F1555" s="1">
        <f>0</f>
        <v>0</v>
      </c>
      <c r="G1555" s="9">
        <f>0</f>
        <v>0</v>
      </c>
    </row>
    <row r="1556" spans="1:10" x14ac:dyDescent="0.25">
      <c r="C1556" s="10">
        <f t="shared" ref="C1556" si="3437">2*C1550</f>
        <v>-2.2510895668861335</v>
      </c>
      <c r="D1556" s="11">
        <f t="shared" ref="D1556" si="3438">-4*D1550</f>
        <v>-7.7313595769816468</v>
      </c>
      <c r="E1556" s="11">
        <f t="shared" si="3436"/>
        <v>-2</v>
      </c>
      <c r="F1556" s="11">
        <f>0</f>
        <v>0</v>
      </c>
      <c r="G1556" s="12">
        <f>0</f>
        <v>0</v>
      </c>
    </row>
    <row r="1557" spans="1:10" x14ac:dyDescent="0.25">
      <c r="B1557" t="s">
        <v>21</v>
      </c>
      <c r="C1557" s="1" cm="1">
        <f t="array" ref="C1557:G1557">-MMULT(C1551:G1551,C1552:G1556)</f>
        <v>-1.367979668476271E-15</v>
      </c>
      <c r="D1557" s="1">
        <v>-1.5932228885525532E-15</v>
      </c>
      <c r="E1557" s="1">
        <v>0</v>
      </c>
      <c r="F1557" s="1">
        <v>2.2812069247287048E-15</v>
      </c>
      <c r="G1557" s="1">
        <v>-1.3745663072077511E-15</v>
      </c>
    </row>
    <row r="1558" spans="1:10" x14ac:dyDescent="0.25">
      <c r="B1558" t="s">
        <v>13</v>
      </c>
      <c r="C1558" s="1">
        <f t="shared" ref="C1558" si="3439">J1551/SUMPRODUCT(_xlfn.ANCHORARRAY(C1557),_xlfn.ANCHORARRAY(C1557))</f>
        <v>1.6206986294211755E-2</v>
      </c>
    </row>
    <row r="1559" spans="1:10" x14ac:dyDescent="0.25">
      <c r="A1559" s="1" t="s">
        <v>4</v>
      </c>
      <c r="B1559" t="s">
        <v>18</v>
      </c>
      <c r="C1559" s="1" cm="1">
        <f t="array" ref="C1559:G1559">C1550:G1550+C1558*C1557:G1557</f>
        <v>-1.1255447834430667</v>
      </c>
      <c r="D1559" s="1">
        <v>1.9328398942454117</v>
      </c>
      <c r="E1559" s="1">
        <v>0.39755547298133398</v>
      </c>
      <c r="F1559" s="1">
        <v>-0.67495954138082259</v>
      </c>
      <c r="G1559" s="1">
        <v>-0.12015140458184531</v>
      </c>
    </row>
    <row r="1560" spans="1:10" x14ac:dyDescent="0.25">
      <c r="A1560" s="1">
        <v>174</v>
      </c>
      <c r="B1560" t="s">
        <v>19</v>
      </c>
      <c r="C1560" s="1">
        <f t="shared" ref="C1560" si="3440">2*C1559-F1559*(D1559^2)-2*G1559*C1559</f>
        <v>5.5511151231257827E-16</v>
      </c>
      <c r="D1560" s="1">
        <f t="shared" ref="D1560" si="3441">2*D1559-2*F1559*C1559*D1559+4*G1559*D1559</f>
        <v>0</v>
      </c>
      <c r="E1560" s="1">
        <f t="shared" ref="E1560" si="3442">4*E1559+2*F1559+2*G1559</f>
        <v>0</v>
      </c>
      <c r="F1560" s="1">
        <f t="shared" ref="F1560" si="3443">C1559*(D1559^2)-2*E1559+5</f>
        <v>0</v>
      </c>
      <c r="G1560" s="1">
        <f t="shared" ref="G1560" si="3444">C1559^2-2*(D1559^2)-2*E1559+7</f>
        <v>0</v>
      </c>
      <c r="J1560" s="1">
        <f t="shared" ref="J1560" si="3445">0.5*(C1560*C1560+D1560*D1560+E1560*E1560+F1560*F1560+G1560*G1560)</f>
        <v>1.5407439555097887E-31</v>
      </c>
    </row>
    <row r="1561" spans="1:10" x14ac:dyDescent="0.25">
      <c r="C1561" s="5">
        <f t="shared" ref="C1561" si="3446">2-2*G1559</f>
        <v>2.2403028091636905</v>
      </c>
      <c r="D1561" s="6">
        <f t="shared" ref="D1561" si="3447">-2*F1559*D1559</f>
        <v>2.6091774571648814</v>
      </c>
      <c r="E1561" s="6">
        <f>0</f>
        <v>0</v>
      </c>
      <c r="F1561" s="6">
        <f t="shared" ref="F1561" si="3448">-(D1559^2)</f>
        <v>-3.7358700567866143</v>
      </c>
      <c r="G1561" s="7">
        <f t="shared" ref="G1561" si="3449">-2*C1559</f>
        <v>2.2510895668861335</v>
      </c>
    </row>
    <row r="1562" spans="1:10" x14ac:dyDescent="0.25">
      <c r="C1562" s="8">
        <f t="shared" ref="C1562" si="3450">-2*F1559*D1559</f>
        <v>2.6091774571648814</v>
      </c>
      <c r="D1562" s="1">
        <f t="shared" ref="D1562" si="3451">2-2*F1559*C1559+4*G1559</f>
        <v>-4.4408920985006262E-16</v>
      </c>
      <c r="E1562" s="1">
        <f>0</f>
        <v>0</v>
      </c>
      <c r="F1562" s="1">
        <f t="shared" ref="F1562" si="3452">-2*C1559*D1559</f>
        <v>4.3509957203971439</v>
      </c>
      <c r="G1562" s="9">
        <f t="shared" ref="G1562" si="3453">4*D1559</f>
        <v>7.7313595769816468</v>
      </c>
    </row>
    <row r="1563" spans="1:10" x14ac:dyDescent="0.25">
      <c r="B1563" t="s">
        <v>20</v>
      </c>
      <c r="C1563" s="8">
        <f>0</f>
        <v>0</v>
      </c>
      <c r="D1563" s="1">
        <f>0</f>
        <v>0</v>
      </c>
      <c r="E1563" s="1">
        <f>4</f>
        <v>4</v>
      </c>
      <c r="F1563" s="1">
        <f>2</f>
        <v>2</v>
      </c>
      <c r="G1563" s="9">
        <f>2</f>
        <v>2</v>
      </c>
    </row>
    <row r="1564" spans="1:10" x14ac:dyDescent="0.25">
      <c r="C1564" s="8">
        <f t="shared" ref="C1564" si="3454">(D1559^2)</f>
        <v>3.7358700567866143</v>
      </c>
      <c r="D1564" s="1">
        <f t="shared" ref="D1564" si="3455">2*C1559*D1559</f>
        <v>-4.3509957203971439</v>
      </c>
      <c r="E1564" s="1">
        <f t="shared" ref="E1564:E1565" si="3456">-2</f>
        <v>-2</v>
      </c>
      <c r="F1564" s="1">
        <f>0</f>
        <v>0</v>
      </c>
      <c r="G1564" s="9">
        <f>0</f>
        <v>0</v>
      </c>
    </row>
    <row r="1565" spans="1:10" x14ac:dyDescent="0.25">
      <c r="C1565" s="10">
        <f t="shared" ref="C1565" si="3457">2*C1559</f>
        <v>-2.2510895668861335</v>
      </c>
      <c r="D1565" s="11">
        <f t="shared" ref="D1565" si="3458">-4*D1559</f>
        <v>-7.7313595769816468</v>
      </c>
      <c r="E1565" s="11">
        <f t="shared" si="3456"/>
        <v>-2</v>
      </c>
      <c r="F1565" s="11">
        <f>0</f>
        <v>0</v>
      </c>
      <c r="G1565" s="12">
        <f>0</f>
        <v>0</v>
      </c>
    </row>
    <row r="1566" spans="1:10" x14ac:dyDescent="0.25">
      <c r="B1566" t="s">
        <v>21</v>
      </c>
      <c r="C1566" s="1" cm="1">
        <f t="array" ref="C1566:G1566">-MMULT(C1560:G1560,C1561:G1565)</f>
        <v>-1.2436178804329737E-15</v>
      </c>
      <c r="D1566" s="1">
        <v>-1.4483844441386847E-15</v>
      </c>
      <c r="E1566" s="1">
        <v>0</v>
      </c>
      <c r="F1566" s="1">
        <v>2.0738244770260952E-15</v>
      </c>
      <c r="G1566" s="1">
        <v>-1.2496057338252283E-15</v>
      </c>
    </row>
    <row r="1567" spans="1:10" x14ac:dyDescent="0.25">
      <c r="B1567" t="s">
        <v>13</v>
      </c>
      <c r="C1567" s="1">
        <f t="shared" ref="C1567" si="3459">J1560/SUMPRODUCT(_xlfn.ANCHORARRAY(C1566),_xlfn.ANCHORARRAY(C1566))</f>
        <v>1.6206986294211755E-2</v>
      </c>
    </row>
    <row r="1568" spans="1:10" x14ac:dyDescent="0.25">
      <c r="A1568" s="1" t="s">
        <v>4</v>
      </c>
      <c r="B1568" t="s">
        <v>18</v>
      </c>
      <c r="C1568" s="1" cm="1">
        <f t="array" ref="C1568:G1568">C1559:G1559+C1567*C1566:G1566</f>
        <v>-1.1255447834430667</v>
      </c>
      <c r="D1568" s="1">
        <v>1.9328398942454117</v>
      </c>
      <c r="E1568" s="1">
        <v>0.39755547298133398</v>
      </c>
      <c r="F1568" s="1">
        <v>-0.67495954138082259</v>
      </c>
      <c r="G1568" s="1">
        <v>-0.12015140458184533</v>
      </c>
    </row>
    <row r="1569" spans="1:10" x14ac:dyDescent="0.25">
      <c r="A1569" s="1">
        <v>175</v>
      </c>
      <c r="B1569" t="s">
        <v>19</v>
      </c>
      <c r="C1569" s="1">
        <f t="shared" ref="C1569" si="3460">2*C1568-F1568*(D1568^2)-2*G1568*C1568</f>
        <v>5.5511151231257827E-16</v>
      </c>
      <c r="D1569" s="1">
        <f t="shared" ref="D1569" si="3461">2*D1568-2*F1568*C1568*D1568+4*G1568*D1568</f>
        <v>-8.8817841970012523E-16</v>
      </c>
      <c r="E1569" s="1">
        <f t="shared" ref="E1569" si="3462">4*E1568+2*F1568+2*G1568</f>
        <v>0</v>
      </c>
      <c r="F1569" s="1">
        <f t="shared" ref="F1569" si="3463">C1568*(D1568^2)-2*E1568+5</f>
        <v>0</v>
      </c>
      <c r="G1569" s="1">
        <f t="shared" ref="G1569" si="3464">C1568^2-2*(D1568^2)-2*E1568+7</f>
        <v>0</v>
      </c>
      <c r="J1569" s="1">
        <f t="shared" ref="J1569" si="3465">0.5*(C1569*C1569+D1569*D1569+E1569*E1569+F1569*F1569+G1569*G1569)</f>
        <v>5.4850484816148477E-31</v>
      </c>
    </row>
    <row r="1570" spans="1:10" x14ac:dyDescent="0.25">
      <c r="C1570" s="5">
        <f t="shared" ref="C1570" si="3466">2-2*G1568</f>
        <v>2.2403028091636905</v>
      </c>
      <c r="D1570" s="6">
        <f t="shared" ref="D1570" si="3467">-2*F1568*D1568</f>
        <v>2.6091774571648814</v>
      </c>
      <c r="E1570" s="6">
        <f>0</f>
        <v>0</v>
      </c>
      <c r="F1570" s="6">
        <f t="shared" ref="F1570" si="3468">-(D1568^2)</f>
        <v>-3.7358700567866143</v>
      </c>
      <c r="G1570" s="7">
        <f t="shared" ref="G1570" si="3469">-2*C1568</f>
        <v>2.2510895668861335</v>
      </c>
    </row>
    <row r="1571" spans="1:10" x14ac:dyDescent="0.25">
      <c r="C1571" s="8">
        <f t="shared" ref="C1571" si="3470">-2*F1568*D1568</f>
        <v>2.6091774571648814</v>
      </c>
      <c r="D1571" s="1">
        <f t="shared" ref="D1571" si="3471">2-2*F1568*C1568+4*G1568</f>
        <v>-4.9960036108132044E-16</v>
      </c>
      <c r="E1571" s="1">
        <f>0</f>
        <v>0</v>
      </c>
      <c r="F1571" s="1">
        <f t="shared" ref="F1571" si="3472">-2*C1568*D1568</f>
        <v>4.3509957203971439</v>
      </c>
      <c r="G1571" s="9">
        <f t="shared" ref="G1571" si="3473">4*D1568</f>
        <v>7.7313595769816468</v>
      </c>
    </row>
    <row r="1572" spans="1:10" x14ac:dyDescent="0.25">
      <c r="B1572" t="s">
        <v>20</v>
      </c>
      <c r="C1572" s="8">
        <f>0</f>
        <v>0</v>
      </c>
      <c r="D1572" s="1">
        <f>0</f>
        <v>0</v>
      </c>
      <c r="E1572" s="1">
        <f>4</f>
        <v>4</v>
      </c>
      <c r="F1572" s="1">
        <f>2</f>
        <v>2</v>
      </c>
      <c r="G1572" s="9">
        <f>2</f>
        <v>2</v>
      </c>
    </row>
    <row r="1573" spans="1:10" x14ac:dyDescent="0.25">
      <c r="C1573" s="8">
        <f t="shared" ref="C1573" si="3474">(D1568^2)</f>
        <v>3.7358700567866143</v>
      </c>
      <c r="D1573" s="1">
        <f t="shared" ref="D1573" si="3475">2*C1568*D1568</f>
        <v>-4.3509957203971439</v>
      </c>
      <c r="E1573" s="1">
        <f t="shared" ref="E1573:E1574" si="3476">-2</f>
        <v>-2</v>
      </c>
      <c r="F1573" s="1">
        <f>0</f>
        <v>0</v>
      </c>
      <c r="G1573" s="9">
        <f>0</f>
        <v>0</v>
      </c>
    </row>
    <row r="1574" spans="1:10" x14ac:dyDescent="0.25">
      <c r="C1574" s="10">
        <f t="shared" ref="C1574" si="3477">2*C1568</f>
        <v>-2.2510895668861335</v>
      </c>
      <c r="D1574" s="11">
        <f t="shared" ref="D1574" si="3478">-4*D1568</f>
        <v>-7.7313595769816468</v>
      </c>
      <c r="E1574" s="11">
        <f t="shared" si="3476"/>
        <v>-2</v>
      </c>
      <c r="F1574" s="11">
        <f>0</f>
        <v>0</v>
      </c>
      <c r="G1574" s="12">
        <f>0</f>
        <v>0</v>
      </c>
    </row>
    <row r="1575" spans="1:10" x14ac:dyDescent="0.25">
      <c r="B1575" t="s">
        <v>21</v>
      </c>
      <c r="C1575" s="1" cm="1">
        <f t="array" ref="C1575:G1575">-MMULT(C1569:G1569,C1570:G1574)</f>
        <v>1.0737972301889219E-15</v>
      </c>
      <c r="D1575" s="1">
        <v>-1.448384444138685E-15</v>
      </c>
      <c r="E1575" s="1">
        <v>0</v>
      </c>
      <c r="F1575" s="1">
        <v>5.9382849800904388E-15</v>
      </c>
      <c r="G1575" s="1">
        <v>5.6172209973917592E-15</v>
      </c>
    </row>
    <row r="1576" spans="1:10" x14ac:dyDescent="0.25">
      <c r="B1576" t="s">
        <v>13</v>
      </c>
      <c r="C1576" s="1">
        <f t="shared" ref="C1576" si="3479">J1569/SUMPRODUCT(_xlfn.ANCHORARRAY(C1575),_xlfn.ANCHORARRAY(C1575))</f>
        <v>7.828261901978455E-3</v>
      </c>
    </row>
    <row r="1577" spans="1:10" x14ac:dyDescent="0.25">
      <c r="A1577" s="1" t="s">
        <v>4</v>
      </c>
      <c r="B1577" t="s">
        <v>18</v>
      </c>
      <c r="C1577" s="1" cm="1">
        <f t="array" ref="C1577:G1577">C1568:G1568+C1576*C1575:G1575</f>
        <v>-1.1255447834430667</v>
      </c>
      <c r="D1577" s="1">
        <v>1.9328398942454117</v>
      </c>
      <c r="E1577" s="1">
        <v>0.39755547298133398</v>
      </c>
      <c r="F1577" s="1">
        <v>-0.67495954138082259</v>
      </c>
      <c r="G1577" s="1">
        <v>-0.12015140458184528</v>
      </c>
    </row>
    <row r="1578" spans="1:10" x14ac:dyDescent="0.25">
      <c r="A1578" s="1">
        <v>176</v>
      </c>
      <c r="B1578" t="s">
        <v>19</v>
      </c>
      <c r="C1578" s="1">
        <f t="shared" ref="C1578" si="3480">2*C1577-F1577*(D1577^2)-2*G1577*C1577</f>
        <v>6.106226635438361E-16</v>
      </c>
      <c r="D1578" s="1">
        <f t="shared" ref="D1578" si="3481">2*D1577-2*F1577*C1577*D1577+4*G1577*D1577</f>
        <v>0</v>
      </c>
      <c r="E1578" s="1">
        <f t="shared" ref="E1578" si="3482">4*E1577+2*F1577+2*G1577</f>
        <v>0</v>
      </c>
      <c r="F1578" s="1">
        <f t="shared" ref="F1578" si="3483">C1577*(D1577^2)-2*E1577+5</f>
        <v>0</v>
      </c>
      <c r="G1578" s="1">
        <f t="shared" ref="G1578" si="3484">C1577^2-2*(D1577^2)-2*E1577+7</f>
        <v>0</v>
      </c>
      <c r="J1578" s="1">
        <f t="shared" ref="J1578" si="3485">0.5*(C1578*C1578+D1578*D1578+E1578*E1578+F1578*F1578+G1578*G1578)</f>
        <v>1.8643001861668443E-31</v>
      </c>
    </row>
    <row r="1579" spans="1:10" x14ac:dyDescent="0.25">
      <c r="C1579" s="5">
        <f t="shared" ref="C1579" si="3486">2-2*G1577</f>
        <v>2.2403028091636905</v>
      </c>
      <c r="D1579" s="6">
        <f t="shared" ref="D1579" si="3487">-2*F1577*D1577</f>
        <v>2.6091774571648814</v>
      </c>
      <c r="E1579" s="6">
        <f>0</f>
        <v>0</v>
      </c>
      <c r="F1579" s="6">
        <f t="shared" ref="F1579" si="3488">-(D1577^2)</f>
        <v>-3.7358700567866143</v>
      </c>
      <c r="G1579" s="7">
        <f t="shared" ref="G1579" si="3489">-2*C1577</f>
        <v>2.2510895668861335</v>
      </c>
    </row>
    <row r="1580" spans="1:10" x14ac:dyDescent="0.25">
      <c r="C1580" s="8">
        <f t="shared" ref="C1580" si="3490">-2*F1577*D1577</f>
        <v>2.6091774571648814</v>
      </c>
      <c r="D1580" s="1">
        <f t="shared" ref="D1580" si="3491">2-2*F1577*C1577+4*G1577</f>
        <v>0</v>
      </c>
      <c r="E1580" s="1">
        <f>0</f>
        <v>0</v>
      </c>
      <c r="F1580" s="1">
        <f t="shared" ref="F1580" si="3492">-2*C1577*D1577</f>
        <v>4.3509957203971439</v>
      </c>
      <c r="G1580" s="9">
        <f t="shared" ref="G1580" si="3493">4*D1577</f>
        <v>7.7313595769816468</v>
      </c>
    </row>
    <row r="1581" spans="1:10" x14ac:dyDescent="0.25">
      <c r="B1581" t="s">
        <v>20</v>
      </c>
      <c r="C1581" s="8">
        <f>0</f>
        <v>0</v>
      </c>
      <c r="D1581" s="1">
        <f>0</f>
        <v>0</v>
      </c>
      <c r="E1581" s="1">
        <f>4</f>
        <v>4</v>
      </c>
      <c r="F1581" s="1">
        <f>2</f>
        <v>2</v>
      </c>
      <c r="G1581" s="9">
        <f>2</f>
        <v>2</v>
      </c>
    </row>
    <row r="1582" spans="1:10" x14ac:dyDescent="0.25">
      <c r="C1582" s="8">
        <f t="shared" ref="C1582" si="3494">(D1577^2)</f>
        <v>3.7358700567866143</v>
      </c>
      <c r="D1582" s="1">
        <f t="shared" ref="D1582" si="3495">2*C1577*D1577</f>
        <v>-4.3509957203971439</v>
      </c>
      <c r="E1582" s="1">
        <f t="shared" ref="E1582:E1583" si="3496">-2</f>
        <v>-2</v>
      </c>
      <c r="F1582" s="1">
        <f>0</f>
        <v>0</v>
      </c>
      <c r="G1582" s="9">
        <f>0</f>
        <v>0</v>
      </c>
    </row>
    <row r="1583" spans="1:10" x14ac:dyDescent="0.25">
      <c r="C1583" s="10">
        <f t="shared" ref="C1583" si="3497">2*C1577</f>
        <v>-2.2510895668861335</v>
      </c>
      <c r="D1583" s="11">
        <f t="shared" ref="D1583" si="3498">-4*D1577</f>
        <v>-7.7313595769816468</v>
      </c>
      <c r="E1583" s="11">
        <f t="shared" si="3496"/>
        <v>-2</v>
      </c>
      <c r="F1583" s="11">
        <f>0</f>
        <v>0</v>
      </c>
      <c r="G1583" s="12">
        <f>0</f>
        <v>0</v>
      </c>
    </row>
    <row r="1584" spans="1:10" x14ac:dyDescent="0.25">
      <c r="B1584" t="s">
        <v>21</v>
      </c>
      <c r="C1584" s="1" cm="1">
        <f t="array" ref="C1584:G1584">-MMULT(C1578:G1578,C1579:G1583)</f>
        <v>-1.367979668476271E-15</v>
      </c>
      <c r="D1584" s="1">
        <v>-1.5932228885525532E-15</v>
      </c>
      <c r="E1584" s="1">
        <v>0</v>
      </c>
      <c r="F1584" s="1">
        <v>2.2812069247287048E-15</v>
      </c>
      <c r="G1584" s="1">
        <v>-1.3745663072077511E-15</v>
      </c>
    </row>
    <row r="1585" spans="1:10" x14ac:dyDescent="0.25">
      <c r="B1585" t="s">
        <v>13</v>
      </c>
      <c r="C1585" s="1">
        <f t="shared" ref="C1585" si="3499">J1578/SUMPRODUCT(_xlfn.ANCHORARRAY(C1584),_xlfn.ANCHORARRAY(C1584))</f>
        <v>1.6206986294211755E-2</v>
      </c>
    </row>
    <row r="1586" spans="1:10" x14ac:dyDescent="0.25">
      <c r="A1586" s="1" t="s">
        <v>4</v>
      </c>
      <c r="B1586" t="s">
        <v>18</v>
      </c>
      <c r="C1586" s="1" cm="1">
        <f t="array" ref="C1586:G1586">C1577:G1577+C1585*C1584:G1584</f>
        <v>-1.1255447834430667</v>
      </c>
      <c r="D1586" s="1">
        <v>1.9328398942454117</v>
      </c>
      <c r="E1586" s="1">
        <v>0.39755547298133398</v>
      </c>
      <c r="F1586" s="1">
        <v>-0.67495954138082259</v>
      </c>
      <c r="G1586" s="1">
        <v>-0.12015140458184531</v>
      </c>
    </row>
    <row r="1587" spans="1:10" x14ac:dyDescent="0.25">
      <c r="A1587" s="1">
        <v>177</v>
      </c>
      <c r="B1587" t="s">
        <v>19</v>
      </c>
      <c r="C1587" s="1">
        <f t="shared" ref="C1587" si="3500">2*C1586-F1586*(D1586^2)-2*G1586*C1586</f>
        <v>5.5511151231257827E-16</v>
      </c>
      <c r="D1587" s="1">
        <f t="shared" ref="D1587" si="3501">2*D1586-2*F1586*C1586*D1586+4*G1586*D1586</f>
        <v>0</v>
      </c>
      <c r="E1587" s="1">
        <f t="shared" ref="E1587" si="3502">4*E1586+2*F1586+2*G1586</f>
        <v>0</v>
      </c>
      <c r="F1587" s="1">
        <f t="shared" ref="F1587" si="3503">C1586*(D1586^2)-2*E1586+5</f>
        <v>0</v>
      </c>
      <c r="G1587" s="1">
        <f t="shared" ref="G1587" si="3504">C1586^2-2*(D1586^2)-2*E1586+7</f>
        <v>0</v>
      </c>
      <c r="J1587" s="1">
        <f t="shared" ref="J1587" si="3505">0.5*(C1587*C1587+D1587*D1587+E1587*E1587+F1587*F1587+G1587*G1587)</f>
        <v>1.5407439555097887E-31</v>
      </c>
    </row>
    <row r="1588" spans="1:10" x14ac:dyDescent="0.25">
      <c r="C1588" s="5">
        <f t="shared" ref="C1588" si="3506">2-2*G1586</f>
        <v>2.2403028091636905</v>
      </c>
      <c r="D1588" s="6">
        <f t="shared" ref="D1588" si="3507">-2*F1586*D1586</f>
        <v>2.6091774571648814</v>
      </c>
      <c r="E1588" s="6">
        <f>0</f>
        <v>0</v>
      </c>
      <c r="F1588" s="6">
        <f t="shared" ref="F1588" si="3508">-(D1586^2)</f>
        <v>-3.7358700567866143</v>
      </c>
      <c r="G1588" s="7">
        <f t="shared" ref="G1588" si="3509">-2*C1586</f>
        <v>2.2510895668861335</v>
      </c>
    </row>
    <row r="1589" spans="1:10" x14ac:dyDescent="0.25">
      <c r="C1589" s="8">
        <f t="shared" ref="C1589" si="3510">-2*F1586*D1586</f>
        <v>2.6091774571648814</v>
      </c>
      <c r="D1589" s="1">
        <f t="shared" ref="D1589" si="3511">2-2*F1586*C1586+4*G1586</f>
        <v>-4.4408920985006262E-16</v>
      </c>
      <c r="E1589" s="1">
        <f>0</f>
        <v>0</v>
      </c>
      <c r="F1589" s="1">
        <f t="shared" ref="F1589" si="3512">-2*C1586*D1586</f>
        <v>4.3509957203971439</v>
      </c>
      <c r="G1589" s="9">
        <f t="shared" ref="G1589" si="3513">4*D1586</f>
        <v>7.7313595769816468</v>
      </c>
    </row>
    <row r="1590" spans="1:10" x14ac:dyDescent="0.25">
      <c r="B1590" t="s">
        <v>20</v>
      </c>
      <c r="C1590" s="8">
        <f>0</f>
        <v>0</v>
      </c>
      <c r="D1590" s="1">
        <f>0</f>
        <v>0</v>
      </c>
      <c r="E1590" s="1">
        <f>4</f>
        <v>4</v>
      </c>
      <c r="F1590" s="1">
        <f>2</f>
        <v>2</v>
      </c>
      <c r="G1590" s="9">
        <f>2</f>
        <v>2</v>
      </c>
    </row>
    <row r="1591" spans="1:10" x14ac:dyDescent="0.25">
      <c r="C1591" s="8">
        <f t="shared" ref="C1591" si="3514">(D1586^2)</f>
        <v>3.7358700567866143</v>
      </c>
      <c r="D1591" s="1">
        <f t="shared" ref="D1591" si="3515">2*C1586*D1586</f>
        <v>-4.3509957203971439</v>
      </c>
      <c r="E1591" s="1">
        <f t="shared" ref="E1591:E1592" si="3516">-2</f>
        <v>-2</v>
      </c>
      <c r="F1591" s="1">
        <f>0</f>
        <v>0</v>
      </c>
      <c r="G1591" s="9">
        <f>0</f>
        <v>0</v>
      </c>
    </row>
    <row r="1592" spans="1:10" x14ac:dyDescent="0.25">
      <c r="C1592" s="10">
        <f t="shared" ref="C1592" si="3517">2*C1586</f>
        <v>-2.2510895668861335</v>
      </c>
      <c r="D1592" s="11">
        <f t="shared" ref="D1592" si="3518">-4*D1586</f>
        <v>-7.7313595769816468</v>
      </c>
      <c r="E1592" s="11">
        <f t="shared" si="3516"/>
        <v>-2</v>
      </c>
      <c r="F1592" s="11">
        <f>0</f>
        <v>0</v>
      </c>
      <c r="G1592" s="12">
        <f>0</f>
        <v>0</v>
      </c>
    </row>
    <row r="1593" spans="1:10" x14ac:dyDescent="0.25">
      <c r="B1593" t="s">
        <v>21</v>
      </c>
      <c r="C1593" s="1" cm="1">
        <f t="array" ref="C1593:G1593">-MMULT(C1587:G1587,C1588:G1592)</f>
        <v>-1.2436178804329737E-15</v>
      </c>
      <c r="D1593" s="1">
        <v>-1.4483844441386847E-15</v>
      </c>
      <c r="E1593" s="1">
        <v>0</v>
      </c>
      <c r="F1593" s="1">
        <v>2.0738244770260952E-15</v>
      </c>
      <c r="G1593" s="1">
        <v>-1.2496057338252283E-15</v>
      </c>
    </row>
    <row r="1594" spans="1:10" x14ac:dyDescent="0.25">
      <c r="B1594" t="s">
        <v>13</v>
      </c>
      <c r="C1594" s="1">
        <f t="shared" ref="C1594" si="3519">J1587/SUMPRODUCT(_xlfn.ANCHORARRAY(C1593),_xlfn.ANCHORARRAY(C1593))</f>
        <v>1.6206986294211755E-2</v>
      </c>
    </row>
    <row r="1595" spans="1:10" x14ac:dyDescent="0.25">
      <c r="A1595" s="1" t="s">
        <v>4</v>
      </c>
      <c r="B1595" t="s">
        <v>18</v>
      </c>
      <c r="C1595" s="1" cm="1">
        <f t="array" ref="C1595:G1595">C1586:G1586+C1594*C1593:G1593</f>
        <v>-1.1255447834430667</v>
      </c>
      <c r="D1595" s="1">
        <v>1.9328398942454117</v>
      </c>
      <c r="E1595" s="1">
        <v>0.39755547298133398</v>
      </c>
      <c r="F1595" s="1">
        <v>-0.67495954138082259</v>
      </c>
      <c r="G1595" s="1">
        <v>-0.12015140458184533</v>
      </c>
    </row>
    <row r="1596" spans="1:10" x14ac:dyDescent="0.25">
      <c r="A1596" s="1">
        <v>178</v>
      </c>
      <c r="B1596" t="s">
        <v>19</v>
      </c>
      <c r="C1596" s="1">
        <f t="shared" ref="C1596" si="3520">2*C1595-F1595*(D1595^2)-2*G1595*C1595</f>
        <v>5.5511151231257827E-16</v>
      </c>
      <c r="D1596" s="1">
        <f t="shared" ref="D1596" si="3521">2*D1595-2*F1595*C1595*D1595+4*G1595*D1595</f>
        <v>-8.8817841970012523E-16</v>
      </c>
      <c r="E1596" s="1">
        <f t="shared" ref="E1596" si="3522">4*E1595+2*F1595+2*G1595</f>
        <v>0</v>
      </c>
      <c r="F1596" s="1">
        <f t="shared" ref="F1596" si="3523">C1595*(D1595^2)-2*E1595+5</f>
        <v>0</v>
      </c>
      <c r="G1596" s="1">
        <f t="shared" ref="G1596" si="3524">C1595^2-2*(D1595^2)-2*E1595+7</f>
        <v>0</v>
      </c>
      <c r="J1596" s="1">
        <f t="shared" ref="J1596" si="3525">0.5*(C1596*C1596+D1596*D1596+E1596*E1596+F1596*F1596+G1596*G1596)</f>
        <v>5.4850484816148477E-31</v>
      </c>
    </row>
    <row r="1597" spans="1:10" x14ac:dyDescent="0.25">
      <c r="C1597" s="5">
        <f t="shared" ref="C1597" si="3526">2-2*G1595</f>
        <v>2.2403028091636905</v>
      </c>
      <c r="D1597" s="6">
        <f t="shared" ref="D1597" si="3527">-2*F1595*D1595</f>
        <v>2.6091774571648814</v>
      </c>
      <c r="E1597" s="6">
        <f>0</f>
        <v>0</v>
      </c>
      <c r="F1597" s="6">
        <f t="shared" ref="F1597" si="3528">-(D1595^2)</f>
        <v>-3.7358700567866143</v>
      </c>
      <c r="G1597" s="7">
        <f t="shared" ref="G1597" si="3529">-2*C1595</f>
        <v>2.2510895668861335</v>
      </c>
    </row>
    <row r="1598" spans="1:10" x14ac:dyDescent="0.25">
      <c r="C1598" s="8">
        <f t="shared" ref="C1598" si="3530">-2*F1595*D1595</f>
        <v>2.6091774571648814</v>
      </c>
      <c r="D1598" s="1">
        <f t="shared" ref="D1598" si="3531">2-2*F1595*C1595+4*G1595</f>
        <v>-4.9960036108132044E-16</v>
      </c>
      <c r="E1598" s="1">
        <f>0</f>
        <v>0</v>
      </c>
      <c r="F1598" s="1">
        <f t="shared" ref="F1598" si="3532">-2*C1595*D1595</f>
        <v>4.3509957203971439</v>
      </c>
      <c r="G1598" s="9">
        <f t="shared" ref="G1598" si="3533">4*D1595</f>
        <v>7.7313595769816468</v>
      </c>
    </row>
    <row r="1599" spans="1:10" x14ac:dyDescent="0.25">
      <c r="B1599" t="s">
        <v>20</v>
      </c>
      <c r="C1599" s="8">
        <f>0</f>
        <v>0</v>
      </c>
      <c r="D1599" s="1">
        <f>0</f>
        <v>0</v>
      </c>
      <c r="E1599" s="1">
        <f>4</f>
        <v>4</v>
      </c>
      <c r="F1599" s="1">
        <f>2</f>
        <v>2</v>
      </c>
      <c r="G1599" s="9">
        <f>2</f>
        <v>2</v>
      </c>
    </row>
    <row r="1600" spans="1:10" x14ac:dyDescent="0.25">
      <c r="C1600" s="8">
        <f t="shared" ref="C1600" si="3534">(D1595^2)</f>
        <v>3.7358700567866143</v>
      </c>
      <c r="D1600" s="1">
        <f t="shared" ref="D1600" si="3535">2*C1595*D1595</f>
        <v>-4.3509957203971439</v>
      </c>
      <c r="E1600" s="1">
        <f t="shared" ref="E1600:E1601" si="3536">-2</f>
        <v>-2</v>
      </c>
      <c r="F1600" s="1">
        <f>0</f>
        <v>0</v>
      </c>
      <c r="G1600" s="9">
        <f>0</f>
        <v>0</v>
      </c>
    </row>
    <row r="1601" spans="1:10" x14ac:dyDescent="0.25">
      <c r="C1601" s="10">
        <f t="shared" ref="C1601" si="3537">2*C1595</f>
        <v>-2.2510895668861335</v>
      </c>
      <c r="D1601" s="11">
        <f t="shared" ref="D1601" si="3538">-4*D1595</f>
        <v>-7.7313595769816468</v>
      </c>
      <c r="E1601" s="11">
        <f t="shared" si="3536"/>
        <v>-2</v>
      </c>
      <c r="F1601" s="11">
        <f>0</f>
        <v>0</v>
      </c>
      <c r="G1601" s="12">
        <f>0</f>
        <v>0</v>
      </c>
    </row>
    <row r="1602" spans="1:10" x14ac:dyDescent="0.25">
      <c r="B1602" t="s">
        <v>21</v>
      </c>
      <c r="C1602" s="1" cm="1">
        <f t="array" ref="C1602:G1602">-MMULT(C1596:G1596,C1597:G1601)</f>
        <v>1.0737972301889219E-15</v>
      </c>
      <c r="D1602" s="1">
        <v>-1.448384444138685E-15</v>
      </c>
      <c r="E1602" s="1">
        <v>0</v>
      </c>
      <c r="F1602" s="1">
        <v>5.9382849800904388E-15</v>
      </c>
      <c r="G1602" s="1">
        <v>5.6172209973917592E-15</v>
      </c>
    </row>
    <row r="1603" spans="1:10" x14ac:dyDescent="0.25">
      <c r="B1603" t="s">
        <v>13</v>
      </c>
      <c r="C1603" s="1">
        <f t="shared" ref="C1603" si="3539">J1596/SUMPRODUCT(_xlfn.ANCHORARRAY(C1602),_xlfn.ANCHORARRAY(C1602))</f>
        <v>7.828261901978455E-3</v>
      </c>
    </row>
    <row r="1604" spans="1:10" x14ac:dyDescent="0.25">
      <c r="A1604" s="1" t="s">
        <v>4</v>
      </c>
      <c r="B1604" t="s">
        <v>18</v>
      </c>
      <c r="C1604" s="1" cm="1">
        <f t="array" ref="C1604:G1604">C1595:G1595+C1603*C1602:G1602</f>
        <v>-1.1255447834430667</v>
      </c>
      <c r="D1604" s="1">
        <v>1.9328398942454117</v>
      </c>
      <c r="E1604" s="1">
        <v>0.39755547298133398</v>
      </c>
      <c r="F1604" s="1">
        <v>-0.67495954138082259</v>
      </c>
      <c r="G1604" s="1">
        <v>-0.12015140458184528</v>
      </c>
    </row>
    <row r="1605" spans="1:10" x14ac:dyDescent="0.25">
      <c r="A1605" s="1">
        <v>179</v>
      </c>
      <c r="B1605" t="s">
        <v>19</v>
      </c>
      <c r="C1605" s="1">
        <f t="shared" ref="C1605" si="3540">2*C1604-F1604*(D1604^2)-2*G1604*C1604</f>
        <v>6.106226635438361E-16</v>
      </c>
      <c r="D1605" s="1">
        <f t="shared" ref="D1605" si="3541">2*D1604-2*F1604*C1604*D1604+4*G1604*D1604</f>
        <v>0</v>
      </c>
      <c r="E1605" s="1">
        <f t="shared" ref="E1605" si="3542">4*E1604+2*F1604+2*G1604</f>
        <v>0</v>
      </c>
      <c r="F1605" s="1">
        <f t="shared" ref="F1605" si="3543">C1604*(D1604^2)-2*E1604+5</f>
        <v>0</v>
      </c>
      <c r="G1605" s="1">
        <f t="shared" ref="G1605" si="3544">C1604^2-2*(D1604^2)-2*E1604+7</f>
        <v>0</v>
      </c>
      <c r="J1605" s="1">
        <f t="shared" ref="J1605" si="3545">0.5*(C1605*C1605+D1605*D1605+E1605*E1605+F1605*F1605+G1605*G1605)</f>
        <v>1.8643001861668443E-31</v>
      </c>
    </row>
    <row r="1606" spans="1:10" x14ac:dyDescent="0.25">
      <c r="C1606" s="5">
        <f t="shared" ref="C1606" si="3546">2-2*G1604</f>
        <v>2.2403028091636905</v>
      </c>
      <c r="D1606" s="6">
        <f t="shared" ref="D1606" si="3547">-2*F1604*D1604</f>
        <v>2.6091774571648814</v>
      </c>
      <c r="E1606" s="6">
        <f>0</f>
        <v>0</v>
      </c>
      <c r="F1606" s="6">
        <f t="shared" ref="F1606" si="3548">-(D1604^2)</f>
        <v>-3.7358700567866143</v>
      </c>
      <c r="G1606" s="7">
        <f t="shared" ref="G1606" si="3549">-2*C1604</f>
        <v>2.2510895668861335</v>
      </c>
    </row>
    <row r="1607" spans="1:10" x14ac:dyDescent="0.25">
      <c r="C1607" s="8">
        <f t="shared" ref="C1607" si="3550">-2*F1604*D1604</f>
        <v>2.6091774571648814</v>
      </c>
      <c r="D1607" s="1">
        <f t="shared" ref="D1607" si="3551">2-2*F1604*C1604+4*G1604</f>
        <v>0</v>
      </c>
      <c r="E1607" s="1">
        <f>0</f>
        <v>0</v>
      </c>
      <c r="F1607" s="1">
        <f t="shared" ref="F1607" si="3552">-2*C1604*D1604</f>
        <v>4.3509957203971439</v>
      </c>
      <c r="G1607" s="9">
        <f t="shared" ref="G1607" si="3553">4*D1604</f>
        <v>7.7313595769816468</v>
      </c>
    </row>
    <row r="1608" spans="1:10" x14ac:dyDescent="0.25">
      <c r="B1608" t="s">
        <v>20</v>
      </c>
      <c r="C1608" s="8">
        <f>0</f>
        <v>0</v>
      </c>
      <c r="D1608" s="1">
        <f>0</f>
        <v>0</v>
      </c>
      <c r="E1608" s="1">
        <f>4</f>
        <v>4</v>
      </c>
      <c r="F1608" s="1">
        <f>2</f>
        <v>2</v>
      </c>
      <c r="G1608" s="9">
        <f>2</f>
        <v>2</v>
      </c>
    </row>
    <row r="1609" spans="1:10" x14ac:dyDescent="0.25">
      <c r="C1609" s="8">
        <f t="shared" ref="C1609" si="3554">(D1604^2)</f>
        <v>3.7358700567866143</v>
      </c>
      <c r="D1609" s="1">
        <f t="shared" ref="D1609" si="3555">2*C1604*D1604</f>
        <v>-4.3509957203971439</v>
      </c>
      <c r="E1609" s="1">
        <f t="shared" ref="E1609:E1610" si="3556">-2</f>
        <v>-2</v>
      </c>
      <c r="F1609" s="1">
        <f>0</f>
        <v>0</v>
      </c>
      <c r="G1609" s="9">
        <f>0</f>
        <v>0</v>
      </c>
    </row>
    <row r="1610" spans="1:10" x14ac:dyDescent="0.25">
      <c r="C1610" s="10">
        <f t="shared" ref="C1610" si="3557">2*C1604</f>
        <v>-2.2510895668861335</v>
      </c>
      <c r="D1610" s="11">
        <f t="shared" ref="D1610" si="3558">-4*D1604</f>
        <v>-7.7313595769816468</v>
      </c>
      <c r="E1610" s="11">
        <f t="shared" si="3556"/>
        <v>-2</v>
      </c>
      <c r="F1610" s="11">
        <f>0</f>
        <v>0</v>
      </c>
      <c r="G1610" s="12">
        <f>0</f>
        <v>0</v>
      </c>
    </row>
    <row r="1611" spans="1:10" x14ac:dyDescent="0.25">
      <c r="B1611" t="s">
        <v>21</v>
      </c>
      <c r="C1611" s="1" cm="1">
        <f t="array" ref="C1611:G1611">-MMULT(C1605:G1605,C1606:G1610)</f>
        <v>-1.367979668476271E-15</v>
      </c>
      <c r="D1611" s="1">
        <v>-1.5932228885525532E-15</v>
      </c>
      <c r="E1611" s="1">
        <v>0</v>
      </c>
      <c r="F1611" s="1">
        <v>2.2812069247287048E-15</v>
      </c>
      <c r="G1611" s="1">
        <v>-1.3745663072077511E-15</v>
      </c>
    </row>
    <row r="1612" spans="1:10" x14ac:dyDescent="0.25">
      <c r="B1612" t="s">
        <v>13</v>
      </c>
      <c r="C1612" s="1">
        <f t="shared" ref="C1612" si="3559">J1605/SUMPRODUCT(_xlfn.ANCHORARRAY(C1611),_xlfn.ANCHORARRAY(C1611))</f>
        <v>1.6206986294211755E-2</v>
      </c>
    </row>
    <row r="1613" spans="1:10" x14ac:dyDescent="0.25">
      <c r="A1613" s="1" t="s">
        <v>4</v>
      </c>
      <c r="B1613" t="s">
        <v>18</v>
      </c>
      <c r="C1613" s="1" cm="1">
        <f t="array" ref="C1613:G1613">C1604:G1604+C1612*C1611:G1611</f>
        <v>-1.1255447834430667</v>
      </c>
      <c r="D1613" s="1">
        <v>1.9328398942454117</v>
      </c>
      <c r="E1613" s="1">
        <v>0.39755547298133398</v>
      </c>
      <c r="F1613" s="1">
        <v>-0.67495954138082259</v>
      </c>
      <c r="G1613" s="1">
        <v>-0.12015140458184531</v>
      </c>
    </row>
    <row r="1614" spans="1:10" x14ac:dyDescent="0.25">
      <c r="A1614" s="1">
        <v>180</v>
      </c>
      <c r="B1614" t="s">
        <v>19</v>
      </c>
      <c r="C1614" s="1">
        <f t="shared" ref="C1614" si="3560">2*C1613-F1613*(D1613^2)-2*G1613*C1613</f>
        <v>5.5511151231257827E-16</v>
      </c>
      <c r="D1614" s="1">
        <f t="shared" ref="D1614" si="3561">2*D1613-2*F1613*C1613*D1613+4*G1613*D1613</f>
        <v>0</v>
      </c>
      <c r="E1614" s="1">
        <f t="shared" ref="E1614" si="3562">4*E1613+2*F1613+2*G1613</f>
        <v>0</v>
      </c>
      <c r="F1614" s="1">
        <f t="shared" ref="F1614" si="3563">C1613*(D1613^2)-2*E1613+5</f>
        <v>0</v>
      </c>
      <c r="G1614" s="1">
        <f t="shared" ref="G1614" si="3564">C1613^2-2*(D1613^2)-2*E1613+7</f>
        <v>0</v>
      </c>
      <c r="J1614" s="1">
        <f t="shared" ref="J1614" si="3565">0.5*(C1614*C1614+D1614*D1614+E1614*E1614+F1614*F1614+G1614*G1614)</f>
        <v>1.5407439555097887E-31</v>
      </c>
    </row>
    <row r="1615" spans="1:10" x14ac:dyDescent="0.25">
      <c r="C1615" s="5">
        <f t="shared" ref="C1615" si="3566">2-2*G1613</f>
        <v>2.2403028091636905</v>
      </c>
      <c r="D1615" s="6">
        <f t="shared" ref="D1615" si="3567">-2*F1613*D1613</f>
        <v>2.6091774571648814</v>
      </c>
      <c r="E1615" s="6">
        <f>0</f>
        <v>0</v>
      </c>
      <c r="F1615" s="6">
        <f t="shared" ref="F1615" si="3568">-(D1613^2)</f>
        <v>-3.7358700567866143</v>
      </c>
      <c r="G1615" s="7">
        <f t="shared" ref="G1615" si="3569">-2*C1613</f>
        <v>2.2510895668861335</v>
      </c>
    </row>
    <row r="1616" spans="1:10" x14ac:dyDescent="0.25">
      <c r="C1616" s="8">
        <f t="shared" ref="C1616" si="3570">-2*F1613*D1613</f>
        <v>2.6091774571648814</v>
      </c>
      <c r="D1616" s="1">
        <f t="shared" ref="D1616" si="3571">2-2*F1613*C1613+4*G1613</f>
        <v>-4.4408920985006262E-16</v>
      </c>
      <c r="E1616" s="1">
        <f>0</f>
        <v>0</v>
      </c>
      <c r="F1616" s="1">
        <f t="shared" ref="F1616" si="3572">-2*C1613*D1613</f>
        <v>4.3509957203971439</v>
      </c>
      <c r="G1616" s="9">
        <f t="shared" ref="G1616" si="3573">4*D1613</f>
        <v>7.7313595769816468</v>
      </c>
    </row>
    <row r="1617" spans="1:10" x14ac:dyDescent="0.25">
      <c r="B1617" t="s">
        <v>20</v>
      </c>
      <c r="C1617" s="8">
        <f>0</f>
        <v>0</v>
      </c>
      <c r="D1617" s="1">
        <f>0</f>
        <v>0</v>
      </c>
      <c r="E1617" s="1">
        <f>4</f>
        <v>4</v>
      </c>
      <c r="F1617" s="1">
        <f>2</f>
        <v>2</v>
      </c>
      <c r="G1617" s="9">
        <f>2</f>
        <v>2</v>
      </c>
    </row>
    <row r="1618" spans="1:10" x14ac:dyDescent="0.25">
      <c r="C1618" s="8">
        <f t="shared" ref="C1618" si="3574">(D1613^2)</f>
        <v>3.7358700567866143</v>
      </c>
      <c r="D1618" s="1">
        <f t="shared" ref="D1618" si="3575">2*C1613*D1613</f>
        <v>-4.3509957203971439</v>
      </c>
      <c r="E1618" s="1">
        <f t="shared" ref="E1618:E1619" si="3576">-2</f>
        <v>-2</v>
      </c>
      <c r="F1618" s="1">
        <f>0</f>
        <v>0</v>
      </c>
      <c r="G1618" s="9">
        <f>0</f>
        <v>0</v>
      </c>
    </row>
    <row r="1619" spans="1:10" x14ac:dyDescent="0.25">
      <c r="C1619" s="10">
        <f t="shared" ref="C1619" si="3577">2*C1613</f>
        <v>-2.2510895668861335</v>
      </c>
      <c r="D1619" s="11">
        <f t="shared" ref="D1619" si="3578">-4*D1613</f>
        <v>-7.7313595769816468</v>
      </c>
      <c r="E1619" s="11">
        <f t="shared" si="3576"/>
        <v>-2</v>
      </c>
      <c r="F1619" s="11">
        <f>0</f>
        <v>0</v>
      </c>
      <c r="G1619" s="12">
        <f>0</f>
        <v>0</v>
      </c>
    </row>
    <row r="1620" spans="1:10" x14ac:dyDescent="0.25">
      <c r="B1620" t="s">
        <v>21</v>
      </c>
      <c r="C1620" s="1" cm="1">
        <f t="array" ref="C1620:G1620">-MMULT(C1614:G1614,C1615:G1619)</f>
        <v>-1.2436178804329737E-15</v>
      </c>
      <c r="D1620" s="1">
        <v>-1.4483844441386847E-15</v>
      </c>
      <c r="E1620" s="1">
        <v>0</v>
      </c>
      <c r="F1620" s="1">
        <v>2.0738244770260952E-15</v>
      </c>
      <c r="G1620" s="1">
        <v>-1.2496057338252283E-15</v>
      </c>
    </row>
    <row r="1621" spans="1:10" x14ac:dyDescent="0.25">
      <c r="B1621" t="s">
        <v>13</v>
      </c>
      <c r="C1621" s="1">
        <f t="shared" ref="C1621" si="3579">J1614/SUMPRODUCT(_xlfn.ANCHORARRAY(C1620),_xlfn.ANCHORARRAY(C1620))</f>
        <v>1.6206986294211755E-2</v>
      </c>
    </row>
    <row r="1622" spans="1:10" x14ac:dyDescent="0.25">
      <c r="A1622" s="1" t="s">
        <v>4</v>
      </c>
      <c r="B1622" t="s">
        <v>18</v>
      </c>
      <c r="C1622" s="1" cm="1">
        <f t="array" ref="C1622:G1622">C1613:G1613+C1621*C1620:G1620</f>
        <v>-1.1255447834430667</v>
      </c>
      <c r="D1622" s="1">
        <v>1.9328398942454117</v>
      </c>
      <c r="E1622" s="1">
        <v>0.39755547298133398</v>
      </c>
      <c r="F1622" s="1">
        <v>-0.67495954138082259</v>
      </c>
      <c r="G1622" s="1">
        <v>-0.12015140458184533</v>
      </c>
    </row>
    <row r="1623" spans="1:10" x14ac:dyDescent="0.25">
      <c r="A1623" s="1">
        <v>181</v>
      </c>
      <c r="B1623" t="s">
        <v>19</v>
      </c>
      <c r="C1623" s="1">
        <f t="shared" ref="C1623" si="3580">2*C1622-F1622*(D1622^2)-2*G1622*C1622</f>
        <v>5.5511151231257827E-16</v>
      </c>
      <c r="D1623" s="1">
        <f t="shared" ref="D1623" si="3581">2*D1622-2*F1622*C1622*D1622+4*G1622*D1622</f>
        <v>-8.8817841970012523E-16</v>
      </c>
      <c r="E1623" s="1">
        <f t="shared" ref="E1623" si="3582">4*E1622+2*F1622+2*G1622</f>
        <v>0</v>
      </c>
      <c r="F1623" s="1">
        <f t="shared" ref="F1623" si="3583">C1622*(D1622^2)-2*E1622+5</f>
        <v>0</v>
      </c>
      <c r="G1623" s="1">
        <f t="shared" ref="G1623" si="3584">C1622^2-2*(D1622^2)-2*E1622+7</f>
        <v>0</v>
      </c>
      <c r="J1623" s="1">
        <f t="shared" ref="J1623" si="3585">0.5*(C1623*C1623+D1623*D1623+E1623*E1623+F1623*F1623+G1623*G1623)</f>
        <v>5.4850484816148477E-31</v>
      </c>
    </row>
    <row r="1624" spans="1:10" x14ac:dyDescent="0.25">
      <c r="C1624" s="5">
        <f t="shared" ref="C1624" si="3586">2-2*G1622</f>
        <v>2.2403028091636905</v>
      </c>
      <c r="D1624" s="6">
        <f t="shared" ref="D1624" si="3587">-2*F1622*D1622</f>
        <v>2.6091774571648814</v>
      </c>
      <c r="E1624" s="6">
        <f>0</f>
        <v>0</v>
      </c>
      <c r="F1624" s="6">
        <f t="shared" ref="F1624" si="3588">-(D1622^2)</f>
        <v>-3.7358700567866143</v>
      </c>
      <c r="G1624" s="7">
        <f t="shared" ref="G1624" si="3589">-2*C1622</f>
        <v>2.2510895668861335</v>
      </c>
    </row>
    <row r="1625" spans="1:10" x14ac:dyDescent="0.25">
      <c r="C1625" s="8">
        <f t="shared" ref="C1625" si="3590">-2*F1622*D1622</f>
        <v>2.6091774571648814</v>
      </c>
      <c r="D1625" s="1">
        <f t="shared" ref="D1625" si="3591">2-2*F1622*C1622+4*G1622</f>
        <v>-4.9960036108132044E-16</v>
      </c>
      <c r="E1625" s="1">
        <f>0</f>
        <v>0</v>
      </c>
      <c r="F1625" s="1">
        <f t="shared" ref="F1625" si="3592">-2*C1622*D1622</f>
        <v>4.3509957203971439</v>
      </c>
      <c r="G1625" s="9">
        <f t="shared" ref="G1625" si="3593">4*D1622</f>
        <v>7.7313595769816468</v>
      </c>
    </row>
    <row r="1626" spans="1:10" x14ac:dyDescent="0.25">
      <c r="B1626" t="s">
        <v>20</v>
      </c>
      <c r="C1626" s="8">
        <f>0</f>
        <v>0</v>
      </c>
      <c r="D1626" s="1">
        <f>0</f>
        <v>0</v>
      </c>
      <c r="E1626" s="1">
        <f>4</f>
        <v>4</v>
      </c>
      <c r="F1626" s="1">
        <f>2</f>
        <v>2</v>
      </c>
      <c r="G1626" s="9">
        <f>2</f>
        <v>2</v>
      </c>
    </row>
    <row r="1627" spans="1:10" x14ac:dyDescent="0.25">
      <c r="C1627" s="8">
        <f t="shared" ref="C1627" si="3594">(D1622^2)</f>
        <v>3.7358700567866143</v>
      </c>
      <c r="D1627" s="1">
        <f t="shared" ref="D1627" si="3595">2*C1622*D1622</f>
        <v>-4.3509957203971439</v>
      </c>
      <c r="E1627" s="1">
        <f t="shared" ref="E1627:E1628" si="3596">-2</f>
        <v>-2</v>
      </c>
      <c r="F1627" s="1">
        <f>0</f>
        <v>0</v>
      </c>
      <c r="G1627" s="9">
        <f>0</f>
        <v>0</v>
      </c>
    </row>
    <row r="1628" spans="1:10" x14ac:dyDescent="0.25">
      <c r="C1628" s="10">
        <f t="shared" ref="C1628" si="3597">2*C1622</f>
        <v>-2.2510895668861335</v>
      </c>
      <c r="D1628" s="11">
        <f t="shared" ref="D1628" si="3598">-4*D1622</f>
        <v>-7.7313595769816468</v>
      </c>
      <c r="E1628" s="11">
        <f t="shared" si="3596"/>
        <v>-2</v>
      </c>
      <c r="F1628" s="11">
        <f>0</f>
        <v>0</v>
      </c>
      <c r="G1628" s="12">
        <f>0</f>
        <v>0</v>
      </c>
    </row>
    <row r="1629" spans="1:10" x14ac:dyDescent="0.25">
      <c r="B1629" t="s">
        <v>21</v>
      </c>
      <c r="C1629" s="1" cm="1">
        <f t="array" ref="C1629:G1629">-MMULT(C1623:G1623,C1624:G1628)</f>
        <v>1.0737972301889219E-15</v>
      </c>
      <c r="D1629" s="1">
        <v>-1.448384444138685E-15</v>
      </c>
      <c r="E1629" s="1">
        <v>0</v>
      </c>
      <c r="F1629" s="1">
        <v>5.9382849800904388E-15</v>
      </c>
      <c r="G1629" s="1">
        <v>5.6172209973917592E-15</v>
      </c>
    </row>
    <row r="1630" spans="1:10" x14ac:dyDescent="0.25">
      <c r="B1630" t="s">
        <v>13</v>
      </c>
      <c r="C1630" s="1">
        <f t="shared" ref="C1630" si="3599">J1623/SUMPRODUCT(_xlfn.ANCHORARRAY(C1629),_xlfn.ANCHORARRAY(C1629))</f>
        <v>7.828261901978455E-3</v>
      </c>
    </row>
    <row r="1631" spans="1:10" x14ac:dyDescent="0.25">
      <c r="A1631" s="1" t="s">
        <v>4</v>
      </c>
      <c r="B1631" t="s">
        <v>18</v>
      </c>
      <c r="C1631" s="1" cm="1">
        <f t="array" ref="C1631:G1631">C1622:G1622+C1630*C1629:G1629</f>
        <v>-1.1255447834430667</v>
      </c>
      <c r="D1631" s="1">
        <v>1.9328398942454117</v>
      </c>
      <c r="E1631" s="1">
        <v>0.39755547298133398</v>
      </c>
      <c r="F1631" s="1">
        <v>-0.67495954138082259</v>
      </c>
      <c r="G1631" s="1">
        <v>-0.12015140458184528</v>
      </c>
    </row>
    <row r="1632" spans="1:10" x14ac:dyDescent="0.25">
      <c r="A1632" s="1">
        <v>182</v>
      </c>
      <c r="B1632" t="s">
        <v>19</v>
      </c>
      <c r="C1632" s="1">
        <f t="shared" ref="C1632" si="3600">2*C1631-F1631*(D1631^2)-2*G1631*C1631</f>
        <v>6.106226635438361E-16</v>
      </c>
      <c r="D1632" s="1">
        <f t="shared" ref="D1632" si="3601">2*D1631-2*F1631*C1631*D1631+4*G1631*D1631</f>
        <v>0</v>
      </c>
      <c r="E1632" s="1">
        <f t="shared" ref="E1632" si="3602">4*E1631+2*F1631+2*G1631</f>
        <v>0</v>
      </c>
      <c r="F1632" s="1">
        <f t="shared" ref="F1632" si="3603">C1631*(D1631^2)-2*E1631+5</f>
        <v>0</v>
      </c>
      <c r="G1632" s="1">
        <f t="shared" ref="G1632" si="3604">C1631^2-2*(D1631^2)-2*E1631+7</f>
        <v>0</v>
      </c>
      <c r="J1632" s="1">
        <f t="shared" ref="J1632" si="3605">0.5*(C1632*C1632+D1632*D1632+E1632*E1632+F1632*F1632+G1632*G1632)</f>
        <v>1.8643001861668443E-31</v>
      </c>
    </row>
    <row r="1633" spans="1:10" x14ac:dyDescent="0.25">
      <c r="C1633" s="5">
        <f t="shared" ref="C1633" si="3606">2-2*G1631</f>
        <v>2.2403028091636905</v>
      </c>
      <c r="D1633" s="6">
        <f t="shared" ref="D1633" si="3607">-2*F1631*D1631</f>
        <v>2.6091774571648814</v>
      </c>
      <c r="E1633" s="6">
        <f>0</f>
        <v>0</v>
      </c>
      <c r="F1633" s="6">
        <f t="shared" ref="F1633" si="3608">-(D1631^2)</f>
        <v>-3.7358700567866143</v>
      </c>
      <c r="G1633" s="7">
        <f t="shared" ref="G1633" si="3609">-2*C1631</f>
        <v>2.2510895668861335</v>
      </c>
    </row>
    <row r="1634" spans="1:10" x14ac:dyDescent="0.25">
      <c r="C1634" s="8">
        <f t="shared" ref="C1634" si="3610">-2*F1631*D1631</f>
        <v>2.6091774571648814</v>
      </c>
      <c r="D1634" s="1">
        <f t="shared" ref="D1634" si="3611">2-2*F1631*C1631+4*G1631</f>
        <v>0</v>
      </c>
      <c r="E1634" s="1">
        <f>0</f>
        <v>0</v>
      </c>
      <c r="F1634" s="1">
        <f t="shared" ref="F1634" si="3612">-2*C1631*D1631</f>
        <v>4.3509957203971439</v>
      </c>
      <c r="G1634" s="9">
        <f t="shared" ref="G1634" si="3613">4*D1631</f>
        <v>7.7313595769816468</v>
      </c>
    </row>
    <row r="1635" spans="1:10" x14ac:dyDescent="0.25">
      <c r="B1635" t="s">
        <v>20</v>
      </c>
      <c r="C1635" s="8">
        <f>0</f>
        <v>0</v>
      </c>
      <c r="D1635" s="1">
        <f>0</f>
        <v>0</v>
      </c>
      <c r="E1635" s="1">
        <f>4</f>
        <v>4</v>
      </c>
      <c r="F1635" s="1">
        <f>2</f>
        <v>2</v>
      </c>
      <c r="G1635" s="9">
        <f>2</f>
        <v>2</v>
      </c>
    </row>
    <row r="1636" spans="1:10" x14ac:dyDescent="0.25">
      <c r="C1636" s="8">
        <f t="shared" ref="C1636" si="3614">(D1631^2)</f>
        <v>3.7358700567866143</v>
      </c>
      <c r="D1636" s="1">
        <f t="shared" ref="D1636" si="3615">2*C1631*D1631</f>
        <v>-4.3509957203971439</v>
      </c>
      <c r="E1636" s="1">
        <f t="shared" ref="E1636:E1637" si="3616">-2</f>
        <v>-2</v>
      </c>
      <c r="F1636" s="1">
        <f>0</f>
        <v>0</v>
      </c>
      <c r="G1636" s="9">
        <f>0</f>
        <v>0</v>
      </c>
    </row>
    <row r="1637" spans="1:10" x14ac:dyDescent="0.25">
      <c r="C1637" s="10">
        <f t="shared" ref="C1637" si="3617">2*C1631</f>
        <v>-2.2510895668861335</v>
      </c>
      <c r="D1637" s="11">
        <f t="shared" ref="D1637" si="3618">-4*D1631</f>
        <v>-7.7313595769816468</v>
      </c>
      <c r="E1637" s="11">
        <f t="shared" si="3616"/>
        <v>-2</v>
      </c>
      <c r="F1637" s="11">
        <f>0</f>
        <v>0</v>
      </c>
      <c r="G1637" s="12">
        <f>0</f>
        <v>0</v>
      </c>
    </row>
    <row r="1638" spans="1:10" x14ac:dyDescent="0.25">
      <c r="B1638" t="s">
        <v>21</v>
      </c>
      <c r="C1638" s="1" cm="1">
        <f t="array" ref="C1638:G1638">-MMULT(C1632:G1632,C1633:G1637)</f>
        <v>-1.367979668476271E-15</v>
      </c>
      <c r="D1638" s="1">
        <v>-1.5932228885525532E-15</v>
      </c>
      <c r="E1638" s="1">
        <v>0</v>
      </c>
      <c r="F1638" s="1">
        <v>2.2812069247287048E-15</v>
      </c>
      <c r="G1638" s="1">
        <v>-1.3745663072077511E-15</v>
      </c>
    </row>
    <row r="1639" spans="1:10" x14ac:dyDescent="0.25">
      <c r="B1639" t="s">
        <v>13</v>
      </c>
      <c r="C1639" s="1">
        <f t="shared" ref="C1639" si="3619">J1632/SUMPRODUCT(_xlfn.ANCHORARRAY(C1638),_xlfn.ANCHORARRAY(C1638))</f>
        <v>1.6206986294211755E-2</v>
      </c>
    </row>
    <row r="1640" spans="1:10" x14ac:dyDescent="0.25">
      <c r="A1640" s="1" t="s">
        <v>4</v>
      </c>
      <c r="B1640" t="s">
        <v>18</v>
      </c>
      <c r="C1640" s="1" cm="1">
        <f t="array" ref="C1640:G1640">C1631:G1631+C1639*C1638:G1638</f>
        <v>-1.1255447834430667</v>
      </c>
      <c r="D1640" s="1">
        <v>1.9328398942454117</v>
      </c>
      <c r="E1640" s="1">
        <v>0.39755547298133398</v>
      </c>
      <c r="F1640" s="1">
        <v>-0.67495954138082259</v>
      </c>
      <c r="G1640" s="1">
        <v>-0.12015140458184531</v>
      </c>
    </row>
    <row r="1641" spans="1:10" x14ac:dyDescent="0.25">
      <c r="A1641" s="1">
        <v>183</v>
      </c>
      <c r="B1641" t="s">
        <v>19</v>
      </c>
      <c r="C1641" s="1">
        <f t="shared" ref="C1641" si="3620">2*C1640-F1640*(D1640^2)-2*G1640*C1640</f>
        <v>5.5511151231257827E-16</v>
      </c>
      <c r="D1641" s="1">
        <f t="shared" ref="D1641" si="3621">2*D1640-2*F1640*C1640*D1640+4*G1640*D1640</f>
        <v>0</v>
      </c>
      <c r="E1641" s="1">
        <f t="shared" ref="E1641" si="3622">4*E1640+2*F1640+2*G1640</f>
        <v>0</v>
      </c>
      <c r="F1641" s="1">
        <f t="shared" ref="F1641" si="3623">C1640*(D1640^2)-2*E1640+5</f>
        <v>0</v>
      </c>
      <c r="G1641" s="1">
        <f t="shared" ref="G1641" si="3624">C1640^2-2*(D1640^2)-2*E1640+7</f>
        <v>0</v>
      </c>
      <c r="J1641" s="1">
        <f t="shared" ref="J1641" si="3625">0.5*(C1641*C1641+D1641*D1641+E1641*E1641+F1641*F1641+G1641*G1641)</f>
        <v>1.5407439555097887E-31</v>
      </c>
    </row>
    <row r="1642" spans="1:10" x14ac:dyDescent="0.25">
      <c r="C1642" s="5">
        <f t="shared" ref="C1642" si="3626">2-2*G1640</f>
        <v>2.2403028091636905</v>
      </c>
      <c r="D1642" s="6">
        <f t="shared" ref="D1642" si="3627">-2*F1640*D1640</f>
        <v>2.6091774571648814</v>
      </c>
      <c r="E1642" s="6">
        <f>0</f>
        <v>0</v>
      </c>
      <c r="F1642" s="6">
        <f t="shared" ref="F1642" si="3628">-(D1640^2)</f>
        <v>-3.7358700567866143</v>
      </c>
      <c r="G1642" s="7">
        <f t="shared" ref="G1642" si="3629">-2*C1640</f>
        <v>2.2510895668861335</v>
      </c>
    </row>
    <row r="1643" spans="1:10" x14ac:dyDescent="0.25">
      <c r="C1643" s="8">
        <f t="shared" ref="C1643" si="3630">-2*F1640*D1640</f>
        <v>2.6091774571648814</v>
      </c>
      <c r="D1643" s="1">
        <f t="shared" ref="D1643" si="3631">2-2*F1640*C1640+4*G1640</f>
        <v>-4.4408920985006262E-16</v>
      </c>
      <c r="E1643" s="1">
        <f>0</f>
        <v>0</v>
      </c>
      <c r="F1643" s="1">
        <f t="shared" ref="F1643" si="3632">-2*C1640*D1640</f>
        <v>4.3509957203971439</v>
      </c>
      <c r="G1643" s="9">
        <f t="shared" ref="G1643" si="3633">4*D1640</f>
        <v>7.7313595769816468</v>
      </c>
    </row>
    <row r="1644" spans="1:10" x14ac:dyDescent="0.25">
      <c r="B1644" t="s">
        <v>20</v>
      </c>
      <c r="C1644" s="8">
        <f>0</f>
        <v>0</v>
      </c>
      <c r="D1644" s="1">
        <f>0</f>
        <v>0</v>
      </c>
      <c r="E1644" s="1">
        <f>4</f>
        <v>4</v>
      </c>
      <c r="F1644" s="1">
        <f>2</f>
        <v>2</v>
      </c>
      <c r="G1644" s="9">
        <f>2</f>
        <v>2</v>
      </c>
    </row>
    <row r="1645" spans="1:10" x14ac:dyDescent="0.25">
      <c r="C1645" s="8">
        <f t="shared" ref="C1645" si="3634">(D1640^2)</f>
        <v>3.7358700567866143</v>
      </c>
      <c r="D1645" s="1">
        <f t="shared" ref="D1645" si="3635">2*C1640*D1640</f>
        <v>-4.3509957203971439</v>
      </c>
      <c r="E1645" s="1">
        <f t="shared" ref="E1645:E1646" si="3636">-2</f>
        <v>-2</v>
      </c>
      <c r="F1645" s="1">
        <f>0</f>
        <v>0</v>
      </c>
      <c r="G1645" s="9">
        <f>0</f>
        <v>0</v>
      </c>
    </row>
    <row r="1646" spans="1:10" x14ac:dyDescent="0.25">
      <c r="C1646" s="10">
        <f t="shared" ref="C1646" si="3637">2*C1640</f>
        <v>-2.2510895668861335</v>
      </c>
      <c r="D1646" s="11">
        <f t="shared" ref="D1646" si="3638">-4*D1640</f>
        <v>-7.7313595769816468</v>
      </c>
      <c r="E1646" s="11">
        <f t="shared" si="3636"/>
        <v>-2</v>
      </c>
      <c r="F1646" s="11">
        <f>0</f>
        <v>0</v>
      </c>
      <c r="G1646" s="12">
        <f>0</f>
        <v>0</v>
      </c>
    </row>
    <row r="1647" spans="1:10" x14ac:dyDescent="0.25">
      <c r="B1647" t="s">
        <v>21</v>
      </c>
      <c r="C1647" s="1" cm="1">
        <f t="array" ref="C1647:G1647">-MMULT(C1641:G1641,C1642:G1646)</f>
        <v>-1.2436178804329737E-15</v>
      </c>
      <c r="D1647" s="1">
        <v>-1.4483844441386847E-15</v>
      </c>
      <c r="E1647" s="1">
        <v>0</v>
      </c>
      <c r="F1647" s="1">
        <v>2.0738244770260952E-15</v>
      </c>
      <c r="G1647" s="1">
        <v>-1.2496057338252283E-15</v>
      </c>
    </row>
    <row r="1648" spans="1:10" x14ac:dyDescent="0.25">
      <c r="B1648" t="s">
        <v>13</v>
      </c>
      <c r="C1648" s="1">
        <f t="shared" ref="C1648" si="3639">J1641/SUMPRODUCT(_xlfn.ANCHORARRAY(C1647),_xlfn.ANCHORARRAY(C1647))</f>
        <v>1.6206986294211755E-2</v>
      </c>
    </row>
    <row r="1649" spans="1:10" x14ac:dyDescent="0.25">
      <c r="A1649" s="1" t="s">
        <v>4</v>
      </c>
      <c r="B1649" t="s">
        <v>18</v>
      </c>
      <c r="C1649" s="1" cm="1">
        <f t="array" ref="C1649:G1649">C1640:G1640+C1648*C1647:G1647</f>
        <v>-1.1255447834430667</v>
      </c>
      <c r="D1649" s="1">
        <v>1.9328398942454117</v>
      </c>
      <c r="E1649" s="1">
        <v>0.39755547298133398</v>
      </c>
      <c r="F1649" s="1">
        <v>-0.67495954138082259</v>
      </c>
      <c r="G1649" s="1">
        <v>-0.12015140458184533</v>
      </c>
    </row>
    <row r="1650" spans="1:10" x14ac:dyDescent="0.25">
      <c r="A1650" s="1">
        <v>184</v>
      </c>
      <c r="B1650" t="s">
        <v>19</v>
      </c>
      <c r="C1650" s="1">
        <f t="shared" ref="C1650" si="3640">2*C1649-F1649*(D1649^2)-2*G1649*C1649</f>
        <v>5.5511151231257827E-16</v>
      </c>
      <c r="D1650" s="1">
        <f t="shared" ref="D1650" si="3641">2*D1649-2*F1649*C1649*D1649+4*G1649*D1649</f>
        <v>-8.8817841970012523E-16</v>
      </c>
      <c r="E1650" s="1">
        <f t="shared" ref="E1650" si="3642">4*E1649+2*F1649+2*G1649</f>
        <v>0</v>
      </c>
      <c r="F1650" s="1">
        <f t="shared" ref="F1650" si="3643">C1649*(D1649^2)-2*E1649+5</f>
        <v>0</v>
      </c>
      <c r="G1650" s="1">
        <f t="shared" ref="G1650" si="3644">C1649^2-2*(D1649^2)-2*E1649+7</f>
        <v>0</v>
      </c>
      <c r="J1650" s="1">
        <f t="shared" ref="J1650" si="3645">0.5*(C1650*C1650+D1650*D1650+E1650*E1650+F1650*F1650+G1650*G1650)</f>
        <v>5.4850484816148477E-31</v>
      </c>
    </row>
    <row r="1651" spans="1:10" x14ac:dyDescent="0.25">
      <c r="C1651" s="5">
        <f t="shared" ref="C1651" si="3646">2-2*G1649</f>
        <v>2.2403028091636905</v>
      </c>
      <c r="D1651" s="6">
        <f t="shared" ref="D1651" si="3647">-2*F1649*D1649</f>
        <v>2.6091774571648814</v>
      </c>
      <c r="E1651" s="6">
        <f>0</f>
        <v>0</v>
      </c>
      <c r="F1651" s="6">
        <f t="shared" ref="F1651" si="3648">-(D1649^2)</f>
        <v>-3.7358700567866143</v>
      </c>
      <c r="G1651" s="7">
        <f t="shared" ref="G1651" si="3649">-2*C1649</f>
        <v>2.2510895668861335</v>
      </c>
    </row>
    <row r="1652" spans="1:10" x14ac:dyDescent="0.25">
      <c r="C1652" s="8">
        <f t="shared" ref="C1652" si="3650">-2*F1649*D1649</f>
        <v>2.6091774571648814</v>
      </c>
      <c r="D1652" s="1">
        <f t="shared" ref="D1652" si="3651">2-2*F1649*C1649+4*G1649</f>
        <v>-4.9960036108132044E-16</v>
      </c>
      <c r="E1652" s="1">
        <f>0</f>
        <v>0</v>
      </c>
      <c r="F1652" s="1">
        <f t="shared" ref="F1652" si="3652">-2*C1649*D1649</f>
        <v>4.3509957203971439</v>
      </c>
      <c r="G1652" s="9">
        <f t="shared" ref="G1652" si="3653">4*D1649</f>
        <v>7.7313595769816468</v>
      </c>
    </row>
    <row r="1653" spans="1:10" x14ac:dyDescent="0.25">
      <c r="B1653" t="s">
        <v>20</v>
      </c>
      <c r="C1653" s="8">
        <f>0</f>
        <v>0</v>
      </c>
      <c r="D1653" s="1">
        <f>0</f>
        <v>0</v>
      </c>
      <c r="E1653" s="1">
        <f>4</f>
        <v>4</v>
      </c>
      <c r="F1653" s="1">
        <f>2</f>
        <v>2</v>
      </c>
      <c r="G1653" s="9">
        <f>2</f>
        <v>2</v>
      </c>
    </row>
    <row r="1654" spans="1:10" x14ac:dyDescent="0.25">
      <c r="C1654" s="8">
        <f t="shared" ref="C1654" si="3654">(D1649^2)</f>
        <v>3.7358700567866143</v>
      </c>
      <c r="D1654" s="1">
        <f t="shared" ref="D1654" si="3655">2*C1649*D1649</f>
        <v>-4.3509957203971439</v>
      </c>
      <c r="E1654" s="1">
        <f t="shared" ref="E1654:E1655" si="3656">-2</f>
        <v>-2</v>
      </c>
      <c r="F1654" s="1">
        <f>0</f>
        <v>0</v>
      </c>
      <c r="G1654" s="9">
        <f>0</f>
        <v>0</v>
      </c>
    </row>
    <row r="1655" spans="1:10" x14ac:dyDescent="0.25">
      <c r="C1655" s="10">
        <f t="shared" ref="C1655" si="3657">2*C1649</f>
        <v>-2.2510895668861335</v>
      </c>
      <c r="D1655" s="11">
        <f t="shared" ref="D1655" si="3658">-4*D1649</f>
        <v>-7.7313595769816468</v>
      </c>
      <c r="E1655" s="11">
        <f t="shared" si="3656"/>
        <v>-2</v>
      </c>
      <c r="F1655" s="11">
        <f>0</f>
        <v>0</v>
      </c>
      <c r="G1655" s="12">
        <f>0</f>
        <v>0</v>
      </c>
    </row>
    <row r="1656" spans="1:10" x14ac:dyDescent="0.25">
      <c r="B1656" t="s">
        <v>21</v>
      </c>
      <c r="C1656" s="1" cm="1">
        <f t="array" ref="C1656:G1656">-MMULT(C1650:G1650,C1651:G1655)</f>
        <v>1.0737972301889219E-15</v>
      </c>
      <c r="D1656" s="1">
        <v>-1.448384444138685E-15</v>
      </c>
      <c r="E1656" s="1">
        <v>0</v>
      </c>
      <c r="F1656" s="1">
        <v>5.9382849800904388E-15</v>
      </c>
      <c r="G1656" s="1">
        <v>5.6172209973917592E-15</v>
      </c>
    </row>
    <row r="1657" spans="1:10" x14ac:dyDescent="0.25">
      <c r="B1657" t="s">
        <v>13</v>
      </c>
      <c r="C1657" s="1">
        <f t="shared" ref="C1657" si="3659">J1650/SUMPRODUCT(_xlfn.ANCHORARRAY(C1656),_xlfn.ANCHORARRAY(C1656))</f>
        <v>7.828261901978455E-3</v>
      </c>
    </row>
    <row r="1658" spans="1:10" x14ac:dyDescent="0.25">
      <c r="A1658" s="1" t="s">
        <v>4</v>
      </c>
      <c r="B1658" t="s">
        <v>18</v>
      </c>
      <c r="C1658" s="1" cm="1">
        <f t="array" ref="C1658:G1658">C1649:G1649+C1657*C1656:G1656</f>
        <v>-1.1255447834430667</v>
      </c>
      <c r="D1658" s="1">
        <v>1.9328398942454117</v>
      </c>
      <c r="E1658" s="1">
        <v>0.39755547298133398</v>
      </c>
      <c r="F1658" s="1">
        <v>-0.67495954138082259</v>
      </c>
      <c r="G1658" s="1">
        <v>-0.12015140458184528</v>
      </c>
    </row>
    <row r="1659" spans="1:10" x14ac:dyDescent="0.25">
      <c r="A1659" s="1">
        <v>185</v>
      </c>
      <c r="B1659" t="s">
        <v>19</v>
      </c>
      <c r="C1659" s="1">
        <f t="shared" ref="C1659" si="3660">2*C1658-F1658*(D1658^2)-2*G1658*C1658</f>
        <v>6.106226635438361E-16</v>
      </c>
      <c r="D1659" s="1">
        <f t="shared" ref="D1659" si="3661">2*D1658-2*F1658*C1658*D1658+4*G1658*D1658</f>
        <v>0</v>
      </c>
      <c r="E1659" s="1">
        <f t="shared" ref="E1659" si="3662">4*E1658+2*F1658+2*G1658</f>
        <v>0</v>
      </c>
      <c r="F1659" s="1">
        <f t="shared" ref="F1659" si="3663">C1658*(D1658^2)-2*E1658+5</f>
        <v>0</v>
      </c>
      <c r="G1659" s="1">
        <f t="shared" ref="G1659" si="3664">C1658^2-2*(D1658^2)-2*E1658+7</f>
        <v>0</v>
      </c>
      <c r="J1659" s="1">
        <f t="shared" ref="J1659" si="3665">0.5*(C1659*C1659+D1659*D1659+E1659*E1659+F1659*F1659+G1659*G1659)</f>
        <v>1.8643001861668443E-31</v>
      </c>
    </row>
    <row r="1660" spans="1:10" x14ac:dyDescent="0.25">
      <c r="C1660" s="5">
        <f t="shared" ref="C1660" si="3666">2-2*G1658</f>
        <v>2.2403028091636905</v>
      </c>
      <c r="D1660" s="6">
        <f t="shared" ref="D1660" si="3667">-2*F1658*D1658</f>
        <v>2.6091774571648814</v>
      </c>
      <c r="E1660" s="6">
        <f>0</f>
        <v>0</v>
      </c>
      <c r="F1660" s="6">
        <f t="shared" ref="F1660" si="3668">-(D1658^2)</f>
        <v>-3.7358700567866143</v>
      </c>
      <c r="G1660" s="7">
        <f t="shared" ref="G1660" si="3669">-2*C1658</f>
        <v>2.2510895668861335</v>
      </c>
    </row>
    <row r="1661" spans="1:10" x14ac:dyDescent="0.25">
      <c r="C1661" s="8">
        <f t="shared" ref="C1661" si="3670">-2*F1658*D1658</f>
        <v>2.6091774571648814</v>
      </c>
      <c r="D1661" s="1">
        <f t="shared" ref="D1661" si="3671">2-2*F1658*C1658+4*G1658</f>
        <v>0</v>
      </c>
      <c r="E1661" s="1">
        <f>0</f>
        <v>0</v>
      </c>
      <c r="F1661" s="1">
        <f t="shared" ref="F1661" si="3672">-2*C1658*D1658</f>
        <v>4.3509957203971439</v>
      </c>
      <c r="G1661" s="9">
        <f t="shared" ref="G1661" si="3673">4*D1658</f>
        <v>7.7313595769816468</v>
      </c>
    </row>
    <row r="1662" spans="1:10" x14ac:dyDescent="0.25">
      <c r="B1662" t="s">
        <v>20</v>
      </c>
      <c r="C1662" s="8">
        <f>0</f>
        <v>0</v>
      </c>
      <c r="D1662" s="1">
        <f>0</f>
        <v>0</v>
      </c>
      <c r="E1662" s="1">
        <f>4</f>
        <v>4</v>
      </c>
      <c r="F1662" s="1">
        <f>2</f>
        <v>2</v>
      </c>
      <c r="G1662" s="9">
        <f>2</f>
        <v>2</v>
      </c>
    </row>
    <row r="1663" spans="1:10" x14ac:dyDescent="0.25">
      <c r="C1663" s="8">
        <f t="shared" ref="C1663" si="3674">(D1658^2)</f>
        <v>3.7358700567866143</v>
      </c>
      <c r="D1663" s="1">
        <f t="shared" ref="D1663" si="3675">2*C1658*D1658</f>
        <v>-4.3509957203971439</v>
      </c>
      <c r="E1663" s="1">
        <f t="shared" ref="E1663:E1664" si="3676">-2</f>
        <v>-2</v>
      </c>
      <c r="F1663" s="1">
        <f>0</f>
        <v>0</v>
      </c>
      <c r="G1663" s="9">
        <f>0</f>
        <v>0</v>
      </c>
    </row>
    <row r="1664" spans="1:10" x14ac:dyDescent="0.25">
      <c r="C1664" s="10">
        <f t="shared" ref="C1664" si="3677">2*C1658</f>
        <v>-2.2510895668861335</v>
      </c>
      <c r="D1664" s="11">
        <f t="shared" ref="D1664" si="3678">-4*D1658</f>
        <v>-7.7313595769816468</v>
      </c>
      <c r="E1664" s="11">
        <f t="shared" si="3676"/>
        <v>-2</v>
      </c>
      <c r="F1664" s="11">
        <f>0</f>
        <v>0</v>
      </c>
      <c r="G1664" s="12">
        <f>0</f>
        <v>0</v>
      </c>
    </row>
    <row r="1665" spans="1:10" x14ac:dyDescent="0.25">
      <c r="B1665" t="s">
        <v>21</v>
      </c>
      <c r="C1665" s="1" cm="1">
        <f t="array" ref="C1665:G1665">-MMULT(C1659:G1659,C1660:G1664)</f>
        <v>-1.367979668476271E-15</v>
      </c>
      <c r="D1665" s="1">
        <v>-1.5932228885525532E-15</v>
      </c>
      <c r="E1665" s="1">
        <v>0</v>
      </c>
      <c r="F1665" s="1">
        <v>2.2812069247287048E-15</v>
      </c>
      <c r="G1665" s="1">
        <v>-1.3745663072077511E-15</v>
      </c>
    </row>
    <row r="1666" spans="1:10" x14ac:dyDescent="0.25">
      <c r="B1666" t="s">
        <v>13</v>
      </c>
      <c r="C1666" s="1">
        <f t="shared" ref="C1666" si="3679">J1659/SUMPRODUCT(_xlfn.ANCHORARRAY(C1665),_xlfn.ANCHORARRAY(C1665))</f>
        <v>1.6206986294211755E-2</v>
      </c>
    </row>
    <row r="1667" spans="1:10" x14ac:dyDescent="0.25">
      <c r="A1667" s="1" t="s">
        <v>4</v>
      </c>
      <c r="B1667" t="s">
        <v>18</v>
      </c>
      <c r="C1667" s="1" cm="1">
        <f t="array" ref="C1667:G1667">C1658:G1658+C1666*C1665:G1665</f>
        <v>-1.1255447834430667</v>
      </c>
      <c r="D1667" s="1">
        <v>1.9328398942454117</v>
      </c>
      <c r="E1667" s="1">
        <v>0.39755547298133398</v>
      </c>
      <c r="F1667" s="1">
        <v>-0.67495954138082259</v>
      </c>
      <c r="G1667" s="1">
        <v>-0.12015140458184531</v>
      </c>
    </row>
    <row r="1668" spans="1:10" x14ac:dyDescent="0.25">
      <c r="A1668" s="1">
        <v>186</v>
      </c>
      <c r="B1668" t="s">
        <v>19</v>
      </c>
      <c r="C1668" s="1">
        <f t="shared" ref="C1668" si="3680">2*C1667-F1667*(D1667^2)-2*G1667*C1667</f>
        <v>5.5511151231257827E-16</v>
      </c>
      <c r="D1668" s="1">
        <f t="shared" ref="D1668" si="3681">2*D1667-2*F1667*C1667*D1667+4*G1667*D1667</f>
        <v>0</v>
      </c>
      <c r="E1668" s="1">
        <f t="shared" ref="E1668" si="3682">4*E1667+2*F1667+2*G1667</f>
        <v>0</v>
      </c>
      <c r="F1668" s="1">
        <f t="shared" ref="F1668" si="3683">C1667*(D1667^2)-2*E1667+5</f>
        <v>0</v>
      </c>
      <c r="G1668" s="1">
        <f t="shared" ref="G1668" si="3684">C1667^2-2*(D1667^2)-2*E1667+7</f>
        <v>0</v>
      </c>
      <c r="J1668" s="1">
        <f t="shared" ref="J1668" si="3685">0.5*(C1668*C1668+D1668*D1668+E1668*E1668+F1668*F1668+G1668*G1668)</f>
        <v>1.5407439555097887E-31</v>
      </c>
    </row>
    <row r="1669" spans="1:10" x14ac:dyDescent="0.25">
      <c r="C1669" s="5">
        <f t="shared" ref="C1669" si="3686">2-2*G1667</f>
        <v>2.2403028091636905</v>
      </c>
      <c r="D1669" s="6">
        <f t="shared" ref="D1669" si="3687">-2*F1667*D1667</f>
        <v>2.6091774571648814</v>
      </c>
      <c r="E1669" s="6">
        <f>0</f>
        <v>0</v>
      </c>
      <c r="F1669" s="6">
        <f t="shared" ref="F1669" si="3688">-(D1667^2)</f>
        <v>-3.7358700567866143</v>
      </c>
      <c r="G1669" s="7">
        <f t="shared" ref="G1669" si="3689">-2*C1667</f>
        <v>2.2510895668861335</v>
      </c>
    </row>
    <row r="1670" spans="1:10" x14ac:dyDescent="0.25">
      <c r="C1670" s="8">
        <f t="shared" ref="C1670" si="3690">-2*F1667*D1667</f>
        <v>2.6091774571648814</v>
      </c>
      <c r="D1670" s="1">
        <f t="shared" ref="D1670" si="3691">2-2*F1667*C1667+4*G1667</f>
        <v>-4.4408920985006262E-16</v>
      </c>
      <c r="E1670" s="1">
        <f>0</f>
        <v>0</v>
      </c>
      <c r="F1670" s="1">
        <f t="shared" ref="F1670" si="3692">-2*C1667*D1667</f>
        <v>4.3509957203971439</v>
      </c>
      <c r="G1670" s="9">
        <f t="shared" ref="G1670" si="3693">4*D1667</f>
        <v>7.7313595769816468</v>
      </c>
    </row>
    <row r="1671" spans="1:10" x14ac:dyDescent="0.25">
      <c r="B1671" t="s">
        <v>20</v>
      </c>
      <c r="C1671" s="8">
        <f>0</f>
        <v>0</v>
      </c>
      <c r="D1671" s="1">
        <f>0</f>
        <v>0</v>
      </c>
      <c r="E1671" s="1">
        <f>4</f>
        <v>4</v>
      </c>
      <c r="F1671" s="1">
        <f>2</f>
        <v>2</v>
      </c>
      <c r="G1671" s="9">
        <f>2</f>
        <v>2</v>
      </c>
    </row>
    <row r="1672" spans="1:10" x14ac:dyDescent="0.25">
      <c r="C1672" s="8">
        <f t="shared" ref="C1672" si="3694">(D1667^2)</f>
        <v>3.7358700567866143</v>
      </c>
      <c r="D1672" s="1">
        <f t="shared" ref="D1672" si="3695">2*C1667*D1667</f>
        <v>-4.3509957203971439</v>
      </c>
      <c r="E1672" s="1">
        <f t="shared" ref="E1672:E1673" si="3696">-2</f>
        <v>-2</v>
      </c>
      <c r="F1672" s="1">
        <f>0</f>
        <v>0</v>
      </c>
      <c r="G1672" s="9">
        <f>0</f>
        <v>0</v>
      </c>
    </row>
    <row r="1673" spans="1:10" x14ac:dyDescent="0.25">
      <c r="C1673" s="10">
        <f t="shared" ref="C1673" si="3697">2*C1667</f>
        <v>-2.2510895668861335</v>
      </c>
      <c r="D1673" s="11">
        <f t="shared" ref="D1673" si="3698">-4*D1667</f>
        <v>-7.7313595769816468</v>
      </c>
      <c r="E1673" s="11">
        <f t="shared" si="3696"/>
        <v>-2</v>
      </c>
      <c r="F1673" s="11">
        <f>0</f>
        <v>0</v>
      </c>
      <c r="G1673" s="12">
        <f>0</f>
        <v>0</v>
      </c>
    </row>
    <row r="1674" spans="1:10" x14ac:dyDescent="0.25">
      <c r="B1674" t="s">
        <v>21</v>
      </c>
      <c r="C1674" s="1" cm="1">
        <f t="array" ref="C1674:G1674">-MMULT(C1668:G1668,C1669:G1673)</f>
        <v>-1.2436178804329737E-15</v>
      </c>
      <c r="D1674" s="1">
        <v>-1.4483844441386847E-15</v>
      </c>
      <c r="E1674" s="1">
        <v>0</v>
      </c>
      <c r="F1674" s="1">
        <v>2.0738244770260952E-15</v>
      </c>
      <c r="G1674" s="1">
        <v>-1.2496057338252283E-15</v>
      </c>
    </row>
    <row r="1675" spans="1:10" x14ac:dyDescent="0.25">
      <c r="B1675" t="s">
        <v>13</v>
      </c>
      <c r="C1675" s="1">
        <f t="shared" ref="C1675" si="3699">J1668/SUMPRODUCT(_xlfn.ANCHORARRAY(C1674),_xlfn.ANCHORARRAY(C1674))</f>
        <v>1.6206986294211755E-2</v>
      </c>
    </row>
    <row r="1676" spans="1:10" x14ac:dyDescent="0.25">
      <c r="A1676" s="1" t="s">
        <v>4</v>
      </c>
      <c r="B1676" t="s">
        <v>18</v>
      </c>
      <c r="C1676" s="1" cm="1">
        <f t="array" ref="C1676:G1676">C1667:G1667+C1675*C1674:G1674</f>
        <v>-1.1255447834430667</v>
      </c>
      <c r="D1676" s="1">
        <v>1.9328398942454117</v>
      </c>
      <c r="E1676" s="1">
        <v>0.39755547298133398</v>
      </c>
      <c r="F1676" s="1">
        <v>-0.67495954138082259</v>
      </c>
      <c r="G1676" s="1">
        <v>-0.12015140458184533</v>
      </c>
    </row>
    <row r="1677" spans="1:10" x14ac:dyDescent="0.25">
      <c r="A1677" s="1">
        <v>187</v>
      </c>
      <c r="B1677" t="s">
        <v>19</v>
      </c>
      <c r="C1677" s="1">
        <f t="shared" ref="C1677" si="3700">2*C1676-F1676*(D1676^2)-2*G1676*C1676</f>
        <v>5.5511151231257827E-16</v>
      </c>
      <c r="D1677" s="1">
        <f t="shared" ref="D1677" si="3701">2*D1676-2*F1676*C1676*D1676+4*G1676*D1676</f>
        <v>-8.8817841970012523E-16</v>
      </c>
      <c r="E1677" s="1">
        <f t="shared" ref="E1677" si="3702">4*E1676+2*F1676+2*G1676</f>
        <v>0</v>
      </c>
      <c r="F1677" s="1">
        <f t="shared" ref="F1677" si="3703">C1676*(D1676^2)-2*E1676+5</f>
        <v>0</v>
      </c>
      <c r="G1677" s="1">
        <f t="shared" ref="G1677" si="3704">C1676^2-2*(D1676^2)-2*E1676+7</f>
        <v>0</v>
      </c>
      <c r="J1677" s="1">
        <f t="shared" ref="J1677" si="3705">0.5*(C1677*C1677+D1677*D1677+E1677*E1677+F1677*F1677+G1677*G1677)</f>
        <v>5.4850484816148477E-31</v>
      </c>
    </row>
    <row r="1678" spans="1:10" x14ac:dyDescent="0.25">
      <c r="C1678" s="5">
        <f t="shared" ref="C1678" si="3706">2-2*G1676</f>
        <v>2.2403028091636905</v>
      </c>
      <c r="D1678" s="6">
        <f t="shared" ref="D1678" si="3707">-2*F1676*D1676</f>
        <v>2.6091774571648814</v>
      </c>
      <c r="E1678" s="6">
        <f>0</f>
        <v>0</v>
      </c>
      <c r="F1678" s="6">
        <f t="shared" ref="F1678" si="3708">-(D1676^2)</f>
        <v>-3.7358700567866143</v>
      </c>
      <c r="G1678" s="7">
        <f t="shared" ref="G1678" si="3709">-2*C1676</f>
        <v>2.2510895668861335</v>
      </c>
    </row>
    <row r="1679" spans="1:10" x14ac:dyDescent="0.25">
      <c r="C1679" s="8">
        <f t="shared" ref="C1679" si="3710">-2*F1676*D1676</f>
        <v>2.6091774571648814</v>
      </c>
      <c r="D1679" s="1">
        <f t="shared" ref="D1679" si="3711">2-2*F1676*C1676+4*G1676</f>
        <v>-4.9960036108132044E-16</v>
      </c>
      <c r="E1679" s="1">
        <f>0</f>
        <v>0</v>
      </c>
      <c r="F1679" s="1">
        <f t="shared" ref="F1679" si="3712">-2*C1676*D1676</f>
        <v>4.3509957203971439</v>
      </c>
      <c r="G1679" s="9">
        <f t="shared" ref="G1679" si="3713">4*D1676</f>
        <v>7.7313595769816468</v>
      </c>
    </row>
    <row r="1680" spans="1:10" x14ac:dyDescent="0.25">
      <c r="B1680" t="s">
        <v>20</v>
      </c>
      <c r="C1680" s="8">
        <f>0</f>
        <v>0</v>
      </c>
      <c r="D1680" s="1">
        <f>0</f>
        <v>0</v>
      </c>
      <c r="E1680" s="1">
        <f>4</f>
        <v>4</v>
      </c>
      <c r="F1680" s="1">
        <f>2</f>
        <v>2</v>
      </c>
      <c r="G1680" s="9">
        <f>2</f>
        <v>2</v>
      </c>
    </row>
    <row r="1681" spans="1:10" x14ac:dyDescent="0.25">
      <c r="C1681" s="8">
        <f t="shared" ref="C1681" si="3714">(D1676^2)</f>
        <v>3.7358700567866143</v>
      </c>
      <c r="D1681" s="1">
        <f t="shared" ref="D1681" si="3715">2*C1676*D1676</f>
        <v>-4.3509957203971439</v>
      </c>
      <c r="E1681" s="1">
        <f t="shared" ref="E1681:E1682" si="3716">-2</f>
        <v>-2</v>
      </c>
      <c r="F1681" s="1">
        <f>0</f>
        <v>0</v>
      </c>
      <c r="G1681" s="9">
        <f>0</f>
        <v>0</v>
      </c>
    </row>
    <row r="1682" spans="1:10" x14ac:dyDescent="0.25">
      <c r="C1682" s="10">
        <f t="shared" ref="C1682" si="3717">2*C1676</f>
        <v>-2.2510895668861335</v>
      </c>
      <c r="D1682" s="11">
        <f t="shared" ref="D1682" si="3718">-4*D1676</f>
        <v>-7.7313595769816468</v>
      </c>
      <c r="E1682" s="11">
        <f t="shared" si="3716"/>
        <v>-2</v>
      </c>
      <c r="F1682" s="11">
        <f>0</f>
        <v>0</v>
      </c>
      <c r="G1682" s="12">
        <f>0</f>
        <v>0</v>
      </c>
    </row>
    <row r="1683" spans="1:10" x14ac:dyDescent="0.25">
      <c r="B1683" t="s">
        <v>21</v>
      </c>
      <c r="C1683" s="1" cm="1">
        <f t="array" ref="C1683:G1683">-MMULT(C1677:G1677,C1678:G1682)</f>
        <v>1.0737972301889219E-15</v>
      </c>
      <c r="D1683" s="1">
        <v>-1.448384444138685E-15</v>
      </c>
      <c r="E1683" s="1">
        <v>0</v>
      </c>
      <c r="F1683" s="1">
        <v>5.9382849800904388E-15</v>
      </c>
      <c r="G1683" s="1">
        <v>5.6172209973917592E-15</v>
      </c>
    </row>
    <row r="1684" spans="1:10" x14ac:dyDescent="0.25">
      <c r="B1684" t="s">
        <v>13</v>
      </c>
      <c r="C1684" s="1">
        <f t="shared" ref="C1684" si="3719">J1677/SUMPRODUCT(_xlfn.ANCHORARRAY(C1683),_xlfn.ANCHORARRAY(C1683))</f>
        <v>7.828261901978455E-3</v>
      </c>
    </row>
    <row r="1685" spans="1:10" x14ac:dyDescent="0.25">
      <c r="A1685" s="1" t="s">
        <v>4</v>
      </c>
      <c r="B1685" t="s">
        <v>18</v>
      </c>
      <c r="C1685" s="1" cm="1">
        <f t="array" ref="C1685:G1685">C1676:G1676+C1684*C1683:G1683</f>
        <v>-1.1255447834430667</v>
      </c>
      <c r="D1685" s="1">
        <v>1.9328398942454117</v>
      </c>
      <c r="E1685" s="1">
        <v>0.39755547298133398</v>
      </c>
      <c r="F1685" s="1">
        <v>-0.67495954138082259</v>
      </c>
      <c r="G1685" s="1">
        <v>-0.12015140458184528</v>
      </c>
    </row>
    <row r="1686" spans="1:10" x14ac:dyDescent="0.25">
      <c r="A1686" s="1">
        <v>188</v>
      </c>
      <c r="B1686" t="s">
        <v>19</v>
      </c>
      <c r="C1686" s="1">
        <f t="shared" ref="C1686" si="3720">2*C1685-F1685*(D1685^2)-2*G1685*C1685</f>
        <v>6.106226635438361E-16</v>
      </c>
      <c r="D1686" s="1">
        <f t="shared" ref="D1686" si="3721">2*D1685-2*F1685*C1685*D1685+4*G1685*D1685</f>
        <v>0</v>
      </c>
      <c r="E1686" s="1">
        <f t="shared" ref="E1686" si="3722">4*E1685+2*F1685+2*G1685</f>
        <v>0</v>
      </c>
      <c r="F1686" s="1">
        <f t="shared" ref="F1686" si="3723">C1685*(D1685^2)-2*E1685+5</f>
        <v>0</v>
      </c>
      <c r="G1686" s="1">
        <f t="shared" ref="G1686" si="3724">C1685^2-2*(D1685^2)-2*E1685+7</f>
        <v>0</v>
      </c>
      <c r="J1686" s="1">
        <f t="shared" ref="J1686" si="3725">0.5*(C1686*C1686+D1686*D1686+E1686*E1686+F1686*F1686+G1686*G1686)</f>
        <v>1.8643001861668443E-31</v>
      </c>
    </row>
    <row r="1687" spans="1:10" x14ac:dyDescent="0.25">
      <c r="C1687" s="5">
        <f t="shared" ref="C1687" si="3726">2-2*G1685</f>
        <v>2.2403028091636905</v>
      </c>
      <c r="D1687" s="6">
        <f t="shared" ref="D1687" si="3727">-2*F1685*D1685</f>
        <v>2.6091774571648814</v>
      </c>
      <c r="E1687" s="6">
        <f>0</f>
        <v>0</v>
      </c>
      <c r="F1687" s="6">
        <f t="shared" ref="F1687" si="3728">-(D1685^2)</f>
        <v>-3.7358700567866143</v>
      </c>
      <c r="G1687" s="7">
        <f t="shared" ref="G1687" si="3729">-2*C1685</f>
        <v>2.2510895668861335</v>
      </c>
    </row>
    <row r="1688" spans="1:10" x14ac:dyDescent="0.25">
      <c r="C1688" s="8">
        <f t="shared" ref="C1688" si="3730">-2*F1685*D1685</f>
        <v>2.6091774571648814</v>
      </c>
      <c r="D1688" s="1">
        <f t="shared" ref="D1688" si="3731">2-2*F1685*C1685+4*G1685</f>
        <v>0</v>
      </c>
      <c r="E1688" s="1">
        <f>0</f>
        <v>0</v>
      </c>
      <c r="F1688" s="1">
        <f t="shared" ref="F1688" si="3732">-2*C1685*D1685</f>
        <v>4.3509957203971439</v>
      </c>
      <c r="G1688" s="9">
        <f t="shared" ref="G1688" si="3733">4*D1685</f>
        <v>7.7313595769816468</v>
      </c>
    </row>
    <row r="1689" spans="1:10" x14ac:dyDescent="0.25">
      <c r="B1689" t="s">
        <v>20</v>
      </c>
      <c r="C1689" s="8">
        <f>0</f>
        <v>0</v>
      </c>
      <c r="D1689" s="1">
        <f>0</f>
        <v>0</v>
      </c>
      <c r="E1689" s="1">
        <f>4</f>
        <v>4</v>
      </c>
      <c r="F1689" s="1">
        <f>2</f>
        <v>2</v>
      </c>
      <c r="G1689" s="9">
        <f>2</f>
        <v>2</v>
      </c>
    </row>
    <row r="1690" spans="1:10" x14ac:dyDescent="0.25">
      <c r="C1690" s="8">
        <f t="shared" ref="C1690" si="3734">(D1685^2)</f>
        <v>3.7358700567866143</v>
      </c>
      <c r="D1690" s="1">
        <f t="shared" ref="D1690" si="3735">2*C1685*D1685</f>
        <v>-4.3509957203971439</v>
      </c>
      <c r="E1690" s="1">
        <f t="shared" ref="E1690:E1691" si="3736">-2</f>
        <v>-2</v>
      </c>
      <c r="F1690" s="1">
        <f>0</f>
        <v>0</v>
      </c>
      <c r="G1690" s="9">
        <f>0</f>
        <v>0</v>
      </c>
    </row>
    <row r="1691" spans="1:10" x14ac:dyDescent="0.25">
      <c r="C1691" s="10">
        <f t="shared" ref="C1691" si="3737">2*C1685</f>
        <v>-2.2510895668861335</v>
      </c>
      <c r="D1691" s="11">
        <f t="shared" ref="D1691" si="3738">-4*D1685</f>
        <v>-7.7313595769816468</v>
      </c>
      <c r="E1691" s="11">
        <f t="shared" si="3736"/>
        <v>-2</v>
      </c>
      <c r="F1691" s="11">
        <f>0</f>
        <v>0</v>
      </c>
      <c r="G1691" s="12">
        <f>0</f>
        <v>0</v>
      </c>
    </row>
    <row r="1692" spans="1:10" x14ac:dyDescent="0.25">
      <c r="B1692" t="s">
        <v>21</v>
      </c>
      <c r="C1692" s="1" cm="1">
        <f t="array" ref="C1692:G1692">-MMULT(C1686:G1686,C1687:G1691)</f>
        <v>-1.367979668476271E-15</v>
      </c>
      <c r="D1692" s="1">
        <v>-1.5932228885525532E-15</v>
      </c>
      <c r="E1692" s="1">
        <v>0</v>
      </c>
      <c r="F1692" s="1">
        <v>2.2812069247287048E-15</v>
      </c>
      <c r="G1692" s="1">
        <v>-1.3745663072077511E-15</v>
      </c>
    </row>
    <row r="1693" spans="1:10" x14ac:dyDescent="0.25">
      <c r="B1693" t="s">
        <v>13</v>
      </c>
      <c r="C1693" s="1">
        <f t="shared" ref="C1693" si="3739">J1686/SUMPRODUCT(_xlfn.ANCHORARRAY(C1692),_xlfn.ANCHORARRAY(C1692))</f>
        <v>1.6206986294211755E-2</v>
      </c>
    </row>
    <row r="1694" spans="1:10" x14ac:dyDescent="0.25">
      <c r="A1694" s="1" t="s">
        <v>4</v>
      </c>
      <c r="B1694" t="s">
        <v>18</v>
      </c>
      <c r="C1694" s="1" cm="1">
        <f t="array" ref="C1694:G1694">C1685:G1685+C1693*C1692:G1692</f>
        <v>-1.1255447834430667</v>
      </c>
      <c r="D1694" s="1">
        <v>1.9328398942454117</v>
      </c>
      <c r="E1694" s="1">
        <v>0.39755547298133398</v>
      </c>
      <c r="F1694" s="1">
        <v>-0.67495954138082259</v>
      </c>
      <c r="G1694" s="1">
        <v>-0.12015140458184531</v>
      </c>
    </row>
    <row r="1695" spans="1:10" x14ac:dyDescent="0.25">
      <c r="A1695" s="1">
        <v>189</v>
      </c>
      <c r="B1695" t="s">
        <v>19</v>
      </c>
      <c r="C1695" s="1">
        <f t="shared" ref="C1695" si="3740">2*C1694-F1694*(D1694^2)-2*G1694*C1694</f>
        <v>5.5511151231257827E-16</v>
      </c>
      <c r="D1695" s="1">
        <f t="shared" ref="D1695" si="3741">2*D1694-2*F1694*C1694*D1694+4*G1694*D1694</f>
        <v>0</v>
      </c>
      <c r="E1695" s="1">
        <f t="shared" ref="E1695" si="3742">4*E1694+2*F1694+2*G1694</f>
        <v>0</v>
      </c>
      <c r="F1695" s="1">
        <f t="shared" ref="F1695" si="3743">C1694*(D1694^2)-2*E1694+5</f>
        <v>0</v>
      </c>
      <c r="G1695" s="1">
        <f t="shared" ref="G1695" si="3744">C1694^2-2*(D1694^2)-2*E1694+7</f>
        <v>0</v>
      </c>
      <c r="J1695" s="1">
        <f t="shared" ref="J1695" si="3745">0.5*(C1695*C1695+D1695*D1695+E1695*E1695+F1695*F1695+G1695*G1695)</f>
        <v>1.5407439555097887E-31</v>
      </c>
    </row>
    <row r="1696" spans="1:10" x14ac:dyDescent="0.25">
      <c r="C1696" s="5">
        <f t="shared" ref="C1696" si="3746">2-2*G1694</f>
        <v>2.2403028091636905</v>
      </c>
      <c r="D1696" s="6">
        <f t="shared" ref="D1696" si="3747">-2*F1694*D1694</f>
        <v>2.6091774571648814</v>
      </c>
      <c r="E1696" s="6">
        <f>0</f>
        <v>0</v>
      </c>
      <c r="F1696" s="6">
        <f t="shared" ref="F1696" si="3748">-(D1694^2)</f>
        <v>-3.7358700567866143</v>
      </c>
      <c r="G1696" s="7">
        <f t="shared" ref="G1696" si="3749">-2*C1694</f>
        <v>2.2510895668861335</v>
      </c>
    </row>
    <row r="1697" spans="1:10" x14ac:dyDescent="0.25">
      <c r="C1697" s="8">
        <f t="shared" ref="C1697" si="3750">-2*F1694*D1694</f>
        <v>2.6091774571648814</v>
      </c>
      <c r="D1697" s="1">
        <f t="shared" ref="D1697" si="3751">2-2*F1694*C1694+4*G1694</f>
        <v>-4.4408920985006262E-16</v>
      </c>
      <c r="E1697" s="1">
        <f>0</f>
        <v>0</v>
      </c>
      <c r="F1697" s="1">
        <f t="shared" ref="F1697" si="3752">-2*C1694*D1694</f>
        <v>4.3509957203971439</v>
      </c>
      <c r="G1697" s="9">
        <f t="shared" ref="G1697" si="3753">4*D1694</f>
        <v>7.7313595769816468</v>
      </c>
    </row>
    <row r="1698" spans="1:10" x14ac:dyDescent="0.25">
      <c r="B1698" t="s">
        <v>20</v>
      </c>
      <c r="C1698" s="8">
        <f>0</f>
        <v>0</v>
      </c>
      <c r="D1698" s="1">
        <f>0</f>
        <v>0</v>
      </c>
      <c r="E1698" s="1">
        <f>4</f>
        <v>4</v>
      </c>
      <c r="F1698" s="1">
        <f>2</f>
        <v>2</v>
      </c>
      <c r="G1698" s="9">
        <f>2</f>
        <v>2</v>
      </c>
    </row>
    <row r="1699" spans="1:10" x14ac:dyDescent="0.25">
      <c r="C1699" s="8">
        <f t="shared" ref="C1699" si="3754">(D1694^2)</f>
        <v>3.7358700567866143</v>
      </c>
      <c r="D1699" s="1">
        <f t="shared" ref="D1699" si="3755">2*C1694*D1694</f>
        <v>-4.3509957203971439</v>
      </c>
      <c r="E1699" s="1">
        <f t="shared" ref="E1699:E1700" si="3756">-2</f>
        <v>-2</v>
      </c>
      <c r="F1699" s="1">
        <f>0</f>
        <v>0</v>
      </c>
      <c r="G1699" s="9">
        <f>0</f>
        <v>0</v>
      </c>
    </row>
    <row r="1700" spans="1:10" x14ac:dyDescent="0.25">
      <c r="C1700" s="10">
        <f t="shared" ref="C1700" si="3757">2*C1694</f>
        <v>-2.2510895668861335</v>
      </c>
      <c r="D1700" s="11">
        <f t="shared" ref="D1700" si="3758">-4*D1694</f>
        <v>-7.7313595769816468</v>
      </c>
      <c r="E1700" s="11">
        <f t="shared" si="3756"/>
        <v>-2</v>
      </c>
      <c r="F1700" s="11">
        <f>0</f>
        <v>0</v>
      </c>
      <c r="G1700" s="12">
        <f>0</f>
        <v>0</v>
      </c>
    </row>
    <row r="1701" spans="1:10" x14ac:dyDescent="0.25">
      <c r="B1701" t="s">
        <v>21</v>
      </c>
      <c r="C1701" s="1" cm="1">
        <f t="array" ref="C1701:G1701">-MMULT(C1695:G1695,C1696:G1700)</f>
        <v>-1.2436178804329737E-15</v>
      </c>
      <c r="D1701" s="1">
        <v>-1.4483844441386847E-15</v>
      </c>
      <c r="E1701" s="1">
        <v>0</v>
      </c>
      <c r="F1701" s="1">
        <v>2.0738244770260952E-15</v>
      </c>
      <c r="G1701" s="1">
        <v>-1.2496057338252283E-15</v>
      </c>
    </row>
    <row r="1702" spans="1:10" x14ac:dyDescent="0.25">
      <c r="B1702" t="s">
        <v>13</v>
      </c>
      <c r="C1702" s="1">
        <f t="shared" ref="C1702" si="3759">J1695/SUMPRODUCT(_xlfn.ANCHORARRAY(C1701),_xlfn.ANCHORARRAY(C1701))</f>
        <v>1.6206986294211755E-2</v>
      </c>
    </row>
    <row r="1703" spans="1:10" x14ac:dyDescent="0.25">
      <c r="A1703" s="1" t="s">
        <v>4</v>
      </c>
      <c r="B1703" t="s">
        <v>18</v>
      </c>
      <c r="C1703" s="1" cm="1">
        <f t="array" ref="C1703:G1703">C1694:G1694+C1702*C1701:G1701</f>
        <v>-1.1255447834430667</v>
      </c>
      <c r="D1703" s="1">
        <v>1.9328398942454117</v>
      </c>
      <c r="E1703" s="1">
        <v>0.39755547298133398</v>
      </c>
      <c r="F1703" s="1">
        <v>-0.67495954138082259</v>
      </c>
      <c r="G1703" s="1">
        <v>-0.12015140458184533</v>
      </c>
    </row>
    <row r="1704" spans="1:10" x14ac:dyDescent="0.25">
      <c r="A1704" s="1">
        <v>190</v>
      </c>
      <c r="B1704" t="s">
        <v>19</v>
      </c>
      <c r="C1704" s="1">
        <f t="shared" ref="C1704" si="3760">2*C1703-F1703*(D1703^2)-2*G1703*C1703</f>
        <v>5.5511151231257827E-16</v>
      </c>
      <c r="D1704" s="1">
        <f t="shared" ref="D1704" si="3761">2*D1703-2*F1703*C1703*D1703+4*G1703*D1703</f>
        <v>-8.8817841970012523E-16</v>
      </c>
      <c r="E1704" s="1">
        <f t="shared" ref="E1704" si="3762">4*E1703+2*F1703+2*G1703</f>
        <v>0</v>
      </c>
      <c r="F1704" s="1">
        <f t="shared" ref="F1704" si="3763">C1703*(D1703^2)-2*E1703+5</f>
        <v>0</v>
      </c>
      <c r="G1704" s="1">
        <f t="shared" ref="G1704" si="3764">C1703^2-2*(D1703^2)-2*E1703+7</f>
        <v>0</v>
      </c>
      <c r="J1704" s="1">
        <f t="shared" ref="J1704" si="3765">0.5*(C1704*C1704+D1704*D1704+E1704*E1704+F1704*F1704+G1704*G1704)</f>
        <v>5.4850484816148477E-31</v>
      </c>
    </row>
    <row r="1705" spans="1:10" x14ac:dyDescent="0.25">
      <c r="C1705" s="5">
        <f t="shared" ref="C1705" si="3766">2-2*G1703</f>
        <v>2.2403028091636905</v>
      </c>
      <c r="D1705" s="6">
        <f t="shared" ref="D1705" si="3767">-2*F1703*D1703</f>
        <v>2.6091774571648814</v>
      </c>
      <c r="E1705" s="6">
        <f>0</f>
        <v>0</v>
      </c>
      <c r="F1705" s="6">
        <f t="shared" ref="F1705" si="3768">-(D1703^2)</f>
        <v>-3.7358700567866143</v>
      </c>
      <c r="G1705" s="7">
        <f t="shared" ref="G1705" si="3769">-2*C1703</f>
        <v>2.2510895668861335</v>
      </c>
    </row>
    <row r="1706" spans="1:10" x14ac:dyDescent="0.25">
      <c r="C1706" s="8">
        <f t="shared" ref="C1706" si="3770">-2*F1703*D1703</f>
        <v>2.6091774571648814</v>
      </c>
      <c r="D1706" s="1">
        <f t="shared" ref="D1706" si="3771">2-2*F1703*C1703+4*G1703</f>
        <v>-4.9960036108132044E-16</v>
      </c>
      <c r="E1706" s="1">
        <f>0</f>
        <v>0</v>
      </c>
      <c r="F1706" s="1">
        <f t="shared" ref="F1706" si="3772">-2*C1703*D1703</f>
        <v>4.3509957203971439</v>
      </c>
      <c r="G1706" s="9">
        <f t="shared" ref="G1706" si="3773">4*D1703</f>
        <v>7.7313595769816468</v>
      </c>
    </row>
    <row r="1707" spans="1:10" x14ac:dyDescent="0.25">
      <c r="B1707" t="s">
        <v>20</v>
      </c>
      <c r="C1707" s="8">
        <f>0</f>
        <v>0</v>
      </c>
      <c r="D1707" s="1">
        <f>0</f>
        <v>0</v>
      </c>
      <c r="E1707" s="1">
        <f>4</f>
        <v>4</v>
      </c>
      <c r="F1707" s="1">
        <f>2</f>
        <v>2</v>
      </c>
      <c r="G1707" s="9">
        <f>2</f>
        <v>2</v>
      </c>
    </row>
    <row r="1708" spans="1:10" x14ac:dyDescent="0.25">
      <c r="C1708" s="8">
        <f t="shared" ref="C1708" si="3774">(D1703^2)</f>
        <v>3.7358700567866143</v>
      </c>
      <c r="D1708" s="1">
        <f t="shared" ref="D1708" si="3775">2*C1703*D1703</f>
        <v>-4.3509957203971439</v>
      </c>
      <c r="E1708" s="1">
        <f t="shared" ref="E1708:E1709" si="3776">-2</f>
        <v>-2</v>
      </c>
      <c r="F1708" s="1">
        <f>0</f>
        <v>0</v>
      </c>
      <c r="G1708" s="9">
        <f>0</f>
        <v>0</v>
      </c>
    </row>
    <row r="1709" spans="1:10" x14ac:dyDescent="0.25">
      <c r="C1709" s="10">
        <f t="shared" ref="C1709" si="3777">2*C1703</f>
        <v>-2.2510895668861335</v>
      </c>
      <c r="D1709" s="11">
        <f t="shared" ref="D1709" si="3778">-4*D1703</f>
        <v>-7.7313595769816468</v>
      </c>
      <c r="E1709" s="11">
        <f t="shared" si="3776"/>
        <v>-2</v>
      </c>
      <c r="F1709" s="11">
        <f>0</f>
        <v>0</v>
      </c>
      <c r="G1709" s="12">
        <f>0</f>
        <v>0</v>
      </c>
    </row>
    <row r="1710" spans="1:10" x14ac:dyDescent="0.25">
      <c r="B1710" t="s">
        <v>21</v>
      </c>
      <c r="C1710" s="1" cm="1">
        <f t="array" ref="C1710:G1710">-MMULT(C1704:G1704,C1705:G1709)</f>
        <v>1.0737972301889219E-15</v>
      </c>
      <c r="D1710" s="1">
        <v>-1.448384444138685E-15</v>
      </c>
      <c r="E1710" s="1">
        <v>0</v>
      </c>
      <c r="F1710" s="1">
        <v>5.9382849800904388E-15</v>
      </c>
      <c r="G1710" s="1">
        <v>5.6172209973917592E-15</v>
      </c>
    </row>
    <row r="1711" spans="1:10" x14ac:dyDescent="0.25">
      <c r="B1711" t="s">
        <v>13</v>
      </c>
      <c r="C1711" s="1">
        <f t="shared" ref="C1711" si="3779">J1704/SUMPRODUCT(_xlfn.ANCHORARRAY(C1710),_xlfn.ANCHORARRAY(C1710))</f>
        <v>7.828261901978455E-3</v>
      </c>
    </row>
    <row r="1712" spans="1:10" x14ac:dyDescent="0.25">
      <c r="A1712" s="1" t="s">
        <v>4</v>
      </c>
      <c r="B1712" t="s">
        <v>18</v>
      </c>
      <c r="C1712" s="1" cm="1">
        <f t="array" ref="C1712:G1712">C1703:G1703+C1711*C1710:G1710</f>
        <v>-1.1255447834430667</v>
      </c>
      <c r="D1712" s="1">
        <v>1.9328398942454117</v>
      </c>
      <c r="E1712" s="1">
        <v>0.39755547298133398</v>
      </c>
      <c r="F1712" s="1">
        <v>-0.67495954138082259</v>
      </c>
      <c r="G1712" s="1">
        <v>-0.12015140458184528</v>
      </c>
    </row>
    <row r="1713" spans="1:10" x14ac:dyDescent="0.25">
      <c r="A1713" s="1">
        <v>191</v>
      </c>
      <c r="B1713" t="s">
        <v>19</v>
      </c>
      <c r="C1713" s="1">
        <f t="shared" ref="C1713" si="3780">2*C1712-F1712*(D1712^2)-2*G1712*C1712</f>
        <v>6.106226635438361E-16</v>
      </c>
      <c r="D1713" s="1">
        <f t="shared" ref="D1713" si="3781">2*D1712-2*F1712*C1712*D1712+4*G1712*D1712</f>
        <v>0</v>
      </c>
      <c r="E1713" s="1">
        <f t="shared" ref="E1713" si="3782">4*E1712+2*F1712+2*G1712</f>
        <v>0</v>
      </c>
      <c r="F1713" s="1">
        <f t="shared" ref="F1713" si="3783">C1712*(D1712^2)-2*E1712+5</f>
        <v>0</v>
      </c>
      <c r="G1713" s="1">
        <f t="shared" ref="G1713" si="3784">C1712^2-2*(D1712^2)-2*E1712+7</f>
        <v>0</v>
      </c>
      <c r="J1713" s="1">
        <f t="shared" ref="J1713" si="3785">0.5*(C1713*C1713+D1713*D1713+E1713*E1713+F1713*F1713+G1713*G1713)</f>
        <v>1.8643001861668443E-31</v>
      </c>
    </row>
    <row r="1714" spans="1:10" x14ac:dyDescent="0.25">
      <c r="C1714" s="5">
        <f t="shared" ref="C1714" si="3786">2-2*G1712</f>
        <v>2.2403028091636905</v>
      </c>
      <c r="D1714" s="6">
        <f t="shared" ref="D1714" si="3787">-2*F1712*D1712</f>
        <v>2.6091774571648814</v>
      </c>
      <c r="E1714" s="6">
        <f>0</f>
        <v>0</v>
      </c>
      <c r="F1714" s="6">
        <f t="shared" ref="F1714" si="3788">-(D1712^2)</f>
        <v>-3.7358700567866143</v>
      </c>
      <c r="G1714" s="7">
        <f t="shared" ref="G1714" si="3789">-2*C1712</f>
        <v>2.2510895668861335</v>
      </c>
    </row>
    <row r="1715" spans="1:10" x14ac:dyDescent="0.25">
      <c r="C1715" s="8">
        <f t="shared" ref="C1715" si="3790">-2*F1712*D1712</f>
        <v>2.6091774571648814</v>
      </c>
      <c r="D1715" s="1">
        <f t="shared" ref="D1715" si="3791">2-2*F1712*C1712+4*G1712</f>
        <v>0</v>
      </c>
      <c r="E1715" s="1">
        <f>0</f>
        <v>0</v>
      </c>
      <c r="F1715" s="1">
        <f t="shared" ref="F1715" si="3792">-2*C1712*D1712</f>
        <v>4.3509957203971439</v>
      </c>
      <c r="G1715" s="9">
        <f t="shared" ref="G1715" si="3793">4*D1712</f>
        <v>7.7313595769816468</v>
      </c>
    </row>
    <row r="1716" spans="1:10" x14ac:dyDescent="0.25">
      <c r="B1716" t="s">
        <v>20</v>
      </c>
      <c r="C1716" s="8">
        <f>0</f>
        <v>0</v>
      </c>
      <c r="D1716" s="1">
        <f>0</f>
        <v>0</v>
      </c>
      <c r="E1716" s="1">
        <f>4</f>
        <v>4</v>
      </c>
      <c r="F1716" s="1">
        <f>2</f>
        <v>2</v>
      </c>
      <c r="G1716" s="9">
        <f>2</f>
        <v>2</v>
      </c>
    </row>
    <row r="1717" spans="1:10" x14ac:dyDescent="0.25">
      <c r="C1717" s="8">
        <f t="shared" ref="C1717" si="3794">(D1712^2)</f>
        <v>3.7358700567866143</v>
      </c>
      <c r="D1717" s="1">
        <f t="shared" ref="D1717" si="3795">2*C1712*D1712</f>
        <v>-4.3509957203971439</v>
      </c>
      <c r="E1717" s="1">
        <f t="shared" ref="E1717:E1718" si="3796">-2</f>
        <v>-2</v>
      </c>
      <c r="F1717" s="1">
        <f>0</f>
        <v>0</v>
      </c>
      <c r="G1717" s="9">
        <f>0</f>
        <v>0</v>
      </c>
    </row>
    <row r="1718" spans="1:10" x14ac:dyDescent="0.25">
      <c r="C1718" s="10">
        <f t="shared" ref="C1718" si="3797">2*C1712</f>
        <v>-2.2510895668861335</v>
      </c>
      <c r="D1718" s="11">
        <f t="shared" ref="D1718" si="3798">-4*D1712</f>
        <v>-7.7313595769816468</v>
      </c>
      <c r="E1718" s="11">
        <f t="shared" si="3796"/>
        <v>-2</v>
      </c>
      <c r="F1718" s="11">
        <f>0</f>
        <v>0</v>
      </c>
      <c r="G1718" s="12">
        <f>0</f>
        <v>0</v>
      </c>
    </row>
    <row r="1719" spans="1:10" x14ac:dyDescent="0.25">
      <c r="B1719" t="s">
        <v>21</v>
      </c>
      <c r="C1719" s="1" cm="1">
        <f t="array" ref="C1719:G1719">-MMULT(C1713:G1713,C1714:G1718)</f>
        <v>-1.367979668476271E-15</v>
      </c>
      <c r="D1719" s="1">
        <v>-1.5932228885525532E-15</v>
      </c>
      <c r="E1719" s="1">
        <v>0</v>
      </c>
      <c r="F1719" s="1">
        <v>2.2812069247287048E-15</v>
      </c>
      <c r="G1719" s="1">
        <v>-1.3745663072077511E-15</v>
      </c>
    </row>
    <row r="1720" spans="1:10" x14ac:dyDescent="0.25">
      <c r="B1720" t="s">
        <v>13</v>
      </c>
      <c r="C1720" s="1">
        <f t="shared" ref="C1720" si="3799">J1713/SUMPRODUCT(_xlfn.ANCHORARRAY(C1719),_xlfn.ANCHORARRAY(C1719))</f>
        <v>1.6206986294211755E-2</v>
      </c>
    </row>
    <row r="1721" spans="1:10" x14ac:dyDescent="0.25">
      <c r="A1721" s="1" t="s">
        <v>4</v>
      </c>
      <c r="B1721" t="s">
        <v>18</v>
      </c>
      <c r="C1721" s="1" cm="1">
        <f t="array" ref="C1721:G1721">C1712:G1712+C1720*C1719:G1719</f>
        <v>-1.1255447834430667</v>
      </c>
      <c r="D1721" s="1">
        <v>1.9328398942454117</v>
      </c>
      <c r="E1721" s="1">
        <v>0.39755547298133398</v>
      </c>
      <c r="F1721" s="1">
        <v>-0.67495954138082259</v>
      </c>
      <c r="G1721" s="1">
        <v>-0.12015140458184531</v>
      </c>
    </row>
    <row r="1722" spans="1:10" x14ac:dyDescent="0.25">
      <c r="A1722" s="1">
        <v>192</v>
      </c>
      <c r="B1722" t="s">
        <v>19</v>
      </c>
      <c r="C1722" s="1">
        <f t="shared" ref="C1722" si="3800">2*C1721-F1721*(D1721^2)-2*G1721*C1721</f>
        <v>5.5511151231257827E-16</v>
      </c>
      <c r="D1722" s="1">
        <f t="shared" ref="D1722" si="3801">2*D1721-2*F1721*C1721*D1721+4*G1721*D1721</f>
        <v>0</v>
      </c>
      <c r="E1722" s="1">
        <f t="shared" ref="E1722" si="3802">4*E1721+2*F1721+2*G1721</f>
        <v>0</v>
      </c>
      <c r="F1722" s="1">
        <f t="shared" ref="F1722" si="3803">C1721*(D1721^2)-2*E1721+5</f>
        <v>0</v>
      </c>
      <c r="G1722" s="1">
        <f t="shared" ref="G1722" si="3804">C1721^2-2*(D1721^2)-2*E1721+7</f>
        <v>0</v>
      </c>
      <c r="J1722" s="1">
        <f t="shared" ref="J1722" si="3805">0.5*(C1722*C1722+D1722*D1722+E1722*E1722+F1722*F1722+G1722*G1722)</f>
        <v>1.5407439555097887E-31</v>
      </c>
    </row>
    <row r="1723" spans="1:10" x14ac:dyDescent="0.25">
      <c r="C1723" s="5">
        <f t="shared" ref="C1723" si="3806">2-2*G1721</f>
        <v>2.2403028091636905</v>
      </c>
      <c r="D1723" s="6">
        <f t="shared" ref="D1723" si="3807">-2*F1721*D1721</f>
        <v>2.6091774571648814</v>
      </c>
      <c r="E1723" s="6">
        <f>0</f>
        <v>0</v>
      </c>
      <c r="F1723" s="6">
        <f t="shared" ref="F1723" si="3808">-(D1721^2)</f>
        <v>-3.7358700567866143</v>
      </c>
      <c r="G1723" s="7">
        <f t="shared" ref="G1723" si="3809">-2*C1721</f>
        <v>2.2510895668861335</v>
      </c>
    </row>
    <row r="1724" spans="1:10" x14ac:dyDescent="0.25">
      <c r="C1724" s="8">
        <f t="shared" ref="C1724" si="3810">-2*F1721*D1721</f>
        <v>2.6091774571648814</v>
      </c>
      <c r="D1724" s="1">
        <f t="shared" ref="D1724" si="3811">2-2*F1721*C1721+4*G1721</f>
        <v>-4.4408920985006262E-16</v>
      </c>
      <c r="E1724" s="1">
        <f>0</f>
        <v>0</v>
      </c>
      <c r="F1724" s="1">
        <f t="shared" ref="F1724" si="3812">-2*C1721*D1721</f>
        <v>4.3509957203971439</v>
      </c>
      <c r="G1724" s="9">
        <f t="shared" ref="G1724" si="3813">4*D1721</f>
        <v>7.7313595769816468</v>
      </c>
    </row>
    <row r="1725" spans="1:10" x14ac:dyDescent="0.25">
      <c r="B1725" t="s">
        <v>20</v>
      </c>
      <c r="C1725" s="8">
        <f>0</f>
        <v>0</v>
      </c>
      <c r="D1725" s="1">
        <f>0</f>
        <v>0</v>
      </c>
      <c r="E1725" s="1">
        <f>4</f>
        <v>4</v>
      </c>
      <c r="F1725" s="1">
        <f>2</f>
        <v>2</v>
      </c>
      <c r="G1725" s="9">
        <f>2</f>
        <v>2</v>
      </c>
    </row>
    <row r="1726" spans="1:10" x14ac:dyDescent="0.25">
      <c r="C1726" s="8">
        <f t="shared" ref="C1726" si="3814">(D1721^2)</f>
        <v>3.7358700567866143</v>
      </c>
      <c r="D1726" s="1">
        <f t="shared" ref="D1726" si="3815">2*C1721*D1721</f>
        <v>-4.3509957203971439</v>
      </c>
      <c r="E1726" s="1">
        <f t="shared" ref="E1726:E1727" si="3816">-2</f>
        <v>-2</v>
      </c>
      <c r="F1726" s="1">
        <f>0</f>
        <v>0</v>
      </c>
      <c r="G1726" s="9">
        <f>0</f>
        <v>0</v>
      </c>
    </row>
    <row r="1727" spans="1:10" x14ac:dyDescent="0.25">
      <c r="C1727" s="10">
        <f t="shared" ref="C1727" si="3817">2*C1721</f>
        <v>-2.2510895668861335</v>
      </c>
      <c r="D1727" s="11">
        <f t="shared" ref="D1727" si="3818">-4*D1721</f>
        <v>-7.7313595769816468</v>
      </c>
      <c r="E1727" s="11">
        <f t="shared" si="3816"/>
        <v>-2</v>
      </c>
      <c r="F1727" s="11">
        <f>0</f>
        <v>0</v>
      </c>
      <c r="G1727" s="12">
        <f>0</f>
        <v>0</v>
      </c>
    </row>
    <row r="1728" spans="1:10" x14ac:dyDescent="0.25">
      <c r="B1728" t="s">
        <v>21</v>
      </c>
      <c r="C1728" s="1" cm="1">
        <f t="array" ref="C1728:G1728">-MMULT(C1722:G1722,C1723:G1727)</f>
        <v>-1.2436178804329737E-15</v>
      </c>
      <c r="D1728" s="1">
        <v>-1.4483844441386847E-15</v>
      </c>
      <c r="E1728" s="1">
        <v>0</v>
      </c>
      <c r="F1728" s="1">
        <v>2.0738244770260952E-15</v>
      </c>
      <c r="G1728" s="1">
        <v>-1.2496057338252283E-15</v>
      </c>
    </row>
    <row r="1729" spans="1:10" x14ac:dyDescent="0.25">
      <c r="B1729" t="s">
        <v>13</v>
      </c>
      <c r="C1729" s="1">
        <f t="shared" ref="C1729" si="3819">J1722/SUMPRODUCT(_xlfn.ANCHORARRAY(C1728),_xlfn.ANCHORARRAY(C1728))</f>
        <v>1.6206986294211755E-2</v>
      </c>
    </row>
    <row r="1730" spans="1:10" x14ac:dyDescent="0.25">
      <c r="A1730" s="1" t="s">
        <v>4</v>
      </c>
      <c r="B1730" t="s">
        <v>18</v>
      </c>
      <c r="C1730" s="1" cm="1">
        <f t="array" ref="C1730:G1730">C1721:G1721+C1729*C1728:G1728</f>
        <v>-1.1255447834430667</v>
      </c>
      <c r="D1730" s="1">
        <v>1.9328398942454117</v>
      </c>
      <c r="E1730" s="1">
        <v>0.39755547298133398</v>
      </c>
      <c r="F1730" s="1">
        <v>-0.67495954138082259</v>
      </c>
      <c r="G1730" s="1">
        <v>-0.12015140458184533</v>
      </c>
    </row>
    <row r="1731" spans="1:10" x14ac:dyDescent="0.25">
      <c r="A1731" s="1">
        <v>193</v>
      </c>
      <c r="B1731" t="s">
        <v>19</v>
      </c>
      <c r="C1731" s="1">
        <f t="shared" ref="C1731" si="3820">2*C1730-F1730*(D1730^2)-2*G1730*C1730</f>
        <v>5.5511151231257827E-16</v>
      </c>
      <c r="D1731" s="1">
        <f t="shared" ref="D1731" si="3821">2*D1730-2*F1730*C1730*D1730+4*G1730*D1730</f>
        <v>-8.8817841970012523E-16</v>
      </c>
      <c r="E1731" s="1">
        <f t="shared" ref="E1731" si="3822">4*E1730+2*F1730+2*G1730</f>
        <v>0</v>
      </c>
      <c r="F1731" s="1">
        <f t="shared" ref="F1731" si="3823">C1730*(D1730^2)-2*E1730+5</f>
        <v>0</v>
      </c>
      <c r="G1731" s="1">
        <f t="shared" ref="G1731" si="3824">C1730^2-2*(D1730^2)-2*E1730+7</f>
        <v>0</v>
      </c>
      <c r="J1731" s="1">
        <f t="shared" ref="J1731" si="3825">0.5*(C1731*C1731+D1731*D1731+E1731*E1731+F1731*F1731+G1731*G1731)</f>
        <v>5.4850484816148477E-31</v>
      </c>
    </row>
    <row r="1732" spans="1:10" x14ac:dyDescent="0.25">
      <c r="C1732" s="5">
        <f t="shared" ref="C1732" si="3826">2-2*G1730</f>
        <v>2.2403028091636905</v>
      </c>
      <c r="D1732" s="6">
        <f t="shared" ref="D1732" si="3827">-2*F1730*D1730</f>
        <v>2.6091774571648814</v>
      </c>
      <c r="E1732" s="6">
        <f>0</f>
        <v>0</v>
      </c>
      <c r="F1732" s="6">
        <f t="shared" ref="F1732" si="3828">-(D1730^2)</f>
        <v>-3.7358700567866143</v>
      </c>
      <c r="G1732" s="7">
        <f t="shared" ref="G1732" si="3829">-2*C1730</f>
        <v>2.2510895668861335</v>
      </c>
    </row>
    <row r="1733" spans="1:10" x14ac:dyDescent="0.25">
      <c r="C1733" s="8">
        <f t="shared" ref="C1733" si="3830">-2*F1730*D1730</f>
        <v>2.6091774571648814</v>
      </c>
      <c r="D1733" s="1">
        <f t="shared" ref="D1733" si="3831">2-2*F1730*C1730+4*G1730</f>
        <v>-4.9960036108132044E-16</v>
      </c>
      <c r="E1733" s="1">
        <f>0</f>
        <v>0</v>
      </c>
      <c r="F1733" s="1">
        <f t="shared" ref="F1733" si="3832">-2*C1730*D1730</f>
        <v>4.3509957203971439</v>
      </c>
      <c r="G1733" s="9">
        <f t="shared" ref="G1733" si="3833">4*D1730</f>
        <v>7.7313595769816468</v>
      </c>
    </row>
    <row r="1734" spans="1:10" x14ac:dyDescent="0.25">
      <c r="B1734" t="s">
        <v>20</v>
      </c>
      <c r="C1734" s="8">
        <f>0</f>
        <v>0</v>
      </c>
      <c r="D1734" s="1">
        <f>0</f>
        <v>0</v>
      </c>
      <c r="E1734" s="1">
        <f>4</f>
        <v>4</v>
      </c>
      <c r="F1734" s="1">
        <f>2</f>
        <v>2</v>
      </c>
      <c r="G1734" s="9">
        <f>2</f>
        <v>2</v>
      </c>
    </row>
    <row r="1735" spans="1:10" x14ac:dyDescent="0.25">
      <c r="C1735" s="8">
        <f t="shared" ref="C1735" si="3834">(D1730^2)</f>
        <v>3.7358700567866143</v>
      </c>
      <c r="D1735" s="1">
        <f t="shared" ref="D1735" si="3835">2*C1730*D1730</f>
        <v>-4.3509957203971439</v>
      </c>
      <c r="E1735" s="1">
        <f t="shared" ref="E1735:E1736" si="3836">-2</f>
        <v>-2</v>
      </c>
      <c r="F1735" s="1">
        <f>0</f>
        <v>0</v>
      </c>
      <c r="G1735" s="9">
        <f>0</f>
        <v>0</v>
      </c>
    </row>
    <row r="1736" spans="1:10" x14ac:dyDescent="0.25">
      <c r="C1736" s="10">
        <f t="shared" ref="C1736" si="3837">2*C1730</f>
        <v>-2.2510895668861335</v>
      </c>
      <c r="D1736" s="11">
        <f t="shared" ref="D1736" si="3838">-4*D1730</f>
        <v>-7.7313595769816468</v>
      </c>
      <c r="E1736" s="11">
        <f t="shared" si="3836"/>
        <v>-2</v>
      </c>
      <c r="F1736" s="11">
        <f>0</f>
        <v>0</v>
      </c>
      <c r="G1736" s="12">
        <f>0</f>
        <v>0</v>
      </c>
    </row>
    <row r="1737" spans="1:10" x14ac:dyDescent="0.25">
      <c r="B1737" t="s">
        <v>21</v>
      </c>
      <c r="C1737" s="1" cm="1">
        <f t="array" ref="C1737:G1737">-MMULT(C1731:G1731,C1732:G1736)</f>
        <v>1.0737972301889219E-15</v>
      </c>
      <c r="D1737" s="1">
        <v>-1.448384444138685E-15</v>
      </c>
      <c r="E1737" s="1">
        <v>0</v>
      </c>
      <c r="F1737" s="1">
        <v>5.9382849800904388E-15</v>
      </c>
      <c r="G1737" s="1">
        <v>5.6172209973917592E-15</v>
      </c>
    </row>
    <row r="1738" spans="1:10" x14ac:dyDescent="0.25">
      <c r="B1738" t="s">
        <v>13</v>
      </c>
      <c r="C1738" s="1">
        <f t="shared" ref="C1738" si="3839">J1731/SUMPRODUCT(_xlfn.ANCHORARRAY(C1737),_xlfn.ANCHORARRAY(C1737))</f>
        <v>7.828261901978455E-3</v>
      </c>
    </row>
    <row r="1739" spans="1:10" x14ac:dyDescent="0.25">
      <c r="A1739" s="1" t="s">
        <v>4</v>
      </c>
      <c r="B1739" t="s">
        <v>18</v>
      </c>
      <c r="C1739" s="1" cm="1">
        <f t="array" ref="C1739:G1739">C1730:G1730+C1738*C1737:G1737</f>
        <v>-1.1255447834430667</v>
      </c>
      <c r="D1739" s="1">
        <v>1.9328398942454117</v>
      </c>
      <c r="E1739" s="1">
        <v>0.39755547298133398</v>
      </c>
      <c r="F1739" s="1">
        <v>-0.67495954138082259</v>
      </c>
      <c r="G1739" s="1">
        <v>-0.12015140458184528</v>
      </c>
    </row>
    <row r="1740" spans="1:10" x14ac:dyDescent="0.25">
      <c r="A1740" s="1">
        <v>194</v>
      </c>
      <c r="B1740" t="s">
        <v>19</v>
      </c>
      <c r="C1740" s="1">
        <f t="shared" ref="C1740" si="3840">2*C1739-F1739*(D1739^2)-2*G1739*C1739</f>
        <v>6.106226635438361E-16</v>
      </c>
      <c r="D1740" s="1">
        <f t="shared" ref="D1740" si="3841">2*D1739-2*F1739*C1739*D1739+4*G1739*D1739</f>
        <v>0</v>
      </c>
      <c r="E1740" s="1">
        <f t="shared" ref="E1740" si="3842">4*E1739+2*F1739+2*G1739</f>
        <v>0</v>
      </c>
      <c r="F1740" s="1">
        <f t="shared" ref="F1740" si="3843">C1739*(D1739^2)-2*E1739+5</f>
        <v>0</v>
      </c>
      <c r="G1740" s="1">
        <f t="shared" ref="G1740" si="3844">C1739^2-2*(D1739^2)-2*E1739+7</f>
        <v>0</v>
      </c>
      <c r="J1740" s="1">
        <f t="shared" ref="J1740" si="3845">0.5*(C1740*C1740+D1740*D1740+E1740*E1740+F1740*F1740+G1740*G1740)</f>
        <v>1.8643001861668443E-31</v>
      </c>
    </row>
    <row r="1741" spans="1:10" x14ac:dyDescent="0.25">
      <c r="C1741" s="5">
        <f t="shared" ref="C1741" si="3846">2-2*G1739</f>
        <v>2.2403028091636905</v>
      </c>
      <c r="D1741" s="6">
        <f t="shared" ref="D1741" si="3847">-2*F1739*D1739</f>
        <v>2.6091774571648814</v>
      </c>
      <c r="E1741" s="6">
        <f>0</f>
        <v>0</v>
      </c>
      <c r="F1741" s="6">
        <f t="shared" ref="F1741" si="3848">-(D1739^2)</f>
        <v>-3.7358700567866143</v>
      </c>
      <c r="G1741" s="7">
        <f t="shared" ref="G1741" si="3849">-2*C1739</f>
        <v>2.2510895668861335</v>
      </c>
    </row>
    <row r="1742" spans="1:10" x14ac:dyDescent="0.25">
      <c r="C1742" s="8">
        <f t="shared" ref="C1742" si="3850">-2*F1739*D1739</f>
        <v>2.6091774571648814</v>
      </c>
      <c r="D1742" s="1">
        <f t="shared" ref="D1742" si="3851">2-2*F1739*C1739+4*G1739</f>
        <v>0</v>
      </c>
      <c r="E1742" s="1">
        <f>0</f>
        <v>0</v>
      </c>
      <c r="F1742" s="1">
        <f t="shared" ref="F1742" si="3852">-2*C1739*D1739</f>
        <v>4.3509957203971439</v>
      </c>
      <c r="G1742" s="9">
        <f t="shared" ref="G1742" si="3853">4*D1739</f>
        <v>7.7313595769816468</v>
      </c>
    </row>
    <row r="1743" spans="1:10" x14ac:dyDescent="0.25">
      <c r="B1743" t="s">
        <v>20</v>
      </c>
      <c r="C1743" s="8">
        <f>0</f>
        <v>0</v>
      </c>
      <c r="D1743" s="1">
        <f>0</f>
        <v>0</v>
      </c>
      <c r="E1743" s="1">
        <f>4</f>
        <v>4</v>
      </c>
      <c r="F1743" s="1">
        <f>2</f>
        <v>2</v>
      </c>
      <c r="G1743" s="9">
        <f>2</f>
        <v>2</v>
      </c>
    </row>
    <row r="1744" spans="1:10" x14ac:dyDescent="0.25">
      <c r="C1744" s="8">
        <f t="shared" ref="C1744" si="3854">(D1739^2)</f>
        <v>3.7358700567866143</v>
      </c>
      <c r="D1744" s="1">
        <f t="shared" ref="D1744" si="3855">2*C1739*D1739</f>
        <v>-4.3509957203971439</v>
      </c>
      <c r="E1744" s="1">
        <f t="shared" ref="E1744:E1745" si="3856">-2</f>
        <v>-2</v>
      </c>
      <c r="F1744" s="1">
        <f>0</f>
        <v>0</v>
      </c>
      <c r="G1744" s="9">
        <f>0</f>
        <v>0</v>
      </c>
    </row>
    <row r="1745" spans="1:10" x14ac:dyDescent="0.25">
      <c r="C1745" s="10">
        <f t="shared" ref="C1745" si="3857">2*C1739</f>
        <v>-2.2510895668861335</v>
      </c>
      <c r="D1745" s="11">
        <f t="shared" ref="D1745" si="3858">-4*D1739</f>
        <v>-7.7313595769816468</v>
      </c>
      <c r="E1745" s="11">
        <f t="shared" si="3856"/>
        <v>-2</v>
      </c>
      <c r="F1745" s="11">
        <f>0</f>
        <v>0</v>
      </c>
      <c r="G1745" s="12">
        <f>0</f>
        <v>0</v>
      </c>
    </row>
    <row r="1746" spans="1:10" x14ac:dyDescent="0.25">
      <c r="B1746" t="s">
        <v>21</v>
      </c>
      <c r="C1746" s="1" cm="1">
        <f t="array" ref="C1746:G1746">-MMULT(C1740:G1740,C1741:G1745)</f>
        <v>-1.367979668476271E-15</v>
      </c>
      <c r="D1746" s="1">
        <v>-1.5932228885525532E-15</v>
      </c>
      <c r="E1746" s="1">
        <v>0</v>
      </c>
      <c r="F1746" s="1">
        <v>2.2812069247287048E-15</v>
      </c>
      <c r="G1746" s="1">
        <v>-1.3745663072077511E-15</v>
      </c>
    </row>
    <row r="1747" spans="1:10" x14ac:dyDescent="0.25">
      <c r="B1747" t="s">
        <v>13</v>
      </c>
      <c r="C1747" s="1">
        <f t="shared" ref="C1747" si="3859">J1740/SUMPRODUCT(_xlfn.ANCHORARRAY(C1746),_xlfn.ANCHORARRAY(C1746))</f>
        <v>1.6206986294211755E-2</v>
      </c>
    </row>
    <row r="1748" spans="1:10" x14ac:dyDescent="0.25">
      <c r="A1748" s="1" t="s">
        <v>4</v>
      </c>
      <c r="B1748" t="s">
        <v>18</v>
      </c>
      <c r="C1748" s="1" cm="1">
        <f t="array" ref="C1748:G1748">C1739:G1739+C1747*C1746:G1746</f>
        <v>-1.1255447834430667</v>
      </c>
      <c r="D1748" s="1">
        <v>1.9328398942454117</v>
      </c>
      <c r="E1748" s="1">
        <v>0.39755547298133398</v>
      </c>
      <c r="F1748" s="1">
        <v>-0.67495954138082259</v>
      </c>
      <c r="G1748" s="1">
        <v>-0.12015140458184531</v>
      </c>
    </row>
    <row r="1749" spans="1:10" x14ac:dyDescent="0.25">
      <c r="A1749" s="1">
        <v>195</v>
      </c>
      <c r="B1749" t="s">
        <v>19</v>
      </c>
      <c r="C1749" s="1">
        <f t="shared" ref="C1749" si="3860">2*C1748-F1748*(D1748^2)-2*G1748*C1748</f>
        <v>5.5511151231257827E-16</v>
      </c>
      <c r="D1749" s="1">
        <f t="shared" ref="D1749" si="3861">2*D1748-2*F1748*C1748*D1748+4*G1748*D1748</f>
        <v>0</v>
      </c>
      <c r="E1749" s="1">
        <f t="shared" ref="E1749" si="3862">4*E1748+2*F1748+2*G1748</f>
        <v>0</v>
      </c>
      <c r="F1749" s="1">
        <f t="shared" ref="F1749" si="3863">C1748*(D1748^2)-2*E1748+5</f>
        <v>0</v>
      </c>
      <c r="G1749" s="1">
        <f t="shared" ref="G1749" si="3864">C1748^2-2*(D1748^2)-2*E1748+7</f>
        <v>0</v>
      </c>
      <c r="J1749" s="1">
        <f t="shared" ref="J1749" si="3865">0.5*(C1749*C1749+D1749*D1749+E1749*E1749+F1749*F1749+G1749*G1749)</f>
        <v>1.5407439555097887E-31</v>
      </c>
    </row>
    <row r="1750" spans="1:10" x14ac:dyDescent="0.25">
      <c r="C1750" s="5">
        <f t="shared" ref="C1750" si="3866">2-2*G1748</f>
        <v>2.2403028091636905</v>
      </c>
      <c r="D1750" s="6">
        <f t="shared" ref="D1750" si="3867">-2*F1748*D1748</f>
        <v>2.6091774571648814</v>
      </c>
      <c r="E1750" s="6">
        <f>0</f>
        <v>0</v>
      </c>
      <c r="F1750" s="6">
        <f t="shared" ref="F1750" si="3868">-(D1748^2)</f>
        <v>-3.7358700567866143</v>
      </c>
      <c r="G1750" s="7">
        <f t="shared" ref="G1750" si="3869">-2*C1748</f>
        <v>2.2510895668861335</v>
      </c>
    </row>
    <row r="1751" spans="1:10" x14ac:dyDescent="0.25">
      <c r="C1751" s="8">
        <f t="shared" ref="C1751" si="3870">-2*F1748*D1748</f>
        <v>2.6091774571648814</v>
      </c>
      <c r="D1751" s="1">
        <f t="shared" ref="D1751" si="3871">2-2*F1748*C1748+4*G1748</f>
        <v>-4.4408920985006262E-16</v>
      </c>
      <c r="E1751" s="1">
        <f>0</f>
        <v>0</v>
      </c>
      <c r="F1751" s="1">
        <f t="shared" ref="F1751" si="3872">-2*C1748*D1748</f>
        <v>4.3509957203971439</v>
      </c>
      <c r="G1751" s="9">
        <f t="shared" ref="G1751" si="3873">4*D1748</f>
        <v>7.7313595769816468</v>
      </c>
    </row>
    <row r="1752" spans="1:10" x14ac:dyDescent="0.25">
      <c r="B1752" t="s">
        <v>20</v>
      </c>
      <c r="C1752" s="8">
        <f>0</f>
        <v>0</v>
      </c>
      <c r="D1752" s="1">
        <f>0</f>
        <v>0</v>
      </c>
      <c r="E1752" s="1">
        <f>4</f>
        <v>4</v>
      </c>
      <c r="F1752" s="1">
        <f>2</f>
        <v>2</v>
      </c>
      <c r="G1752" s="9">
        <f>2</f>
        <v>2</v>
      </c>
    </row>
    <row r="1753" spans="1:10" x14ac:dyDescent="0.25">
      <c r="C1753" s="8">
        <f t="shared" ref="C1753" si="3874">(D1748^2)</f>
        <v>3.7358700567866143</v>
      </c>
      <c r="D1753" s="1">
        <f t="shared" ref="D1753" si="3875">2*C1748*D1748</f>
        <v>-4.3509957203971439</v>
      </c>
      <c r="E1753" s="1">
        <f t="shared" ref="E1753:E1754" si="3876">-2</f>
        <v>-2</v>
      </c>
      <c r="F1753" s="1">
        <f>0</f>
        <v>0</v>
      </c>
      <c r="G1753" s="9">
        <f>0</f>
        <v>0</v>
      </c>
    </row>
    <row r="1754" spans="1:10" x14ac:dyDescent="0.25">
      <c r="C1754" s="10">
        <f t="shared" ref="C1754" si="3877">2*C1748</f>
        <v>-2.2510895668861335</v>
      </c>
      <c r="D1754" s="11">
        <f t="shared" ref="D1754" si="3878">-4*D1748</f>
        <v>-7.7313595769816468</v>
      </c>
      <c r="E1754" s="11">
        <f t="shared" si="3876"/>
        <v>-2</v>
      </c>
      <c r="F1754" s="11">
        <f>0</f>
        <v>0</v>
      </c>
      <c r="G1754" s="12">
        <f>0</f>
        <v>0</v>
      </c>
    </row>
    <row r="1755" spans="1:10" x14ac:dyDescent="0.25">
      <c r="B1755" t="s">
        <v>21</v>
      </c>
      <c r="C1755" s="1" cm="1">
        <f t="array" ref="C1755:G1755">-MMULT(C1749:G1749,C1750:G1754)</f>
        <v>-1.2436178804329737E-15</v>
      </c>
      <c r="D1755" s="1">
        <v>-1.4483844441386847E-15</v>
      </c>
      <c r="E1755" s="1">
        <v>0</v>
      </c>
      <c r="F1755" s="1">
        <v>2.0738244770260952E-15</v>
      </c>
      <c r="G1755" s="1">
        <v>-1.2496057338252283E-15</v>
      </c>
    </row>
    <row r="1756" spans="1:10" x14ac:dyDescent="0.25">
      <c r="B1756" t="s">
        <v>13</v>
      </c>
      <c r="C1756" s="1">
        <f t="shared" ref="C1756" si="3879">J1749/SUMPRODUCT(_xlfn.ANCHORARRAY(C1755),_xlfn.ANCHORARRAY(C1755))</f>
        <v>1.6206986294211755E-2</v>
      </c>
    </row>
    <row r="1757" spans="1:10" x14ac:dyDescent="0.25">
      <c r="A1757" s="1" t="s">
        <v>4</v>
      </c>
      <c r="B1757" t="s">
        <v>18</v>
      </c>
      <c r="C1757" s="1" cm="1">
        <f t="array" ref="C1757:G1757">C1748:G1748+C1756*C1755:G1755</f>
        <v>-1.1255447834430667</v>
      </c>
      <c r="D1757" s="1">
        <v>1.9328398942454117</v>
      </c>
      <c r="E1757" s="1">
        <v>0.39755547298133398</v>
      </c>
      <c r="F1757" s="1">
        <v>-0.67495954138082259</v>
      </c>
      <c r="G1757" s="1">
        <v>-0.12015140458184533</v>
      </c>
    </row>
    <row r="1758" spans="1:10" x14ac:dyDescent="0.25">
      <c r="A1758" s="1">
        <v>196</v>
      </c>
      <c r="B1758" t="s">
        <v>19</v>
      </c>
      <c r="C1758" s="1">
        <f t="shared" ref="C1758" si="3880">2*C1757-F1757*(D1757^2)-2*G1757*C1757</f>
        <v>5.5511151231257827E-16</v>
      </c>
      <c r="D1758" s="1">
        <f t="shared" ref="D1758" si="3881">2*D1757-2*F1757*C1757*D1757+4*G1757*D1757</f>
        <v>-8.8817841970012523E-16</v>
      </c>
      <c r="E1758" s="1">
        <f t="shared" ref="E1758" si="3882">4*E1757+2*F1757+2*G1757</f>
        <v>0</v>
      </c>
      <c r="F1758" s="1">
        <f t="shared" ref="F1758" si="3883">C1757*(D1757^2)-2*E1757+5</f>
        <v>0</v>
      </c>
      <c r="G1758" s="1">
        <f t="shared" ref="G1758" si="3884">C1757^2-2*(D1757^2)-2*E1757+7</f>
        <v>0</v>
      </c>
      <c r="J1758" s="1">
        <f t="shared" ref="J1758" si="3885">0.5*(C1758*C1758+D1758*D1758+E1758*E1758+F1758*F1758+G1758*G1758)</f>
        <v>5.4850484816148477E-31</v>
      </c>
    </row>
    <row r="1759" spans="1:10" x14ac:dyDescent="0.25">
      <c r="C1759" s="5">
        <f t="shared" ref="C1759" si="3886">2-2*G1757</f>
        <v>2.2403028091636905</v>
      </c>
      <c r="D1759" s="6">
        <f t="shared" ref="D1759" si="3887">-2*F1757*D1757</f>
        <v>2.6091774571648814</v>
      </c>
      <c r="E1759" s="6">
        <f>0</f>
        <v>0</v>
      </c>
      <c r="F1759" s="6">
        <f t="shared" ref="F1759" si="3888">-(D1757^2)</f>
        <v>-3.7358700567866143</v>
      </c>
      <c r="G1759" s="7">
        <f t="shared" ref="G1759" si="3889">-2*C1757</f>
        <v>2.2510895668861335</v>
      </c>
    </row>
    <row r="1760" spans="1:10" x14ac:dyDescent="0.25">
      <c r="C1760" s="8">
        <f t="shared" ref="C1760" si="3890">-2*F1757*D1757</f>
        <v>2.6091774571648814</v>
      </c>
      <c r="D1760" s="1">
        <f t="shared" ref="D1760" si="3891">2-2*F1757*C1757+4*G1757</f>
        <v>-4.9960036108132044E-16</v>
      </c>
      <c r="E1760" s="1">
        <f>0</f>
        <v>0</v>
      </c>
      <c r="F1760" s="1">
        <f t="shared" ref="F1760" si="3892">-2*C1757*D1757</f>
        <v>4.3509957203971439</v>
      </c>
      <c r="G1760" s="9">
        <f t="shared" ref="G1760" si="3893">4*D1757</f>
        <v>7.7313595769816468</v>
      </c>
    </row>
    <row r="1761" spans="1:10" x14ac:dyDescent="0.25">
      <c r="B1761" t="s">
        <v>20</v>
      </c>
      <c r="C1761" s="8">
        <f>0</f>
        <v>0</v>
      </c>
      <c r="D1761" s="1">
        <f>0</f>
        <v>0</v>
      </c>
      <c r="E1761" s="1">
        <f>4</f>
        <v>4</v>
      </c>
      <c r="F1761" s="1">
        <f>2</f>
        <v>2</v>
      </c>
      <c r="G1761" s="9">
        <f>2</f>
        <v>2</v>
      </c>
    </row>
    <row r="1762" spans="1:10" x14ac:dyDescent="0.25">
      <c r="C1762" s="8">
        <f t="shared" ref="C1762" si="3894">(D1757^2)</f>
        <v>3.7358700567866143</v>
      </c>
      <c r="D1762" s="1">
        <f t="shared" ref="D1762" si="3895">2*C1757*D1757</f>
        <v>-4.3509957203971439</v>
      </c>
      <c r="E1762" s="1">
        <f t="shared" ref="E1762:E1763" si="3896">-2</f>
        <v>-2</v>
      </c>
      <c r="F1762" s="1">
        <f>0</f>
        <v>0</v>
      </c>
      <c r="G1762" s="9">
        <f>0</f>
        <v>0</v>
      </c>
    </row>
    <row r="1763" spans="1:10" x14ac:dyDescent="0.25">
      <c r="C1763" s="10">
        <f t="shared" ref="C1763" si="3897">2*C1757</f>
        <v>-2.2510895668861335</v>
      </c>
      <c r="D1763" s="11">
        <f t="shared" ref="D1763" si="3898">-4*D1757</f>
        <v>-7.7313595769816468</v>
      </c>
      <c r="E1763" s="11">
        <f t="shared" si="3896"/>
        <v>-2</v>
      </c>
      <c r="F1763" s="11">
        <f>0</f>
        <v>0</v>
      </c>
      <c r="G1763" s="12">
        <f>0</f>
        <v>0</v>
      </c>
    </row>
    <row r="1764" spans="1:10" x14ac:dyDescent="0.25">
      <c r="B1764" t="s">
        <v>21</v>
      </c>
      <c r="C1764" s="1" cm="1">
        <f t="array" ref="C1764:G1764">-MMULT(C1758:G1758,C1759:G1763)</f>
        <v>1.0737972301889219E-15</v>
      </c>
      <c r="D1764" s="1">
        <v>-1.448384444138685E-15</v>
      </c>
      <c r="E1764" s="1">
        <v>0</v>
      </c>
      <c r="F1764" s="1">
        <v>5.9382849800904388E-15</v>
      </c>
      <c r="G1764" s="1">
        <v>5.6172209973917592E-15</v>
      </c>
    </row>
    <row r="1765" spans="1:10" x14ac:dyDescent="0.25">
      <c r="B1765" t="s">
        <v>13</v>
      </c>
      <c r="C1765" s="1">
        <f t="shared" ref="C1765" si="3899">J1758/SUMPRODUCT(_xlfn.ANCHORARRAY(C1764),_xlfn.ANCHORARRAY(C1764))</f>
        <v>7.828261901978455E-3</v>
      </c>
    </row>
    <row r="1766" spans="1:10" x14ac:dyDescent="0.25">
      <c r="A1766" s="1" t="s">
        <v>4</v>
      </c>
      <c r="B1766" t="s">
        <v>18</v>
      </c>
      <c r="C1766" s="1" cm="1">
        <f t="array" ref="C1766:G1766">C1757:G1757+C1765*C1764:G1764</f>
        <v>-1.1255447834430667</v>
      </c>
      <c r="D1766" s="1">
        <v>1.9328398942454117</v>
      </c>
      <c r="E1766" s="1">
        <v>0.39755547298133398</v>
      </c>
      <c r="F1766" s="1">
        <v>-0.67495954138082259</v>
      </c>
      <c r="G1766" s="1">
        <v>-0.12015140458184528</v>
      </c>
    </row>
    <row r="1767" spans="1:10" x14ac:dyDescent="0.25">
      <c r="A1767" s="1">
        <v>197</v>
      </c>
      <c r="B1767" t="s">
        <v>19</v>
      </c>
      <c r="C1767" s="1">
        <f t="shared" ref="C1767" si="3900">2*C1766-F1766*(D1766^2)-2*G1766*C1766</f>
        <v>6.106226635438361E-16</v>
      </c>
      <c r="D1767" s="1">
        <f t="shared" ref="D1767" si="3901">2*D1766-2*F1766*C1766*D1766+4*G1766*D1766</f>
        <v>0</v>
      </c>
      <c r="E1767" s="1">
        <f t="shared" ref="E1767" si="3902">4*E1766+2*F1766+2*G1766</f>
        <v>0</v>
      </c>
      <c r="F1767" s="1">
        <f t="shared" ref="F1767" si="3903">C1766*(D1766^2)-2*E1766+5</f>
        <v>0</v>
      </c>
      <c r="G1767" s="1">
        <f t="shared" ref="G1767" si="3904">C1766^2-2*(D1766^2)-2*E1766+7</f>
        <v>0</v>
      </c>
      <c r="J1767" s="1">
        <f t="shared" ref="J1767" si="3905">0.5*(C1767*C1767+D1767*D1767+E1767*E1767+F1767*F1767+G1767*G1767)</f>
        <v>1.8643001861668443E-31</v>
      </c>
    </row>
    <row r="1768" spans="1:10" x14ac:dyDescent="0.25">
      <c r="C1768" s="5">
        <f t="shared" ref="C1768" si="3906">2-2*G1766</f>
        <v>2.2403028091636905</v>
      </c>
      <c r="D1768" s="6">
        <f t="shared" ref="D1768" si="3907">-2*F1766*D1766</f>
        <v>2.6091774571648814</v>
      </c>
      <c r="E1768" s="6">
        <f>0</f>
        <v>0</v>
      </c>
      <c r="F1768" s="6">
        <f t="shared" ref="F1768" si="3908">-(D1766^2)</f>
        <v>-3.7358700567866143</v>
      </c>
      <c r="G1768" s="7">
        <f t="shared" ref="G1768" si="3909">-2*C1766</f>
        <v>2.2510895668861335</v>
      </c>
    </row>
    <row r="1769" spans="1:10" x14ac:dyDescent="0.25">
      <c r="C1769" s="8">
        <f t="shared" ref="C1769" si="3910">-2*F1766*D1766</f>
        <v>2.6091774571648814</v>
      </c>
      <c r="D1769" s="1">
        <f t="shared" ref="D1769" si="3911">2-2*F1766*C1766+4*G1766</f>
        <v>0</v>
      </c>
      <c r="E1769" s="1">
        <f>0</f>
        <v>0</v>
      </c>
      <c r="F1769" s="1">
        <f t="shared" ref="F1769" si="3912">-2*C1766*D1766</f>
        <v>4.3509957203971439</v>
      </c>
      <c r="G1769" s="9">
        <f t="shared" ref="G1769" si="3913">4*D1766</f>
        <v>7.7313595769816468</v>
      </c>
    </row>
    <row r="1770" spans="1:10" x14ac:dyDescent="0.25">
      <c r="B1770" t="s">
        <v>20</v>
      </c>
      <c r="C1770" s="8">
        <f>0</f>
        <v>0</v>
      </c>
      <c r="D1770" s="1">
        <f>0</f>
        <v>0</v>
      </c>
      <c r="E1770" s="1">
        <f>4</f>
        <v>4</v>
      </c>
      <c r="F1770" s="1">
        <f>2</f>
        <v>2</v>
      </c>
      <c r="G1770" s="9">
        <f>2</f>
        <v>2</v>
      </c>
    </row>
    <row r="1771" spans="1:10" x14ac:dyDescent="0.25">
      <c r="C1771" s="8">
        <f t="shared" ref="C1771" si="3914">(D1766^2)</f>
        <v>3.7358700567866143</v>
      </c>
      <c r="D1771" s="1">
        <f t="shared" ref="D1771" si="3915">2*C1766*D1766</f>
        <v>-4.3509957203971439</v>
      </c>
      <c r="E1771" s="1">
        <f t="shared" ref="E1771:E1772" si="3916">-2</f>
        <v>-2</v>
      </c>
      <c r="F1771" s="1">
        <f>0</f>
        <v>0</v>
      </c>
      <c r="G1771" s="9">
        <f>0</f>
        <v>0</v>
      </c>
    </row>
    <row r="1772" spans="1:10" x14ac:dyDescent="0.25">
      <c r="C1772" s="10">
        <f t="shared" ref="C1772" si="3917">2*C1766</f>
        <v>-2.2510895668861335</v>
      </c>
      <c r="D1772" s="11">
        <f t="shared" ref="D1772" si="3918">-4*D1766</f>
        <v>-7.7313595769816468</v>
      </c>
      <c r="E1772" s="11">
        <f t="shared" si="3916"/>
        <v>-2</v>
      </c>
      <c r="F1772" s="11">
        <f>0</f>
        <v>0</v>
      </c>
      <c r="G1772" s="12">
        <f>0</f>
        <v>0</v>
      </c>
    </row>
    <row r="1773" spans="1:10" x14ac:dyDescent="0.25">
      <c r="B1773" t="s">
        <v>21</v>
      </c>
      <c r="C1773" s="1" cm="1">
        <f t="array" ref="C1773:G1773">-MMULT(C1767:G1767,C1768:G1772)</f>
        <v>-1.367979668476271E-15</v>
      </c>
      <c r="D1773" s="1">
        <v>-1.5932228885525532E-15</v>
      </c>
      <c r="E1773" s="1">
        <v>0</v>
      </c>
      <c r="F1773" s="1">
        <v>2.2812069247287048E-15</v>
      </c>
      <c r="G1773" s="1">
        <v>-1.3745663072077511E-15</v>
      </c>
    </row>
    <row r="1774" spans="1:10" x14ac:dyDescent="0.25">
      <c r="B1774" t="s">
        <v>13</v>
      </c>
      <c r="C1774" s="1">
        <f t="shared" ref="C1774" si="3919">J1767/SUMPRODUCT(_xlfn.ANCHORARRAY(C1773),_xlfn.ANCHORARRAY(C1773))</f>
        <v>1.6206986294211755E-2</v>
      </c>
    </row>
    <row r="1775" spans="1:10" x14ac:dyDescent="0.25">
      <c r="A1775" s="1" t="s">
        <v>4</v>
      </c>
      <c r="B1775" t="s">
        <v>18</v>
      </c>
      <c r="C1775" s="1" cm="1">
        <f t="array" ref="C1775:G1775">C1766:G1766+C1774*C1773:G1773</f>
        <v>-1.1255447834430667</v>
      </c>
      <c r="D1775" s="1">
        <v>1.9328398942454117</v>
      </c>
      <c r="E1775" s="1">
        <v>0.39755547298133398</v>
      </c>
      <c r="F1775" s="1">
        <v>-0.67495954138082259</v>
      </c>
      <c r="G1775" s="1">
        <v>-0.12015140458184531</v>
      </c>
    </row>
    <row r="1776" spans="1:10" x14ac:dyDescent="0.25">
      <c r="A1776" s="1">
        <v>198</v>
      </c>
      <c r="B1776" t="s">
        <v>19</v>
      </c>
      <c r="C1776" s="1">
        <f t="shared" ref="C1776" si="3920">2*C1775-F1775*(D1775^2)-2*G1775*C1775</f>
        <v>5.5511151231257827E-16</v>
      </c>
      <c r="D1776" s="1">
        <f t="shared" ref="D1776" si="3921">2*D1775-2*F1775*C1775*D1775+4*G1775*D1775</f>
        <v>0</v>
      </c>
      <c r="E1776" s="1">
        <f t="shared" ref="E1776" si="3922">4*E1775+2*F1775+2*G1775</f>
        <v>0</v>
      </c>
      <c r="F1776" s="1">
        <f t="shared" ref="F1776" si="3923">C1775*(D1775^2)-2*E1775+5</f>
        <v>0</v>
      </c>
      <c r="G1776" s="1">
        <f t="shared" ref="G1776" si="3924">C1775^2-2*(D1775^2)-2*E1775+7</f>
        <v>0</v>
      </c>
      <c r="J1776" s="1">
        <f t="shared" ref="J1776" si="3925">0.5*(C1776*C1776+D1776*D1776+E1776*E1776+F1776*F1776+G1776*G1776)</f>
        <v>1.5407439555097887E-31</v>
      </c>
    </row>
    <row r="1777" spans="1:10" x14ac:dyDescent="0.25">
      <c r="C1777" s="5">
        <f t="shared" ref="C1777" si="3926">2-2*G1775</f>
        <v>2.2403028091636905</v>
      </c>
      <c r="D1777" s="6">
        <f t="shared" ref="D1777" si="3927">-2*F1775*D1775</f>
        <v>2.6091774571648814</v>
      </c>
      <c r="E1777" s="6">
        <f>0</f>
        <v>0</v>
      </c>
      <c r="F1777" s="6">
        <f t="shared" ref="F1777" si="3928">-(D1775^2)</f>
        <v>-3.7358700567866143</v>
      </c>
      <c r="G1777" s="7">
        <f t="shared" ref="G1777" si="3929">-2*C1775</f>
        <v>2.2510895668861335</v>
      </c>
    </row>
    <row r="1778" spans="1:10" x14ac:dyDescent="0.25">
      <c r="C1778" s="8">
        <f t="shared" ref="C1778" si="3930">-2*F1775*D1775</f>
        <v>2.6091774571648814</v>
      </c>
      <c r="D1778" s="1">
        <f t="shared" ref="D1778" si="3931">2-2*F1775*C1775+4*G1775</f>
        <v>-4.4408920985006262E-16</v>
      </c>
      <c r="E1778" s="1">
        <f>0</f>
        <v>0</v>
      </c>
      <c r="F1778" s="1">
        <f t="shared" ref="F1778" si="3932">-2*C1775*D1775</f>
        <v>4.3509957203971439</v>
      </c>
      <c r="G1778" s="9">
        <f t="shared" ref="G1778" si="3933">4*D1775</f>
        <v>7.7313595769816468</v>
      </c>
    </row>
    <row r="1779" spans="1:10" x14ac:dyDescent="0.25">
      <c r="B1779" t="s">
        <v>20</v>
      </c>
      <c r="C1779" s="8">
        <f>0</f>
        <v>0</v>
      </c>
      <c r="D1779" s="1">
        <f>0</f>
        <v>0</v>
      </c>
      <c r="E1779" s="1">
        <f>4</f>
        <v>4</v>
      </c>
      <c r="F1779" s="1">
        <f>2</f>
        <v>2</v>
      </c>
      <c r="G1779" s="9">
        <f>2</f>
        <v>2</v>
      </c>
    </row>
    <row r="1780" spans="1:10" x14ac:dyDescent="0.25">
      <c r="C1780" s="8">
        <f t="shared" ref="C1780" si="3934">(D1775^2)</f>
        <v>3.7358700567866143</v>
      </c>
      <c r="D1780" s="1">
        <f t="shared" ref="D1780" si="3935">2*C1775*D1775</f>
        <v>-4.3509957203971439</v>
      </c>
      <c r="E1780" s="1">
        <f t="shared" ref="E1780:E1781" si="3936">-2</f>
        <v>-2</v>
      </c>
      <c r="F1780" s="1">
        <f>0</f>
        <v>0</v>
      </c>
      <c r="G1780" s="9">
        <f>0</f>
        <v>0</v>
      </c>
    </row>
    <row r="1781" spans="1:10" x14ac:dyDescent="0.25">
      <c r="C1781" s="10">
        <f t="shared" ref="C1781" si="3937">2*C1775</f>
        <v>-2.2510895668861335</v>
      </c>
      <c r="D1781" s="11">
        <f t="shared" ref="D1781" si="3938">-4*D1775</f>
        <v>-7.7313595769816468</v>
      </c>
      <c r="E1781" s="11">
        <f t="shared" si="3936"/>
        <v>-2</v>
      </c>
      <c r="F1781" s="11">
        <f>0</f>
        <v>0</v>
      </c>
      <c r="G1781" s="12">
        <f>0</f>
        <v>0</v>
      </c>
    </row>
    <row r="1782" spans="1:10" x14ac:dyDescent="0.25">
      <c r="B1782" t="s">
        <v>21</v>
      </c>
      <c r="C1782" s="1" cm="1">
        <f t="array" ref="C1782:G1782">-MMULT(C1776:G1776,C1777:G1781)</f>
        <v>-1.2436178804329737E-15</v>
      </c>
      <c r="D1782" s="1">
        <v>-1.4483844441386847E-15</v>
      </c>
      <c r="E1782" s="1">
        <v>0</v>
      </c>
      <c r="F1782" s="1">
        <v>2.0738244770260952E-15</v>
      </c>
      <c r="G1782" s="1">
        <v>-1.2496057338252283E-15</v>
      </c>
    </row>
    <row r="1783" spans="1:10" x14ac:dyDescent="0.25">
      <c r="B1783" t="s">
        <v>13</v>
      </c>
      <c r="C1783" s="1">
        <f t="shared" ref="C1783" si="3939">J1776/SUMPRODUCT(_xlfn.ANCHORARRAY(C1782),_xlfn.ANCHORARRAY(C1782))</f>
        <v>1.6206986294211755E-2</v>
      </c>
    </row>
    <row r="1784" spans="1:10" x14ac:dyDescent="0.25">
      <c r="A1784" s="1" t="s">
        <v>4</v>
      </c>
      <c r="B1784" t="s">
        <v>18</v>
      </c>
      <c r="C1784" s="1" cm="1">
        <f t="array" ref="C1784:G1784">C1775:G1775+C1783*C1782:G1782</f>
        <v>-1.1255447834430667</v>
      </c>
      <c r="D1784" s="1">
        <v>1.9328398942454117</v>
      </c>
      <c r="E1784" s="1">
        <v>0.39755547298133398</v>
      </c>
      <c r="F1784" s="1">
        <v>-0.67495954138082259</v>
      </c>
      <c r="G1784" s="1">
        <v>-0.12015140458184533</v>
      </c>
    </row>
    <row r="1785" spans="1:10" x14ac:dyDescent="0.25">
      <c r="A1785" s="1">
        <v>199</v>
      </c>
      <c r="B1785" t="s">
        <v>19</v>
      </c>
      <c r="C1785" s="1">
        <f t="shared" ref="C1785" si="3940">2*C1784-F1784*(D1784^2)-2*G1784*C1784</f>
        <v>5.5511151231257827E-16</v>
      </c>
      <c r="D1785" s="1">
        <f t="shared" ref="D1785" si="3941">2*D1784-2*F1784*C1784*D1784+4*G1784*D1784</f>
        <v>-8.8817841970012523E-16</v>
      </c>
      <c r="E1785" s="1">
        <f t="shared" ref="E1785" si="3942">4*E1784+2*F1784+2*G1784</f>
        <v>0</v>
      </c>
      <c r="F1785" s="1">
        <f t="shared" ref="F1785" si="3943">C1784*(D1784^2)-2*E1784+5</f>
        <v>0</v>
      </c>
      <c r="G1785" s="1">
        <f t="shared" ref="G1785" si="3944">C1784^2-2*(D1784^2)-2*E1784+7</f>
        <v>0</v>
      </c>
      <c r="J1785" s="1">
        <f t="shared" ref="J1785" si="3945">0.5*(C1785*C1785+D1785*D1785+E1785*E1785+F1785*F1785+G1785*G1785)</f>
        <v>5.4850484816148477E-31</v>
      </c>
    </row>
    <row r="1786" spans="1:10" x14ac:dyDescent="0.25">
      <c r="C1786" s="5">
        <f t="shared" ref="C1786" si="3946">2-2*G1784</f>
        <v>2.2403028091636905</v>
      </c>
      <c r="D1786" s="6">
        <f t="shared" ref="D1786" si="3947">-2*F1784*D1784</f>
        <v>2.6091774571648814</v>
      </c>
      <c r="E1786" s="6">
        <f>0</f>
        <v>0</v>
      </c>
      <c r="F1786" s="6">
        <f t="shared" ref="F1786" si="3948">-(D1784^2)</f>
        <v>-3.7358700567866143</v>
      </c>
      <c r="G1786" s="7">
        <f t="shared" ref="G1786" si="3949">-2*C1784</f>
        <v>2.2510895668861335</v>
      </c>
    </row>
    <row r="1787" spans="1:10" x14ac:dyDescent="0.25">
      <c r="C1787" s="8">
        <f t="shared" ref="C1787" si="3950">-2*F1784*D1784</f>
        <v>2.6091774571648814</v>
      </c>
      <c r="D1787" s="1">
        <f t="shared" ref="D1787" si="3951">2-2*F1784*C1784+4*G1784</f>
        <v>-4.9960036108132044E-16</v>
      </c>
      <c r="E1787" s="1">
        <f>0</f>
        <v>0</v>
      </c>
      <c r="F1787" s="1">
        <f t="shared" ref="F1787" si="3952">-2*C1784*D1784</f>
        <v>4.3509957203971439</v>
      </c>
      <c r="G1787" s="9">
        <f t="shared" ref="G1787" si="3953">4*D1784</f>
        <v>7.7313595769816468</v>
      </c>
    </row>
    <row r="1788" spans="1:10" x14ac:dyDescent="0.25">
      <c r="B1788" t="s">
        <v>20</v>
      </c>
      <c r="C1788" s="8">
        <f>0</f>
        <v>0</v>
      </c>
      <c r="D1788" s="1">
        <f>0</f>
        <v>0</v>
      </c>
      <c r="E1788" s="1">
        <f>4</f>
        <v>4</v>
      </c>
      <c r="F1788" s="1">
        <f>2</f>
        <v>2</v>
      </c>
      <c r="G1788" s="9">
        <f>2</f>
        <v>2</v>
      </c>
    </row>
    <row r="1789" spans="1:10" x14ac:dyDescent="0.25">
      <c r="C1789" s="8">
        <f t="shared" ref="C1789" si="3954">(D1784^2)</f>
        <v>3.7358700567866143</v>
      </c>
      <c r="D1789" s="1">
        <f t="shared" ref="D1789" si="3955">2*C1784*D1784</f>
        <v>-4.3509957203971439</v>
      </c>
      <c r="E1789" s="1">
        <f t="shared" ref="E1789:E1790" si="3956">-2</f>
        <v>-2</v>
      </c>
      <c r="F1789" s="1">
        <f>0</f>
        <v>0</v>
      </c>
      <c r="G1789" s="9">
        <f>0</f>
        <v>0</v>
      </c>
    </row>
    <row r="1790" spans="1:10" x14ac:dyDescent="0.25">
      <c r="C1790" s="10">
        <f t="shared" ref="C1790" si="3957">2*C1784</f>
        <v>-2.2510895668861335</v>
      </c>
      <c r="D1790" s="11">
        <f t="shared" ref="D1790" si="3958">-4*D1784</f>
        <v>-7.7313595769816468</v>
      </c>
      <c r="E1790" s="11">
        <f t="shared" si="3956"/>
        <v>-2</v>
      </c>
      <c r="F1790" s="11">
        <f>0</f>
        <v>0</v>
      </c>
      <c r="G1790" s="12">
        <f>0</f>
        <v>0</v>
      </c>
    </row>
    <row r="1791" spans="1:10" x14ac:dyDescent="0.25">
      <c r="B1791" t="s">
        <v>21</v>
      </c>
      <c r="C1791" s="1" cm="1">
        <f t="array" ref="C1791:G1791">-MMULT(C1785:G1785,C1786:G1790)</f>
        <v>1.0737972301889219E-15</v>
      </c>
      <c r="D1791" s="1">
        <v>-1.448384444138685E-15</v>
      </c>
      <c r="E1791" s="1">
        <v>0</v>
      </c>
      <c r="F1791" s="1">
        <v>5.9382849800904388E-15</v>
      </c>
      <c r="G1791" s="1">
        <v>5.6172209973917592E-15</v>
      </c>
    </row>
    <row r="1792" spans="1:10" x14ac:dyDescent="0.25">
      <c r="B1792" t="s">
        <v>13</v>
      </c>
      <c r="C1792" s="1">
        <f t="shared" ref="C1792" si="3959">J1785/SUMPRODUCT(_xlfn.ANCHORARRAY(C1791),_xlfn.ANCHORARRAY(C1791))</f>
        <v>7.828261901978455E-3</v>
      </c>
    </row>
    <row r="1793" spans="1:10" x14ac:dyDescent="0.25">
      <c r="A1793" s="1" t="s">
        <v>4</v>
      </c>
      <c r="B1793" t="s">
        <v>18</v>
      </c>
      <c r="C1793" s="1" cm="1">
        <f t="array" ref="C1793:G1793">C1784:G1784+C1792*C1791:G1791</f>
        <v>-1.1255447834430667</v>
      </c>
      <c r="D1793" s="1">
        <v>1.9328398942454117</v>
      </c>
      <c r="E1793" s="1">
        <v>0.39755547298133398</v>
      </c>
      <c r="F1793" s="1">
        <v>-0.67495954138082259</v>
      </c>
      <c r="G1793" s="1">
        <v>-0.12015140458184528</v>
      </c>
    </row>
    <row r="1794" spans="1:10" x14ac:dyDescent="0.25">
      <c r="A1794" s="1">
        <v>200</v>
      </c>
      <c r="B1794" t="s">
        <v>19</v>
      </c>
      <c r="C1794" s="1">
        <f t="shared" ref="C1794" si="3960">2*C1793-F1793*(D1793^2)-2*G1793*C1793</f>
        <v>6.106226635438361E-16</v>
      </c>
      <c r="D1794" s="1">
        <f t="shared" ref="D1794" si="3961">2*D1793-2*F1793*C1793*D1793+4*G1793*D1793</f>
        <v>0</v>
      </c>
      <c r="E1794" s="1">
        <f t="shared" ref="E1794" si="3962">4*E1793+2*F1793+2*G1793</f>
        <v>0</v>
      </c>
      <c r="F1794" s="1">
        <f t="shared" ref="F1794" si="3963">C1793*(D1793^2)-2*E1793+5</f>
        <v>0</v>
      </c>
      <c r="G1794" s="1">
        <f t="shared" ref="G1794" si="3964">C1793^2-2*(D1793^2)-2*E1793+7</f>
        <v>0</v>
      </c>
      <c r="J1794" s="1">
        <f t="shared" ref="J1794" si="3965">0.5*(C1794*C1794+D1794*D1794+E1794*E1794+F1794*F1794+G1794*G1794)</f>
        <v>1.8643001861668443E-31</v>
      </c>
    </row>
    <row r="1795" spans="1:10" x14ac:dyDescent="0.25">
      <c r="C1795" s="5">
        <f t="shared" ref="C1795" si="3966">2-2*G1793</f>
        <v>2.2403028091636905</v>
      </c>
      <c r="D1795" s="6">
        <f t="shared" ref="D1795" si="3967">-2*F1793*D1793</f>
        <v>2.6091774571648814</v>
      </c>
      <c r="E1795" s="6">
        <f>0</f>
        <v>0</v>
      </c>
      <c r="F1795" s="6">
        <f t="shared" ref="F1795" si="3968">-(D1793^2)</f>
        <v>-3.7358700567866143</v>
      </c>
      <c r="G1795" s="7">
        <f t="shared" ref="G1795" si="3969">-2*C1793</f>
        <v>2.2510895668861335</v>
      </c>
    </row>
    <row r="1796" spans="1:10" x14ac:dyDescent="0.25">
      <c r="C1796" s="8">
        <f t="shared" ref="C1796" si="3970">-2*F1793*D1793</f>
        <v>2.6091774571648814</v>
      </c>
      <c r="D1796" s="1">
        <f t="shared" ref="D1796" si="3971">2-2*F1793*C1793+4*G1793</f>
        <v>0</v>
      </c>
      <c r="E1796" s="1">
        <f>0</f>
        <v>0</v>
      </c>
      <c r="F1796" s="1">
        <f t="shared" ref="F1796" si="3972">-2*C1793*D1793</f>
        <v>4.3509957203971439</v>
      </c>
      <c r="G1796" s="9">
        <f t="shared" ref="G1796" si="3973">4*D1793</f>
        <v>7.7313595769816468</v>
      </c>
    </row>
    <row r="1797" spans="1:10" x14ac:dyDescent="0.25">
      <c r="B1797" t="s">
        <v>20</v>
      </c>
      <c r="C1797" s="8">
        <f>0</f>
        <v>0</v>
      </c>
      <c r="D1797" s="1">
        <f>0</f>
        <v>0</v>
      </c>
      <c r="E1797" s="1">
        <f>4</f>
        <v>4</v>
      </c>
      <c r="F1797" s="1">
        <f>2</f>
        <v>2</v>
      </c>
      <c r="G1797" s="9">
        <f>2</f>
        <v>2</v>
      </c>
    </row>
    <row r="1798" spans="1:10" x14ac:dyDescent="0.25">
      <c r="C1798" s="8">
        <f t="shared" ref="C1798" si="3974">(D1793^2)</f>
        <v>3.7358700567866143</v>
      </c>
      <c r="D1798" s="1">
        <f t="shared" ref="D1798" si="3975">2*C1793*D1793</f>
        <v>-4.3509957203971439</v>
      </c>
      <c r="E1798" s="1">
        <f t="shared" ref="E1798:E1799" si="3976">-2</f>
        <v>-2</v>
      </c>
      <c r="F1798" s="1">
        <f>0</f>
        <v>0</v>
      </c>
      <c r="G1798" s="9">
        <f>0</f>
        <v>0</v>
      </c>
    </row>
    <row r="1799" spans="1:10" x14ac:dyDescent="0.25">
      <c r="C1799" s="10">
        <f t="shared" ref="C1799" si="3977">2*C1793</f>
        <v>-2.2510895668861335</v>
      </c>
      <c r="D1799" s="11">
        <f t="shared" ref="D1799" si="3978">-4*D1793</f>
        <v>-7.7313595769816468</v>
      </c>
      <c r="E1799" s="11">
        <f t="shared" si="3976"/>
        <v>-2</v>
      </c>
      <c r="F1799" s="11">
        <f>0</f>
        <v>0</v>
      </c>
      <c r="G1799" s="12">
        <f>0</f>
        <v>0</v>
      </c>
    </row>
    <row r="1800" spans="1:10" x14ac:dyDescent="0.25">
      <c r="B1800" t="s">
        <v>21</v>
      </c>
      <c r="C1800" s="1" cm="1">
        <f t="array" ref="C1800:G1800">-MMULT(C1794:G1794,C1795:G1799)</f>
        <v>-1.367979668476271E-15</v>
      </c>
      <c r="D1800" s="1">
        <v>-1.5932228885525532E-15</v>
      </c>
      <c r="E1800" s="1">
        <v>0</v>
      </c>
      <c r="F1800" s="1">
        <v>2.2812069247287048E-15</v>
      </c>
      <c r="G1800" s="1">
        <v>-1.3745663072077511E-15</v>
      </c>
    </row>
    <row r="1801" spans="1:10" x14ac:dyDescent="0.25">
      <c r="B1801" t="s">
        <v>13</v>
      </c>
      <c r="C1801" s="1">
        <f t="shared" ref="C1801" si="3979">J1794/SUMPRODUCT(_xlfn.ANCHORARRAY(C1800),_xlfn.ANCHORARRAY(C1800))</f>
        <v>1.6206986294211755E-2</v>
      </c>
    </row>
    <row r="1802" spans="1:10" x14ac:dyDescent="0.25">
      <c r="A1802" s="1" t="s">
        <v>4</v>
      </c>
      <c r="B1802" t="s">
        <v>18</v>
      </c>
      <c r="C1802" s="1" cm="1">
        <f t="array" ref="C1802:G1802">C1793:G1793+C1801*C1800:G1800</f>
        <v>-1.1255447834430667</v>
      </c>
      <c r="D1802" s="1">
        <v>1.9328398942454117</v>
      </c>
      <c r="E1802" s="1">
        <v>0.39755547298133398</v>
      </c>
      <c r="F1802" s="1">
        <v>-0.67495954138082259</v>
      </c>
      <c r="G1802" s="1">
        <v>-0.12015140458184531</v>
      </c>
    </row>
    <row r="1803" spans="1:10" x14ac:dyDescent="0.25">
      <c r="A1803" s="1">
        <v>201</v>
      </c>
      <c r="B1803" t="s">
        <v>19</v>
      </c>
      <c r="C1803" s="1">
        <f t="shared" ref="C1803" si="3980">2*C1802-F1802*(D1802^2)-2*G1802*C1802</f>
        <v>5.5511151231257827E-16</v>
      </c>
      <c r="D1803" s="1">
        <f t="shared" ref="D1803" si="3981">2*D1802-2*F1802*C1802*D1802+4*G1802*D1802</f>
        <v>0</v>
      </c>
      <c r="E1803" s="1">
        <f t="shared" ref="E1803" si="3982">4*E1802+2*F1802+2*G1802</f>
        <v>0</v>
      </c>
      <c r="F1803" s="1">
        <f t="shared" ref="F1803" si="3983">C1802*(D1802^2)-2*E1802+5</f>
        <v>0</v>
      </c>
      <c r="G1803" s="1">
        <f t="shared" ref="G1803" si="3984">C1802^2-2*(D1802^2)-2*E1802+7</f>
        <v>0</v>
      </c>
      <c r="J1803" s="1">
        <f t="shared" ref="J1803" si="3985">0.5*(C1803*C1803+D1803*D1803+E1803*E1803+F1803*F1803+G1803*G1803)</f>
        <v>1.5407439555097887E-31</v>
      </c>
    </row>
    <row r="1804" spans="1:10" x14ac:dyDescent="0.25">
      <c r="C1804" s="5">
        <f t="shared" ref="C1804" si="3986">2-2*G1802</f>
        <v>2.2403028091636905</v>
      </c>
      <c r="D1804" s="6">
        <f t="shared" ref="D1804" si="3987">-2*F1802*D1802</f>
        <v>2.6091774571648814</v>
      </c>
      <c r="E1804" s="6">
        <f>0</f>
        <v>0</v>
      </c>
      <c r="F1804" s="6">
        <f t="shared" ref="F1804" si="3988">-(D1802^2)</f>
        <v>-3.7358700567866143</v>
      </c>
      <c r="G1804" s="7">
        <f t="shared" ref="G1804" si="3989">-2*C1802</f>
        <v>2.2510895668861335</v>
      </c>
    </row>
    <row r="1805" spans="1:10" x14ac:dyDescent="0.25">
      <c r="C1805" s="8">
        <f t="shared" ref="C1805" si="3990">-2*F1802*D1802</f>
        <v>2.6091774571648814</v>
      </c>
      <c r="D1805" s="1">
        <f t="shared" ref="D1805" si="3991">2-2*F1802*C1802+4*G1802</f>
        <v>-4.4408920985006262E-16</v>
      </c>
      <c r="E1805" s="1">
        <f>0</f>
        <v>0</v>
      </c>
      <c r="F1805" s="1">
        <f t="shared" ref="F1805" si="3992">-2*C1802*D1802</f>
        <v>4.3509957203971439</v>
      </c>
      <c r="G1805" s="9">
        <f t="shared" ref="G1805" si="3993">4*D1802</f>
        <v>7.7313595769816468</v>
      </c>
    </row>
    <row r="1806" spans="1:10" x14ac:dyDescent="0.25">
      <c r="B1806" t="s">
        <v>20</v>
      </c>
      <c r="C1806" s="8">
        <f>0</f>
        <v>0</v>
      </c>
      <c r="D1806" s="1">
        <f>0</f>
        <v>0</v>
      </c>
      <c r="E1806" s="1">
        <f>4</f>
        <v>4</v>
      </c>
      <c r="F1806" s="1">
        <f>2</f>
        <v>2</v>
      </c>
      <c r="G1806" s="9">
        <f>2</f>
        <v>2</v>
      </c>
    </row>
    <row r="1807" spans="1:10" x14ac:dyDescent="0.25">
      <c r="C1807" s="8">
        <f t="shared" ref="C1807" si="3994">(D1802^2)</f>
        <v>3.7358700567866143</v>
      </c>
      <c r="D1807" s="1">
        <f t="shared" ref="D1807" si="3995">2*C1802*D1802</f>
        <v>-4.3509957203971439</v>
      </c>
      <c r="E1807" s="1">
        <f t="shared" ref="E1807:E1808" si="3996">-2</f>
        <v>-2</v>
      </c>
      <c r="F1807" s="1">
        <f>0</f>
        <v>0</v>
      </c>
      <c r="G1807" s="9">
        <f>0</f>
        <v>0</v>
      </c>
    </row>
    <row r="1808" spans="1:10" x14ac:dyDescent="0.25">
      <c r="C1808" s="10">
        <f t="shared" ref="C1808" si="3997">2*C1802</f>
        <v>-2.2510895668861335</v>
      </c>
      <c r="D1808" s="11">
        <f t="shared" ref="D1808" si="3998">-4*D1802</f>
        <v>-7.7313595769816468</v>
      </c>
      <c r="E1808" s="11">
        <f t="shared" si="3996"/>
        <v>-2</v>
      </c>
      <c r="F1808" s="11">
        <f>0</f>
        <v>0</v>
      </c>
      <c r="G1808" s="12">
        <f>0</f>
        <v>0</v>
      </c>
    </row>
    <row r="1809" spans="1:10" x14ac:dyDescent="0.25">
      <c r="B1809" t="s">
        <v>21</v>
      </c>
      <c r="C1809" s="1" cm="1">
        <f t="array" ref="C1809:G1809">-MMULT(C1803:G1803,C1804:G1808)</f>
        <v>-1.2436178804329737E-15</v>
      </c>
      <c r="D1809" s="1">
        <v>-1.4483844441386847E-15</v>
      </c>
      <c r="E1809" s="1">
        <v>0</v>
      </c>
      <c r="F1809" s="1">
        <v>2.0738244770260952E-15</v>
      </c>
      <c r="G1809" s="1">
        <v>-1.2496057338252283E-15</v>
      </c>
    </row>
    <row r="1810" spans="1:10" x14ac:dyDescent="0.25">
      <c r="B1810" t="s">
        <v>13</v>
      </c>
      <c r="C1810" s="1">
        <f t="shared" ref="C1810" si="3999">J1803/SUMPRODUCT(_xlfn.ANCHORARRAY(C1809),_xlfn.ANCHORARRAY(C1809))</f>
        <v>1.6206986294211755E-2</v>
      </c>
    </row>
    <row r="1811" spans="1:10" x14ac:dyDescent="0.25">
      <c r="A1811" s="1" t="s">
        <v>4</v>
      </c>
      <c r="B1811" t="s">
        <v>18</v>
      </c>
      <c r="C1811" s="1" cm="1">
        <f t="array" ref="C1811:G1811">C1802:G1802+C1810*C1809:G1809</f>
        <v>-1.1255447834430667</v>
      </c>
      <c r="D1811" s="1">
        <v>1.9328398942454117</v>
      </c>
      <c r="E1811" s="1">
        <v>0.39755547298133398</v>
      </c>
      <c r="F1811" s="1">
        <v>-0.67495954138082259</v>
      </c>
      <c r="G1811" s="1">
        <v>-0.12015140458184533</v>
      </c>
    </row>
    <row r="1812" spans="1:10" x14ac:dyDescent="0.25">
      <c r="A1812" s="1">
        <v>202</v>
      </c>
      <c r="B1812" t="s">
        <v>19</v>
      </c>
      <c r="C1812" s="1">
        <f t="shared" ref="C1812" si="4000">2*C1811-F1811*(D1811^2)-2*G1811*C1811</f>
        <v>5.5511151231257827E-16</v>
      </c>
      <c r="D1812" s="1">
        <f t="shared" ref="D1812" si="4001">2*D1811-2*F1811*C1811*D1811+4*G1811*D1811</f>
        <v>-8.8817841970012523E-16</v>
      </c>
      <c r="E1812" s="1">
        <f t="shared" ref="E1812" si="4002">4*E1811+2*F1811+2*G1811</f>
        <v>0</v>
      </c>
      <c r="F1812" s="1">
        <f t="shared" ref="F1812" si="4003">C1811*(D1811^2)-2*E1811+5</f>
        <v>0</v>
      </c>
      <c r="G1812" s="1">
        <f t="shared" ref="G1812" si="4004">C1811^2-2*(D1811^2)-2*E1811+7</f>
        <v>0</v>
      </c>
      <c r="J1812" s="1">
        <f t="shared" ref="J1812" si="4005">0.5*(C1812*C1812+D1812*D1812+E1812*E1812+F1812*F1812+G1812*G1812)</f>
        <v>5.4850484816148477E-31</v>
      </c>
    </row>
    <row r="1813" spans="1:10" x14ac:dyDescent="0.25">
      <c r="C1813" s="5">
        <f t="shared" ref="C1813" si="4006">2-2*G1811</f>
        <v>2.2403028091636905</v>
      </c>
      <c r="D1813" s="6">
        <f t="shared" ref="D1813" si="4007">-2*F1811*D1811</f>
        <v>2.6091774571648814</v>
      </c>
      <c r="E1813" s="6">
        <f>0</f>
        <v>0</v>
      </c>
      <c r="F1813" s="6">
        <f t="shared" ref="F1813" si="4008">-(D1811^2)</f>
        <v>-3.7358700567866143</v>
      </c>
      <c r="G1813" s="7">
        <f t="shared" ref="G1813" si="4009">-2*C1811</f>
        <v>2.2510895668861335</v>
      </c>
    </row>
    <row r="1814" spans="1:10" x14ac:dyDescent="0.25">
      <c r="C1814" s="8">
        <f t="shared" ref="C1814" si="4010">-2*F1811*D1811</f>
        <v>2.6091774571648814</v>
      </c>
      <c r="D1814" s="1">
        <f t="shared" ref="D1814" si="4011">2-2*F1811*C1811+4*G1811</f>
        <v>-4.9960036108132044E-16</v>
      </c>
      <c r="E1814" s="1">
        <f>0</f>
        <v>0</v>
      </c>
      <c r="F1814" s="1">
        <f t="shared" ref="F1814" si="4012">-2*C1811*D1811</f>
        <v>4.3509957203971439</v>
      </c>
      <c r="G1814" s="9">
        <f t="shared" ref="G1814" si="4013">4*D1811</f>
        <v>7.7313595769816468</v>
      </c>
    </row>
    <row r="1815" spans="1:10" x14ac:dyDescent="0.25">
      <c r="B1815" t="s">
        <v>20</v>
      </c>
      <c r="C1815" s="8">
        <f>0</f>
        <v>0</v>
      </c>
      <c r="D1815" s="1">
        <f>0</f>
        <v>0</v>
      </c>
      <c r="E1815" s="1">
        <f>4</f>
        <v>4</v>
      </c>
      <c r="F1815" s="1">
        <f>2</f>
        <v>2</v>
      </c>
      <c r="G1815" s="9">
        <f>2</f>
        <v>2</v>
      </c>
    </row>
    <row r="1816" spans="1:10" x14ac:dyDescent="0.25">
      <c r="C1816" s="8">
        <f t="shared" ref="C1816" si="4014">(D1811^2)</f>
        <v>3.7358700567866143</v>
      </c>
      <c r="D1816" s="1">
        <f t="shared" ref="D1816" si="4015">2*C1811*D1811</f>
        <v>-4.3509957203971439</v>
      </c>
      <c r="E1816" s="1">
        <f t="shared" ref="E1816:E1817" si="4016">-2</f>
        <v>-2</v>
      </c>
      <c r="F1816" s="1">
        <f>0</f>
        <v>0</v>
      </c>
      <c r="G1816" s="9">
        <f>0</f>
        <v>0</v>
      </c>
    </row>
    <row r="1817" spans="1:10" x14ac:dyDescent="0.25">
      <c r="C1817" s="10">
        <f t="shared" ref="C1817" si="4017">2*C1811</f>
        <v>-2.2510895668861335</v>
      </c>
      <c r="D1817" s="11">
        <f t="shared" ref="D1817" si="4018">-4*D1811</f>
        <v>-7.7313595769816468</v>
      </c>
      <c r="E1817" s="11">
        <f t="shared" si="4016"/>
        <v>-2</v>
      </c>
      <c r="F1817" s="11">
        <f>0</f>
        <v>0</v>
      </c>
      <c r="G1817" s="12">
        <f>0</f>
        <v>0</v>
      </c>
    </row>
    <row r="1818" spans="1:10" x14ac:dyDescent="0.25">
      <c r="B1818" t="s">
        <v>21</v>
      </c>
      <c r="C1818" s="1" cm="1">
        <f t="array" ref="C1818:G1818">-MMULT(C1812:G1812,C1813:G1817)</f>
        <v>1.0737972301889219E-15</v>
      </c>
      <c r="D1818" s="1">
        <v>-1.448384444138685E-15</v>
      </c>
      <c r="E1818" s="1">
        <v>0</v>
      </c>
      <c r="F1818" s="1">
        <v>5.9382849800904388E-15</v>
      </c>
      <c r="G1818" s="1">
        <v>5.6172209973917592E-15</v>
      </c>
    </row>
    <row r="1819" spans="1:10" x14ac:dyDescent="0.25">
      <c r="B1819" t="s">
        <v>13</v>
      </c>
      <c r="C1819" s="1">
        <f t="shared" ref="C1819" si="4019">J1812/SUMPRODUCT(_xlfn.ANCHORARRAY(C1818),_xlfn.ANCHORARRAY(C1818))</f>
        <v>7.828261901978455E-3</v>
      </c>
    </row>
    <row r="1820" spans="1:10" x14ac:dyDescent="0.25">
      <c r="A1820" s="1" t="s">
        <v>4</v>
      </c>
      <c r="B1820" t="s">
        <v>18</v>
      </c>
      <c r="C1820" s="1" cm="1">
        <f t="array" ref="C1820:G1820">C1811:G1811+C1819*C1818:G1818</f>
        <v>-1.1255447834430667</v>
      </c>
      <c r="D1820" s="1">
        <v>1.9328398942454117</v>
      </c>
      <c r="E1820" s="1">
        <v>0.39755547298133398</v>
      </c>
      <c r="F1820" s="1">
        <v>-0.67495954138082259</v>
      </c>
      <c r="G1820" s="1">
        <v>-0.12015140458184528</v>
      </c>
    </row>
    <row r="1821" spans="1:10" x14ac:dyDescent="0.25">
      <c r="A1821" s="1">
        <v>203</v>
      </c>
      <c r="B1821" t="s">
        <v>19</v>
      </c>
      <c r="C1821" s="1">
        <f t="shared" ref="C1821" si="4020">2*C1820-F1820*(D1820^2)-2*G1820*C1820</f>
        <v>6.106226635438361E-16</v>
      </c>
      <c r="D1821" s="1">
        <f t="shared" ref="D1821" si="4021">2*D1820-2*F1820*C1820*D1820+4*G1820*D1820</f>
        <v>0</v>
      </c>
      <c r="E1821" s="1">
        <f t="shared" ref="E1821" si="4022">4*E1820+2*F1820+2*G1820</f>
        <v>0</v>
      </c>
      <c r="F1821" s="1">
        <f t="shared" ref="F1821" si="4023">C1820*(D1820^2)-2*E1820+5</f>
        <v>0</v>
      </c>
      <c r="G1821" s="1">
        <f t="shared" ref="G1821" si="4024">C1820^2-2*(D1820^2)-2*E1820+7</f>
        <v>0</v>
      </c>
      <c r="J1821" s="1">
        <f t="shared" ref="J1821" si="4025">0.5*(C1821*C1821+D1821*D1821+E1821*E1821+F1821*F1821+G1821*G1821)</f>
        <v>1.8643001861668443E-31</v>
      </c>
    </row>
    <row r="1822" spans="1:10" x14ac:dyDescent="0.25">
      <c r="C1822" s="5">
        <f t="shared" ref="C1822" si="4026">2-2*G1820</f>
        <v>2.2403028091636905</v>
      </c>
      <c r="D1822" s="6">
        <f t="shared" ref="D1822" si="4027">-2*F1820*D1820</f>
        <v>2.6091774571648814</v>
      </c>
      <c r="E1822" s="6">
        <f>0</f>
        <v>0</v>
      </c>
      <c r="F1822" s="6">
        <f t="shared" ref="F1822" si="4028">-(D1820^2)</f>
        <v>-3.7358700567866143</v>
      </c>
      <c r="G1822" s="7">
        <f t="shared" ref="G1822" si="4029">-2*C1820</f>
        <v>2.2510895668861335</v>
      </c>
    </row>
    <row r="1823" spans="1:10" x14ac:dyDescent="0.25">
      <c r="C1823" s="8">
        <f t="shared" ref="C1823" si="4030">-2*F1820*D1820</f>
        <v>2.6091774571648814</v>
      </c>
      <c r="D1823" s="1">
        <f t="shared" ref="D1823" si="4031">2-2*F1820*C1820+4*G1820</f>
        <v>0</v>
      </c>
      <c r="E1823" s="1">
        <f>0</f>
        <v>0</v>
      </c>
      <c r="F1823" s="1">
        <f t="shared" ref="F1823" si="4032">-2*C1820*D1820</f>
        <v>4.3509957203971439</v>
      </c>
      <c r="G1823" s="9">
        <f t="shared" ref="G1823" si="4033">4*D1820</f>
        <v>7.7313595769816468</v>
      </c>
    </row>
    <row r="1824" spans="1:10" x14ac:dyDescent="0.25">
      <c r="B1824" t="s">
        <v>20</v>
      </c>
      <c r="C1824" s="8">
        <f>0</f>
        <v>0</v>
      </c>
      <c r="D1824" s="1">
        <f>0</f>
        <v>0</v>
      </c>
      <c r="E1824" s="1">
        <f>4</f>
        <v>4</v>
      </c>
      <c r="F1824" s="1">
        <f>2</f>
        <v>2</v>
      </c>
      <c r="G1824" s="9">
        <f>2</f>
        <v>2</v>
      </c>
    </row>
    <row r="1825" spans="1:10" x14ac:dyDescent="0.25">
      <c r="C1825" s="8">
        <f t="shared" ref="C1825" si="4034">(D1820^2)</f>
        <v>3.7358700567866143</v>
      </c>
      <c r="D1825" s="1">
        <f t="shared" ref="D1825" si="4035">2*C1820*D1820</f>
        <v>-4.3509957203971439</v>
      </c>
      <c r="E1825" s="1">
        <f t="shared" ref="E1825:E1826" si="4036">-2</f>
        <v>-2</v>
      </c>
      <c r="F1825" s="1">
        <f>0</f>
        <v>0</v>
      </c>
      <c r="G1825" s="9">
        <f>0</f>
        <v>0</v>
      </c>
    </row>
    <row r="1826" spans="1:10" x14ac:dyDescent="0.25">
      <c r="C1826" s="10">
        <f t="shared" ref="C1826" si="4037">2*C1820</f>
        <v>-2.2510895668861335</v>
      </c>
      <c r="D1826" s="11">
        <f t="shared" ref="D1826" si="4038">-4*D1820</f>
        <v>-7.7313595769816468</v>
      </c>
      <c r="E1826" s="11">
        <f t="shared" si="4036"/>
        <v>-2</v>
      </c>
      <c r="F1826" s="11">
        <f>0</f>
        <v>0</v>
      </c>
      <c r="G1826" s="12">
        <f>0</f>
        <v>0</v>
      </c>
    </row>
    <row r="1827" spans="1:10" x14ac:dyDescent="0.25">
      <c r="B1827" t="s">
        <v>21</v>
      </c>
      <c r="C1827" s="1" cm="1">
        <f t="array" ref="C1827:G1827">-MMULT(C1821:G1821,C1822:G1826)</f>
        <v>-1.367979668476271E-15</v>
      </c>
      <c r="D1827" s="1">
        <v>-1.5932228885525532E-15</v>
      </c>
      <c r="E1827" s="1">
        <v>0</v>
      </c>
      <c r="F1827" s="1">
        <v>2.2812069247287048E-15</v>
      </c>
      <c r="G1827" s="1">
        <v>-1.3745663072077511E-15</v>
      </c>
    </row>
    <row r="1828" spans="1:10" x14ac:dyDescent="0.25">
      <c r="B1828" t="s">
        <v>13</v>
      </c>
      <c r="C1828" s="1">
        <f t="shared" ref="C1828" si="4039">J1821/SUMPRODUCT(_xlfn.ANCHORARRAY(C1827),_xlfn.ANCHORARRAY(C1827))</f>
        <v>1.6206986294211755E-2</v>
      </c>
    </row>
    <row r="1829" spans="1:10" x14ac:dyDescent="0.25">
      <c r="A1829" s="1" t="s">
        <v>4</v>
      </c>
      <c r="B1829" t="s">
        <v>18</v>
      </c>
      <c r="C1829" s="1" cm="1">
        <f t="array" ref="C1829:G1829">C1820:G1820+C1828*C1827:G1827</f>
        <v>-1.1255447834430667</v>
      </c>
      <c r="D1829" s="1">
        <v>1.9328398942454117</v>
      </c>
      <c r="E1829" s="1">
        <v>0.39755547298133398</v>
      </c>
      <c r="F1829" s="1">
        <v>-0.67495954138082259</v>
      </c>
      <c r="G1829" s="1">
        <v>-0.12015140458184531</v>
      </c>
    </row>
    <row r="1830" spans="1:10" x14ac:dyDescent="0.25">
      <c r="A1830" s="1">
        <v>204</v>
      </c>
      <c r="B1830" t="s">
        <v>19</v>
      </c>
      <c r="C1830" s="1">
        <f t="shared" ref="C1830" si="4040">2*C1829-F1829*(D1829^2)-2*G1829*C1829</f>
        <v>5.5511151231257827E-16</v>
      </c>
      <c r="D1830" s="1">
        <f t="shared" ref="D1830" si="4041">2*D1829-2*F1829*C1829*D1829+4*G1829*D1829</f>
        <v>0</v>
      </c>
      <c r="E1830" s="1">
        <f t="shared" ref="E1830" si="4042">4*E1829+2*F1829+2*G1829</f>
        <v>0</v>
      </c>
      <c r="F1830" s="1">
        <f t="shared" ref="F1830" si="4043">C1829*(D1829^2)-2*E1829+5</f>
        <v>0</v>
      </c>
      <c r="G1830" s="1">
        <f t="shared" ref="G1830" si="4044">C1829^2-2*(D1829^2)-2*E1829+7</f>
        <v>0</v>
      </c>
      <c r="J1830" s="1">
        <f t="shared" ref="J1830" si="4045">0.5*(C1830*C1830+D1830*D1830+E1830*E1830+F1830*F1830+G1830*G1830)</f>
        <v>1.5407439555097887E-31</v>
      </c>
    </row>
    <row r="1831" spans="1:10" x14ac:dyDescent="0.25">
      <c r="C1831" s="5">
        <f t="shared" ref="C1831" si="4046">2-2*G1829</f>
        <v>2.2403028091636905</v>
      </c>
      <c r="D1831" s="6">
        <f t="shared" ref="D1831" si="4047">-2*F1829*D1829</f>
        <v>2.6091774571648814</v>
      </c>
      <c r="E1831" s="6">
        <f>0</f>
        <v>0</v>
      </c>
      <c r="F1831" s="6">
        <f t="shared" ref="F1831" si="4048">-(D1829^2)</f>
        <v>-3.7358700567866143</v>
      </c>
      <c r="G1831" s="7">
        <f t="shared" ref="G1831" si="4049">-2*C1829</f>
        <v>2.2510895668861335</v>
      </c>
    </row>
    <row r="1832" spans="1:10" x14ac:dyDescent="0.25">
      <c r="C1832" s="8">
        <f t="shared" ref="C1832" si="4050">-2*F1829*D1829</f>
        <v>2.6091774571648814</v>
      </c>
      <c r="D1832" s="1">
        <f t="shared" ref="D1832" si="4051">2-2*F1829*C1829+4*G1829</f>
        <v>-4.4408920985006262E-16</v>
      </c>
      <c r="E1832" s="1">
        <f>0</f>
        <v>0</v>
      </c>
      <c r="F1832" s="1">
        <f t="shared" ref="F1832" si="4052">-2*C1829*D1829</f>
        <v>4.3509957203971439</v>
      </c>
      <c r="G1832" s="9">
        <f t="shared" ref="G1832" si="4053">4*D1829</f>
        <v>7.7313595769816468</v>
      </c>
    </row>
    <row r="1833" spans="1:10" x14ac:dyDescent="0.25">
      <c r="B1833" t="s">
        <v>20</v>
      </c>
      <c r="C1833" s="8">
        <f>0</f>
        <v>0</v>
      </c>
      <c r="D1833" s="1">
        <f>0</f>
        <v>0</v>
      </c>
      <c r="E1833" s="1">
        <f>4</f>
        <v>4</v>
      </c>
      <c r="F1833" s="1">
        <f>2</f>
        <v>2</v>
      </c>
      <c r="G1833" s="9">
        <f>2</f>
        <v>2</v>
      </c>
    </row>
    <row r="1834" spans="1:10" x14ac:dyDescent="0.25">
      <c r="C1834" s="8">
        <f t="shared" ref="C1834" si="4054">(D1829^2)</f>
        <v>3.7358700567866143</v>
      </c>
      <c r="D1834" s="1">
        <f t="shared" ref="D1834" si="4055">2*C1829*D1829</f>
        <v>-4.3509957203971439</v>
      </c>
      <c r="E1834" s="1">
        <f t="shared" ref="E1834:E1835" si="4056">-2</f>
        <v>-2</v>
      </c>
      <c r="F1834" s="1">
        <f>0</f>
        <v>0</v>
      </c>
      <c r="G1834" s="9">
        <f>0</f>
        <v>0</v>
      </c>
    </row>
    <row r="1835" spans="1:10" x14ac:dyDescent="0.25">
      <c r="C1835" s="10">
        <f t="shared" ref="C1835" si="4057">2*C1829</f>
        <v>-2.2510895668861335</v>
      </c>
      <c r="D1835" s="11">
        <f t="shared" ref="D1835" si="4058">-4*D1829</f>
        <v>-7.7313595769816468</v>
      </c>
      <c r="E1835" s="11">
        <f t="shared" si="4056"/>
        <v>-2</v>
      </c>
      <c r="F1835" s="11">
        <f>0</f>
        <v>0</v>
      </c>
      <c r="G1835" s="12">
        <f>0</f>
        <v>0</v>
      </c>
    </row>
    <row r="1836" spans="1:10" x14ac:dyDescent="0.25">
      <c r="B1836" t="s">
        <v>21</v>
      </c>
      <c r="C1836" s="1" cm="1">
        <f t="array" ref="C1836:G1836">-MMULT(C1830:G1830,C1831:G1835)</f>
        <v>-1.2436178804329737E-15</v>
      </c>
      <c r="D1836" s="1">
        <v>-1.4483844441386847E-15</v>
      </c>
      <c r="E1836" s="1">
        <v>0</v>
      </c>
      <c r="F1836" s="1">
        <v>2.0738244770260952E-15</v>
      </c>
      <c r="G1836" s="1">
        <v>-1.2496057338252283E-15</v>
      </c>
    </row>
    <row r="1837" spans="1:10" x14ac:dyDescent="0.25">
      <c r="B1837" t="s">
        <v>13</v>
      </c>
      <c r="C1837" s="1">
        <f t="shared" ref="C1837" si="4059">J1830/SUMPRODUCT(_xlfn.ANCHORARRAY(C1836),_xlfn.ANCHORARRAY(C1836))</f>
        <v>1.6206986294211755E-2</v>
      </c>
    </row>
    <row r="1838" spans="1:10" x14ac:dyDescent="0.25">
      <c r="A1838" s="1" t="s">
        <v>4</v>
      </c>
      <c r="B1838" t="s">
        <v>18</v>
      </c>
      <c r="C1838" s="1" cm="1">
        <f t="array" ref="C1838:G1838">C1829:G1829+C1837*C1836:G1836</f>
        <v>-1.1255447834430667</v>
      </c>
      <c r="D1838" s="1">
        <v>1.9328398942454117</v>
      </c>
      <c r="E1838" s="1">
        <v>0.39755547298133398</v>
      </c>
      <c r="F1838" s="1">
        <v>-0.67495954138082259</v>
      </c>
      <c r="G1838" s="1">
        <v>-0.12015140458184533</v>
      </c>
    </row>
    <row r="1839" spans="1:10" x14ac:dyDescent="0.25">
      <c r="A1839" s="1">
        <v>205</v>
      </c>
      <c r="B1839" t="s">
        <v>19</v>
      </c>
      <c r="C1839" s="1">
        <f t="shared" ref="C1839" si="4060">2*C1838-F1838*(D1838^2)-2*G1838*C1838</f>
        <v>5.5511151231257827E-16</v>
      </c>
      <c r="D1839" s="1">
        <f t="shared" ref="D1839" si="4061">2*D1838-2*F1838*C1838*D1838+4*G1838*D1838</f>
        <v>-8.8817841970012523E-16</v>
      </c>
      <c r="E1839" s="1">
        <f t="shared" ref="E1839" si="4062">4*E1838+2*F1838+2*G1838</f>
        <v>0</v>
      </c>
      <c r="F1839" s="1">
        <f t="shared" ref="F1839" si="4063">C1838*(D1838^2)-2*E1838+5</f>
        <v>0</v>
      </c>
      <c r="G1839" s="1">
        <f t="shared" ref="G1839" si="4064">C1838^2-2*(D1838^2)-2*E1838+7</f>
        <v>0</v>
      </c>
      <c r="J1839" s="1">
        <f t="shared" ref="J1839" si="4065">0.5*(C1839*C1839+D1839*D1839+E1839*E1839+F1839*F1839+G1839*G1839)</f>
        <v>5.4850484816148477E-31</v>
      </c>
    </row>
    <row r="1840" spans="1:10" x14ac:dyDescent="0.25">
      <c r="C1840" s="5">
        <f t="shared" ref="C1840" si="4066">2-2*G1838</f>
        <v>2.2403028091636905</v>
      </c>
      <c r="D1840" s="6">
        <f t="shared" ref="D1840" si="4067">-2*F1838*D1838</f>
        <v>2.6091774571648814</v>
      </c>
      <c r="E1840" s="6">
        <f>0</f>
        <v>0</v>
      </c>
      <c r="F1840" s="6">
        <f t="shared" ref="F1840" si="4068">-(D1838^2)</f>
        <v>-3.7358700567866143</v>
      </c>
      <c r="G1840" s="7">
        <f t="shared" ref="G1840" si="4069">-2*C1838</f>
        <v>2.2510895668861335</v>
      </c>
    </row>
    <row r="1841" spans="1:10" x14ac:dyDescent="0.25">
      <c r="C1841" s="8">
        <f t="shared" ref="C1841" si="4070">-2*F1838*D1838</f>
        <v>2.6091774571648814</v>
      </c>
      <c r="D1841" s="1">
        <f t="shared" ref="D1841" si="4071">2-2*F1838*C1838+4*G1838</f>
        <v>-4.9960036108132044E-16</v>
      </c>
      <c r="E1841" s="1">
        <f>0</f>
        <v>0</v>
      </c>
      <c r="F1841" s="1">
        <f t="shared" ref="F1841" si="4072">-2*C1838*D1838</f>
        <v>4.3509957203971439</v>
      </c>
      <c r="G1841" s="9">
        <f t="shared" ref="G1841" si="4073">4*D1838</f>
        <v>7.7313595769816468</v>
      </c>
    </row>
    <row r="1842" spans="1:10" x14ac:dyDescent="0.25">
      <c r="B1842" t="s">
        <v>20</v>
      </c>
      <c r="C1842" s="8">
        <f>0</f>
        <v>0</v>
      </c>
      <c r="D1842" s="1">
        <f>0</f>
        <v>0</v>
      </c>
      <c r="E1842" s="1">
        <f>4</f>
        <v>4</v>
      </c>
      <c r="F1842" s="1">
        <f>2</f>
        <v>2</v>
      </c>
      <c r="G1842" s="9">
        <f>2</f>
        <v>2</v>
      </c>
    </row>
    <row r="1843" spans="1:10" x14ac:dyDescent="0.25">
      <c r="C1843" s="8">
        <f t="shared" ref="C1843" si="4074">(D1838^2)</f>
        <v>3.7358700567866143</v>
      </c>
      <c r="D1843" s="1">
        <f t="shared" ref="D1843" si="4075">2*C1838*D1838</f>
        <v>-4.3509957203971439</v>
      </c>
      <c r="E1843" s="1">
        <f t="shared" ref="E1843:E1844" si="4076">-2</f>
        <v>-2</v>
      </c>
      <c r="F1843" s="1">
        <f>0</f>
        <v>0</v>
      </c>
      <c r="G1843" s="9">
        <f>0</f>
        <v>0</v>
      </c>
    </row>
    <row r="1844" spans="1:10" x14ac:dyDescent="0.25">
      <c r="C1844" s="10">
        <f t="shared" ref="C1844" si="4077">2*C1838</f>
        <v>-2.2510895668861335</v>
      </c>
      <c r="D1844" s="11">
        <f t="shared" ref="D1844" si="4078">-4*D1838</f>
        <v>-7.7313595769816468</v>
      </c>
      <c r="E1844" s="11">
        <f t="shared" si="4076"/>
        <v>-2</v>
      </c>
      <c r="F1844" s="11">
        <f>0</f>
        <v>0</v>
      </c>
      <c r="G1844" s="12">
        <f>0</f>
        <v>0</v>
      </c>
    </row>
    <row r="1845" spans="1:10" x14ac:dyDescent="0.25">
      <c r="B1845" t="s">
        <v>21</v>
      </c>
      <c r="C1845" s="1" cm="1">
        <f t="array" ref="C1845:G1845">-MMULT(C1839:G1839,C1840:G1844)</f>
        <v>1.0737972301889219E-15</v>
      </c>
      <c r="D1845" s="1">
        <v>-1.448384444138685E-15</v>
      </c>
      <c r="E1845" s="1">
        <v>0</v>
      </c>
      <c r="F1845" s="1">
        <v>5.9382849800904388E-15</v>
      </c>
      <c r="G1845" s="1">
        <v>5.6172209973917592E-15</v>
      </c>
    </row>
    <row r="1846" spans="1:10" x14ac:dyDescent="0.25">
      <c r="B1846" t="s">
        <v>13</v>
      </c>
      <c r="C1846" s="1">
        <f t="shared" ref="C1846" si="4079">J1839/SUMPRODUCT(_xlfn.ANCHORARRAY(C1845),_xlfn.ANCHORARRAY(C1845))</f>
        <v>7.828261901978455E-3</v>
      </c>
    </row>
    <row r="1847" spans="1:10" x14ac:dyDescent="0.25">
      <c r="A1847" s="1" t="s">
        <v>4</v>
      </c>
      <c r="B1847" t="s">
        <v>18</v>
      </c>
      <c r="C1847" s="1" cm="1">
        <f t="array" ref="C1847:G1847">C1838:G1838+C1846*C1845:G1845</f>
        <v>-1.1255447834430667</v>
      </c>
      <c r="D1847" s="1">
        <v>1.9328398942454117</v>
      </c>
      <c r="E1847" s="1">
        <v>0.39755547298133398</v>
      </c>
      <c r="F1847" s="1">
        <v>-0.67495954138082259</v>
      </c>
      <c r="G1847" s="1">
        <v>-0.12015140458184528</v>
      </c>
    </row>
    <row r="1848" spans="1:10" x14ac:dyDescent="0.25">
      <c r="A1848" s="1">
        <v>206</v>
      </c>
      <c r="B1848" t="s">
        <v>19</v>
      </c>
      <c r="C1848" s="1">
        <f t="shared" ref="C1848" si="4080">2*C1847-F1847*(D1847^2)-2*G1847*C1847</f>
        <v>6.106226635438361E-16</v>
      </c>
      <c r="D1848" s="1">
        <f t="shared" ref="D1848" si="4081">2*D1847-2*F1847*C1847*D1847+4*G1847*D1847</f>
        <v>0</v>
      </c>
      <c r="E1848" s="1">
        <f t="shared" ref="E1848" si="4082">4*E1847+2*F1847+2*G1847</f>
        <v>0</v>
      </c>
      <c r="F1848" s="1">
        <f t="shared" ref="F1848" si="4083">C1847*(D1847^2)-2*E1847+5</f>
        <v>0</v>
      </c>
      <c r="G1848" s="1">
        <f t="shared" ref="G1848" si="4084">C1847^2-2*(D1847^2)-2*E1847+7</f>
        <v>0</v>
      </c>
      <c r="J1848" s="1">
        <f t="shared" ref="J1848" si="4085">0.5*(C1848*C1848+D1848*D1848+E1848*E1848+F1848*F1848+G1848*G1848)</f>
        <v>1.8643001861668443E-31</v>
      </c>
    </row>
    <row r="1849" spans="1:10" x14ac:dyDescent="0.25">
      <c r="C1849" s="5">
        <f t="shared" ref="C1849" si="4086">2-2*G1847</f>
        <v>2.2403028091636905</v>
      </c>
      <c r="D1849" s="6">
        <f t="shared" ref="D1849" si="4087">-2*F1847*D1847</f>
        <v>2.6091774571648814</v>
      </c>
      <c r="E1849" s="6">
        <f>0</f>
        <v>0</v>
      </c>
      <c r="F1849" s="6">
        <f t="shared" ref="F1849" si="4088">-(D1847^2)</f>
        <v>-3.7358700567866143</v>
      </c>
      <c r="G1849" s="7">
        <f t="shared" ref="G1849" si="4089">-2*C1847</f>
        <v>2.2510895668861335</v>
      </c>
    </row>
    <row r="1850" spans="1:10" x14ac:dyDescent="0.25">
      <c r="C1850" s="8">
        <f t="shared" ref="C1850" si="4090">-2*F1847*D1847</f>
        <v>2.6091774571648814</v>
      </c>
      <c r="D1850" s="1">
        <f t="shared" ref="D1850" si="4091">2-2*F1847*C1847+4*G1847</f>
        <v>0</v>
      </c>
      <c r="E1850" s="1">
        <f>0</f>
        <v>0</v>
      </c>
      <c r="F1850" s="1">
        <f t="shared" ref="F1850" si="4092">-2*C1847*D1847</f>
        <v>4.3509957203971439</v>
      </c>
      <c r="G1850" s="9">
        <f t="shared" ref="G1850" si="4093">4*D1847</f>
        <v>7.7313595769816468</v>
      </c>
    </row>
    <row r="1851" spans="1:10" x14ac:dyDescent="0.25">
      <c r="B1851" t="s">
        <v>20</v>
      </c>
      <c r="C1851" s="8">
        <f>0</f>
        <v>0</v>
      </c>
      <c r="D1851" s="1">
        <f>0</f>
        <v>0</v>
      </c>
      <c r="E1851" s="1">
        <f>4</f>
        <v>4</v>
      </c>
      <c r="F1851" s="1">
        <f>2</f>
        <v>2</v>
      </c>
      <c r="G1851" s="9">
        <f>2</f>
        <v>2</v>
      </c>
    </row>
    <row r="1852" spans="1:10" x14ac:dyDescent="0.25">
      <c r="C1852" s="8">
        <f t="shared" ref="C1852" si="4094">(D1847^2)</f>
        <v>3.7358700567866143</v>
      </c>
      <c r="D1852" s="1">
        <f t="shared" ref="D1852" si="4095">2*C1847*D1847</f>
        <v>-4.3509957203971439</v>
      </c>
      <c r="E1852" s="1">
        <f t="shared" ref="E1852:E1853" si="4096">-2</f>
        <v>-2</v>
      </c>
      <c r="F1852" s="1">
        <f>0</f>
        <v>0</v>
      </c>
      <c r="G1852" s="9">
        <f>0</f>
        <v>0</v>
      </c>
    </row>
    <row r="1853" spans="1:10" x14ac:dyDescent="0.25">
      <c r="C1853" s="10">
        <f t="shared" ref="C1853" si="4097">2*C1847</f>
        <v>-2.2510895668861335</v>
      </c>
      <c r="D1853" s="11">
        <f t="shared" ref="D1853" si="4098">-4*D1847</f>
        <v>-7.7313595769816468</v>
      </c>
      <c r="E1853" s="11">
        <f t="shared" si="4096"/>
        <v>-2</v>
      </c>
      <c r="F1853" s="11">
        <f>0</f>
        <v>0</v>
      </c>
      <c r="G1853" s="12">
        <f>0</f>
        <v>0</v>
      </c>
    </row>
    <row r="1854" spans="1:10" x14ac:dyDescent="0.25">
      <c r="B1854" t="s">
        <v>21</v>
      </c>
      <c r="C1854" s="1" cm="1">
        <f t="array" ref="C1854:G1854">-MMULT(C1848:G1848,C1849:G1853)</f>
        <v>-1.367979668476271E-15</v>
      </c>
      <c r="D1854" s="1">
        <v>-1.5932228885525532E-15</v>
      </c>
      <c r="E1854" s="1">
        <v>0</v>
      </c>
      <c r="F1854" s="1">
        <v>2.2812069247287048E-15</v>
      </c>
      <c r="G1854" s="1">
        <v>-1.3745663072077511E-15</v>
      </c>
    </row>
    <row r="1855" spans="1:10" x14ac:dyDescent="0.25">
      <c r="B1855" t="s">
        <v>13</v>
      </c>
      <c r="C1855" s="1">
        <f t="shared" ref="C1855" si="4099">J1848/SUMPRODUCT(_xlfn.ANCHORARRAY(C1854),_xlfn.ANCHORARRAY(C1854))</f>
        <v>1.6206986294211755E-2</v>
      </c>
    </row>
    <row r="1856" spans="1:10" x14ac:dyDescent="0.25">
      <c r="A1856" s="1" t="s">
        <v>4</v>
      </c>
      <c r="B1856" t="s">
        <v>18</v>
      </c>
      <c r="C1856" s="1" cm="1">
        <f t="array" ref="C1856:G1856">C1847:G1847+C1855*C1854:G1854</f>
        <v>-1.1255447834430667</v>
      </c>
      <c r="D1856" s="1">
        <v>1.9328398942454117</v>
      </c>
      <c r="E1856" s="1">
        <v>0.39755547298133398</v>
      </c>
      <c r="F1856" s="1">
        <v>-0.67495954138082259</v>
      </c>
      <c r="G1856" s="1">
        <v>-0.12015140458184531</v>
      </c>
    </row>
    <row r="1857" spans="1:10" x14ac:dyDescent="0.25">
      <c r="A1857" s="1">
        <v>207</v>
      </c>
      <c r="B1857" t="s">
        <v>19</v>
      </c>
      <c r="C1857" s="1">
        <f t="shared" ref="C1857" si="4100">2*C1856-F1856*(D1856^2)-2*G1856*C1856</f>
        <v>5.5511151231257827E-16</v>
      </c>
      <c r="D1857" s="1">
        <f t="shared" ref="D1857" si="4101">2*D1856-2*F1856*C1856*D1856+4*G1856*D1856</f>
        <v>0</v>
      </c>
      <c r="E1857" s="1">
        <f t="shared" ref="E1857" si="4102">4*E1856+2*F1856+2*G1856</f>
        <v>0</v>
      </c>
      <c r="F1857" s="1">
        <f t="shared" ref="F1857" si="4103">C1856*(D1856^2)-2*E1856+5</f>
        <v>0</v>
      </c>
      <c r="G1857" s="1">
        <f t="shared" ref="G1857" si="4104">C1856^2-2*(D1856^2)-2*E1856+7</f>
        <v>0</v>
      </c>
      <c r="J1857" s="1">
        <f t="shared" ref="J1857" si="4105">0.5*(C1857*C1857+D1857*D1857+E1857*E1857+F1857*F1857+G1857*G1857)</f>
        <v>1.5407439555097887E-31</v>
      </c>
    </row>
    <row r="1858" spans="1:10" x14ac:dyDescent="0.25">
      <c r="C1858" s="5">
        <f t="shared" ref="C1858" si="4106">2-2*G1856</f>
        <v>2.2403028091636905</v>
      </c>
      <c r="D1858" s="6">
        <f t="shared" ref="D1858" si="4107">-2*F1856*D1856</f>
        <v>2.6091774571648814</v>
      </c>
      <c r="E1858" s="6">
        <f>0</f>
        <v>0</v>
      </c>
      <c r="F1858" s="6">
        <f t="shared" ref="F1858" si="4108">-(D1856^2)</f>
        <v>-3.7358700567866143</v>
      </c>
      <c r="G1858" s="7">
        <f t="shared" ref="G1858" si="4109">-2*C1856</f>
        <v>2.2510895668861335</v>
      </c>
    </row>
    <row r="1859" spans="1:10" x14ac:dyDescent="0.25">
      <c r="C1859" s="8">
        <f t="shared" ref="C1859" si="4110">-2*F1856*D1856</f>
        <v>2.6091774571648814</v>
      </c>
      <c r="D1859" s="1">
        <f t="shared" ref="D1859" si="4111">2-2*F1856*C1856+4*G1856</f>
        <v>-4.4408920985006262E-16</v>
      </c>
      <c r="E1859" s="1">
        <f>0</f>
        <v>0</v>
      </c>
      <c r="F1859" s="1">
        <f t="shared" ref="F1859" si="4112">-2*C1856*D1856</f>
        <v>4.3509957203971439</v>
      </c>
      <c r="G1859" s="9">
        <f t="shared" ref="G1859" si="4113">4*D1856</f>
        <v>7.7313595769816468</v>
      </c>
    </row>
    <row r="1860" spans="1:10" x14ac:dyDescent="0.25">
      <c r="B1860" t="s">
        <v>20</v>
      </c>
      <c r="C1860" s="8">
        <f>0</f>
        <v>0</v>
      </c>
      <c r="D1860" s="1">
        <f>0</f>
        <v>0</v>
      </c>
      <c r="E1860" s="1">
        <f>4</f>
        <v>4</v>
      </c>
      <c r="F1860" s="1">
        <f>2</f>
        <v>2</v>
      </c>
      <c r="G1860" s="9">
        <f>2</f>
        <v>2</v>
      </c>
    </row>
    <row r="1861" spans="1:10" x14ac:dyDescent="0.25">
      <c r="C1861" s="8">
        <f t="shared" ref="C1861" si="4114">(D1856^2)</f>
        <v>3.7358700567866143</v>
      </c>
      <c r="D1861" s="1">
        <f t="shared" ref="D1861" si="4115">2*C1856*D1856</f>
        <v>-4.3509957203971439</v>
      </c>
      <c r="E1861" s="1">
        <f t="shared" ref="E1861:E1862" si="4116">-2</f>
        <v>-2</v>
      </c>
      <c r="F1861" s="1">
        <f>0</f>
        <v>0</v>
      </c>
      <c r="G1861" s="9">
        <f>0</f>
        <v>0</v>
      </c>
    </row>
    <row r="1862" spans="1:10" x14ac:dyDescent="0.25">
      <c r="C1862" s="10">
        <f t="shared" ref="C1862" si="4117">2*C1856</f>
        <v>-2.2510895668861335</v>
      </c>
      <c r="D1862" s="11">
        <f t="shared" ref="D1862" si="4118">-4*D1856</f>
        <v>-7.7313595769816468</v>
      </c>
      <c r="E1862" s="11">
        <f t="shared" si="4116"/>
        <v>-2</v>
      </c>
      <c r="F1862" s="11">
        <f>0</f>
        <v>0</v>
      </c>
      <c r="G1862" s="12">
        <f>0</f>
        <v>0</v>
      </c>
    </row>
    <row r="1863" spans="1:10" x14ac:dyDescent="0.25">
      <c r="B1863" t="s">
        <v>21</v>
      </c>
      <c r="C1863" s="1" cm="1">
        <f t="array" ref="C1863:G1863">-MMULT(C1857:G1857,C1858:G1862)</f>
        <v>-1.2436178804329737E-15</v>
      </c>
      <c r="D1863" s="1">
        <v>-1.4483844441386847E-15</v>
      </c>
      <c r="E1863" s="1">
        <v>0</v>
      </c>
      <c r="F1863" s="1">
        <v>2.0738244770260952E-15</v>
      </c>
      <c r="G1863" s="1">
        <v>-1.2496057338252283E-15</v>
      </c>
    </row>
    <row r="1864" spans="1:10" x14ac:dyDescent="0.25">
      <c r="B1864" t="s">
        <v>13</v>
      </c>
      <c r="C1864" s="1">
        <f t="shared" ref="C1864" si="4119">J1857/SUMPRODUCT(_xlfn.ANCHORARRAY(C1863),_xlfn.ANCHORARRAY(C1863))</f>
        <v>1.6206986294211755E-2</v>
      </c>
    </row>
    <row r="1865" spans="1:10" x14ac:dyDescent="0.25">
      <c r="A1865" s="1" t="s">
        <v>4</v>
      </c>
      <c r="B1865" t="s">
        <v>18</v>
      </c>
      <c r="C1865" s="1" cm="1">
        <f t="array" ref="C1865:G1865">C1856:G1856+C1864*C1863:G1863</f>
        <v>-1.1255447834430667</v>
      </c>
      <c r="D1865" s="1">
        <v>1.9328398942454117</v>
      </c>
      <c r="E1865" s="1">
        <v>0.39755547298133398</v>
      </c>
      <c r="F1865" s="1">
        <v>-0.67495954138082259</v>
      </c>
      <c r="G1865" s="1">
        <v>-0.12015140458184533</v>
      </c>
    </row>
    <row r="1866" spans="1:10" x14ac:dyDescent="0.25">
      <c r="A1866" s="1">
        <v>208</v>
      </c>
      <c r="B1866" t="s">
        <v>19</v>
      </c>
      <c r="C1866" s="1">
        <f t="shared" ref="C1866" si="4120">2*C1865-F1865*(D1865^2)-2*G1865*C1865</f>
        <v>5.5511151231257827E-16</v>
      </c>
      <c r="D1866" s="1">
        <f t="shared" ref="D1866" si="4121">2*D1865-2*F1865*C1865*D1865+4*G1865*D1865</f>
        <v>-8.8817841970012523E-16</v>
      </c>
      <c r="E1866" s="1">
        <f t="shared" ref="E1866" si="4122">4*E1865+2*F1865+2*G1865</f>
        <v>0</v>
      </c>
      <c r="F1866" s="1">
        <f t="shared" ref="F1866" si="4123">C1865*(D1865^2)-2*E1865+5</f>
        <v>0</v>
      </c>
      <c r="G1866" s="1">
        <f t="shared" ref="G1866" si="4124">C1865^2-2*(D1865^2)-2*E1865+7</f>
        <v>0</v>
      </c>
      <c r="J1866" s="1">
        <f t="shared" ref="J1866" si="4125">0.5*(C1866*C1866+D1866*D1866+E1866*E1866+F1866*F1866+G1866*G1866)</f>
        <v>5.4850484816148477E-31</v>
      </c>
    </row>
    <row r="1867" spans="1:10" x14ac:dyDescent="0.25">
      <c r="C1867" s="5">
        <f t="shared" ref="C1867" si="4126">2-2*G1865</f>
        <v>2.2403028091636905</v>
      </c>
      <c r="D1867" s="6">
        <f t="shared" ref="D1867" si="4127">-2*F1865*D1865</f>
        <v>2.6091774571648814</v>
      </c>
      <c r="E1867" s="6">
        <f>0</f>
        <v>0</v>
      </c>
      <c r="F1867" s="6">
        <f t="shared" ref="F1867" si="4128">-(D1865^2)</f>
        <v>-3.7358700567866143</v>
      </c>
      <c r="G1867" s="7">
        <f t="shared" ref="G1867" si="4129">-2*C1865</f>
        <v>2.2510895668861335</v>
      </c>
    </row>
    <row r="1868" spans="1:10" x14ac:dyDescent="0.25">
      <c r="C1868" s="8">
        <f t="shared" ref="C1868" si="4130">-2*F1865*D1865</f>
        <v>2.6091774571648814</v>
      </c>
      <c r="D1868" s="1">
        <f t="shared" ref="D1868" si="4131">2-2*F1865*C1865+4*G1865</f>
        <v>-4.9960036108132044E-16</v>
      </c>
      <c r="E1868" s="1">
        <f>0</f>
        <v>0</v>
      </c>
      <c r="F1868" s="1">
        <f t="shared" ref="F1868" si="4132">-2*C1865*D1865</f>
        <v>4.3509957203971439</v>
      </c>
      <c r="G1868" s="9">
        <f t="shared" ref="G1868" si="4133">4*D1865</f>
        <v>7.7313595769816468</v>
      </c>
    </row>
    <row r="1869" spans="1:10" x14ac:dyDescent="0.25">
      <c r="B1869" t="s">
        <v>20</v>
      </c>
      <c r="C1869" s="8">
        <f>0</f>
        <v>0</v>
      </c>
      <c r="D1869" s="1">
        <f>0</f>
        <v>0</v>
      </c>
      <c r="E1869" s="1">
        <f>4</f>
        <v>4</v>
      </c>
      <c r="F1869" s="1">
        <f>2</f>
        <v>2</v>
      </c>
      <c r="G1869" s="9">
        <f>2</f>
        <v>2</v>
      </c>
    </row>
    <row r="1870" spans="1:10" x14ac:dyDescent="0.25">
      <c r="C1870" s="8">
        <f t="shared" ref="C1870" si="4134">(D1865^2)</f>
        <v>3.7358700567866143</v>
      </c>
      <c r="D1870" s="1">
        <f t="shared" ref="D1870" si="4135">2*C1865*D1865</f>
        <v>-4.3509957203971439</v>
      </c>
      <c r="E1870" s="1">
        <f t="shared" ref="E1870:E1871" si="4136">-2</f>
        <v>-2</v>
      </c>
      <c r="F1870" s="1">
        <f>0</f>
        <v>0</v>
      </c>
      <c r="G1870" s="9">
        <f>0</f>
        <v>0</v>
      </c>
    </row>
    <row r="1871" spans="1:10" x14ac:dyDescent="0.25">
      <c r="C1871" s="10">
        <f t="shared" ref="C1871" si="4137">2*C1865</f>
        <v>-2.2510895668861335</v>
      </c>
      <c r="D1871" s="11">
        <f t="shared" ref="D1871" si="4138">-4*D1865</f>
        <v>-7.7313595769816468</v>
      </c>
      <c r="E1871" s="11">
        <f t="shared" si="4136"/>
        <v>-2</v>
      </c>
      <c r="F1871" s="11">
        <f>0</f>
        <v>0</v>
      </c>
      <c r="G1871" s="12">
        <f>0</f>
        <v>0</v>
      </c>
    </row>
    <row r="1872" spans="1:10" x14ac:dyDescent="0.25">
      <c r="B1872" t="s">
        <v>21</v>
      </c>
      <c r="C1872" s="1" cm="1">
        <f t="array" ref="C1872:G1872">-MMULT(C1866:G1866,C1867:G1871)</f>
        <v>1.0737972301889219E-15</v>
      </c>
      <c r="D1872" s="1">
        <v>-1.448384444138685E-15</v>
      </c>
      <c r="E1872" s="1">
        <v>0</v>
      </c>
      <c r="F1872" s="1">
        <v>5.9382849800904388E-15</v>
      </c>
      <c r="G1872" s="1">
        <v>5.6172209973917592E-15</v>
      </c>
    </row>
    <row r="1873" spans="1:10" x14ac:dyDescent="0.25">
      <c r="B1873" t="s">
        <v>13</v>
      </c>
      <c r="C1873" s="1">
        <f t="shared" ref="C1873" si="4139">J1866/SUMPRODUCT(_xlfn.ANCHORARRAY(C1872),_xlfn.ANCHORARRAY(C1872))</f>
        <v>7.828261901978455E-3</v>
      </c>
    </row>
    <row r="1874" spans="1:10" x14ac:dyDescent="0.25">
      <c r="A1874" s="1" t="s">
        <v>4</v>
      </c>
      <c r="B1874" t="s">
        <v>18</v>
      </c>
      <c r="C1874" s="1" cm="1">
        <f t="array" ref="C1874:G1874">C1865:G1865+C1873*C1872:G1872</f>
        <v>-1.1255447834430667</v>
      </c>
      <c r="D1874" s="1">
        <v>1.9328398942454117</v>
      </c>
      <c r="E1874" s="1">
        <v>0.39755547298133398</v>
      </c>
      <c r="F1874" s="1">
        <v>-0.67495954138082259</v>
      </c>
      <c r="G1874" s="1">
        <v>-0.12015140458184528</v>
      </c>
    </row>
    <row r="1875" spans="1:10" x14ac:dyDescent="0.25">
      <c r="A1875" s="1">
        <v>209</v>
      </c>
      <c r="B1875" t="s">
        <v>19</v>
      </c>
      <c r="C1875" s="1">
        <f t="shared" ref="C1875" si="4140">2*C1874-F1874*(D1874^2)-2*G1874*C1874</f>
        <v>6.106226635438361E-16</v>
      </c>
      <c r="D1875" s="1">
        <f t="shared" ref="D1875" si="4141">2*D1874-2*F1874*C1874*D1874+4*G1874*D1874</f>
        <v>0</v>
      </c>
      <c r="E1875" s="1">
        <f t="shared" ref="E1875" si="4142">4*E1874+2*F1874+2*G1874</f>
        <v>0</v>
      </c>
      <c r="F1875" s="1">
        <f t="shared" ref="F1875" si="4143">C1874*(D1874^2)-2*E1874+5</f>
        <v>0</v>
      </c>
      <c r="G1875" s="1">
        <f t="shared" ref="G1875" si="4144">C1874^2-2*(D1874^2)-2*E1874+7</f>
        <v>0</v>
      </c>
      <c r="J1875" s="1">
        <f t="shared" ref="J1875" si="4145">0.5*(C1875*C1875+D1875*D1875+E1875*E1875+F1875*F1875+G1875*G1875)</f>
        <v>1.8643001861668443E-31</v>
      </c>
    </row>
    <row r="1876" spans="1:10" x14ac:dyDescent="0.25">
      <c r="C1876" s="5">
        <f t="shared" ref="C1876" si="4146">2-2*G1874</f>
        <v>2.2403028091636905</v>
      </c>
      <c r="D1876" s="6">
        <f t="shared" ref="D1876" si="4147">-2*F1874*D1874</f>
        <v>2.6091774571648814</v>
      </c>
      <c r="E1876" s="6">
        <f>0</f>
        <v>0</v>
      </c>
      <c r="F1876" s="6">
        <f t="shared" ref="F1876" si="4148">-(D1874^2)</f>
        <v>-3.7358700567866143</v>
      </c>
      <c r="G1876" s="7">
        <f t="shared" ref="G1876" si="4149">-2*C1874</f>
        <v>2.2510895668861335</v>
      </c>
    </row>
    <row r="1877" spans="1:10" x14ac:dyDescent="0.25">
      <c r="C1877" s="8">
        <f t="shared" ref="C1877" si="4150">-2*F1874*D1874</f>
        <v>2.6091774571648814</v>
      </c>
      <c r="D1877" s="1">
        <f t="shared" ref="D1877" si="4151">2-2*F1874*C1874+4*G1874</f>
        <v>0</v>
      </c>
      <c r="E1877" s="1">
        <f>0</f>
        <v>0</v>
      </c>
      <c r="F1877" s="1">
        <f t="shared" ref="F1877" si="4152">-2*C1874*D1874</f>
        <v>4.3509957203971439</v>
      </c>
      <c r="G1877" s="9">
        <f t="shared" ref="G1877" si="4153">4*D1874</f>
        <v>7.7313595769816468</v>
      </c>
    </row>
    <row r="1878" spans="1:10" x14ac:dyDescent="0.25">
      <c r="B1878" t="s">
        <v>20</v>
      </c>
      <c r="C1878" s="8">
        <f>0</f>
        <v>0</v>
      </c>
      <c r="D1878" s="1">
        <f>0</f>
        <v>0</v>
      </c>
      <c r="E1878" s="1">
        <f>4</f>
        <v>4</v>
      </c>
      <c r="F1878" s="1">
        <f>2</f>
        <v>2</v>
      </c>
      <c r="G1878" s="9">
        <f>2</f>
        <v>2</v>
      </c>
    </row>
    <row r="1879" spans="1:10" x14ac:dyDescent="0.25">
      <c r="C1879" s="8">
        <f t="shared" ref="C1879" si="4154">(D1874^2)</f>
        <v>3.7358700567866143</v>
      </c>
      <c r="D1879" s="1">
        <f t="shared" ref="D1879" si="4155">2*C1874*D1874</f>
        <v>-4.3509957203971439</v>
      </c>
      <c r="E1879" s="1">
        <f t="shared" ref="E1879:E1880" si="4156">-2</f>
        <v>-2</v>
      </c>
      <c r="F1879" s="1">
        <f>0</f>
        <v>0</v>
      </c>
      <c r="G1879" s="9">
        <f>0</f>
        <v>0</v>
      </c>
    </row>
    <row r="1880" spans="1:10" x14ac:dyDescent="0.25">
      <c r="C1880" s="10">
        <f t="shared" ref="C1880" si="4157">2*C1874</f>
        <v>-2.2510895668861335</v>
      </c>
      <c r="D1880" s="11">
        <f t="shared" ref="D1880" si="4158">-4*D1874</f>
        <v>-7.7313595769816468</v>
      </c>
      <c r="E1880" s="11">
        <f t="shared" si="4156"/>
        <v>-2</v>
      </c>
      <c r="F1880" s="11">
        <f>0</f>
        <v>0</v>
      </c>
      <c r="G1880" s="12">
        <f>0</f>
        <v>0</v>
      </c>
    </row>
    <row r="1881" spans="1:10" x14ac:dyDescent="0.25">
      <c r="B1881" t="s">
        <v>21</v>
      </c>
      <c r="C1881" s="1" cm="1">
        <f t="array" ref="C1881:G1881">-MMULT(C1875:G1875,C1876:G1880)</f>
        <v>-1.367979668476271E-15</v>
      </c>
      <c r="D1881" s="1">
        <v>-1.5932228885525532E-15</v>
      </c>
      <c r="E1881" s="1">
        <v>0</v>
      </c>
      <c r="F1881" s="1">
        <v>2.2812069247287048E-15</v>
      </c>
      <c r="G1881" s="1">
        <v>-1.3745663072077511E-15</v>
      </c>
    </row>
    <row r="1882" spans="1:10" x14ac:dyDescent="0.25">
      <c r="B1882" t="s">
        <v>13</v>
      </c>
      <c r="C1882" s="1">
        <f t="shared" ref="C1882" si="4159">J1875/SUMPRODUCT(_xlfn.ANCHORARRAY(C1881),_xlfn.ANCHORARRAY(C1881))</f>
        <v>1.6206986294211755E-2</v>
      </c>
    </row>
    <row r="1883" spans="1:10" x14ac:dyDescent="0.25">
      <c r="A1883" s="1" t="s">
        <v>4</v>
      </c>
      <c r="B1883" t="s">
        <v>18</v>
      </c>
      <c r="C1883" s="1" cm="1">
        <f t="array" ref="C1883:G1883">C1874:G1874+C1882*C1881:G1881</f>
        <v>-1.1255447834430667</v>
      </c>
      <c r="D1883" s="1">
        <v>1.9328398942454117</v>
      </c>
      <c r="E1883" s="1">
        <v>0.39755547298133398</v>
      </c>
      <c r="F1883" s="1">
        <v>-0.67495954138082259</v>
      </c>
      <c r="G1883" s="1">
        <v>-0.12015140458184531</v>
      </c>
    </row>
    <row r="1884" spans="1:10" x14ac:dyDescent="0.25">
      <c r="A1884" s="1">
        <v>210</v>
      </c>
      <c r="B1884" t="s">
        <v>19</v>
      </c>
      <c r="C1884" s="1">
        <f t="shared" ref="C1884" si="4160">2*C1883-F1883*(D1883^2)-2*G1883*C1883</f>
        <v>5.5511151231257827E-16</v>
      </c>
      <c r="D1884" s="1">
        <f t="shared" ref="D1884" si="4161">2*D1883-2*F1883*C1883*D1883+4*G1883*D1883</f>
        <v>0</v>
      </c>
      <c r="E1884" s="1">
        <f t="shared" ref="E1884" si="4162">4*E1883+2*F1883+2*G1883</f>
        <v>0</v>
      </c>
      <c r="F1884" s="1">
        <f t="shared" ref="F1884" si="4163">C1883*(D1883^2)-2*E1883+5</f>
        <v>0</v>
      </c>
      <c r="G1884" s="1">
        <f t="shared" ref="G1884" si="4164">C1883^2-2*(D1883^2)-2*E1883+7</f>
        <v>0</v>
      </c>
      <c r="J1884" s="1">
        <f t="shared" ref="J1884" si="4165">0.5*(C1884*C1884+D1884*D1884+E1884*E1884+F1884*F1884+G1884*G1884)</f>
        <v>1.5407439555097887E-31</v>
      </c>
    </row>
    <row r="1885" spans="1:10" x14ac:dyDescent="0.25">
      <c r="C1885" s="5">
        <f t="shared" ref="C1885" si="4166">2-2*G1883</f>
        <v>2.2403028091636905</v>
      </c>
      <c r="D1885" s="6">
        <f t="shared" ref="D1885" si="4167">-2*F1883*D1883</f>
        <v>2.6091774571648814</v>
      </c>
      <c r="E1885" s="6">
        <f>0</f>
        <v>0</v>
      </c>
      <c r="F1885" s="6">
        <f t="shared" ref="F1885" si="4168">-(D1883^2)</f>
        <v>-3.7358700567866143</v>
      </c>
      <c r="G1885" s="7">
        <f t="shared" ref="G1885" si="4169">-2*C1883</f>
        <v>2.2510895668861335</v>
      </c>
    </row>
    <row r="1886" spans="1:10" x14ac:dyDescent="0.25">
      <c r="C1886" s="8">
        <f t="shared" ref="C1886" si="4170">-2*F1883*D1883</f>
        <v>2.6091774571648814</v>
      </c>
      <c r="D1886" s="1">
        <f t="shared" ref="D1886" si="4171">2-2*F1883*C1883+4*G1883</f>
        <v>-4.4408920985006262E-16</v>
      </c>
      <c r="E1886" s="1">
        <f>0</f>
        <v>0</v>
      </c>
      <c r="F1886" s="1">
        <f t="shared" ref="F1886" si="4172">-2*C1883*D1883</f>
        <v>4.3509957203971439</v>
      </c>
      <c r="G1886" s="9">
        <f t="shared" ref="G1886" si="4173">4*D1883</f>
        <v>7.7313595769816468</v>
      </c>
    </row>
    <row r="1887" spans="1:10" x14ac:dyDescent="0.25">
      <c r="B1887" t="s">
        <v>20</v>
      </c>
      <c r="C1887" s="8">
        <f>0</f>
        <v>0</v>
      </c>
      <c r="D1887" s="1">
        <f>0</f>
        <v>0</v>
      </c>
      <c r="E1887" s="1">
        <f>4</f>
        <v>4</v>
      </c>
      <c r="F1887" s="1">
        <f>2</f>
        <v>2</v>
      </c>
      <c r="G1887" s="9">
        <f>2</f>
        <v>2</v>
      </c>
    </row>
    <row r="1888" spans="1:10" x14ac:dyDescent="0.25">
      <c r="C1888" s="8">
        <f t="shared" ref="C1888" si="4174">(D1883^2)</f>
        <v>3.7358700567866143</v>
      </c>
      <c r="D1888" s="1">
        <f t="shared" ref="D1888" si="4175">2*C1883*D1883</f>
        <v>-4.3509957203971439</v>
      </c>
      <c r="E1888" s="1">
        <f t="shared" ref="E1888:E1889" si="4176">-2</f>
        <v>-2</v>
      </c>
      <c r="F1888" s="1">
        <f>0</f>
        <v>0</v>
      </c>
      <c r="G1888" s="9">
        <f>0</f>
        <v>0</v>
      </c>
    </row>
    <row r="1889" spans="1:10" x14ac:dyDescent="0.25">
      <c r="C1889" s="10">
        <f t="shared" ref="C1889" si="4177">2*C1883</f>
        <v>-2.2510895668861335</v>
      </c>
      <c r="D1889" s="11">
        <f t="shared" ref="D1889" si="4178">-4*D1883</f>
        <v>-7.7313595769816468</v>
      </c>
      <c r="E1889" s="11">
        <f t="shared" si="4176"/>
        <v>-2</v>
      </c>
      <c r="F1889" s="11">
        <f>0</f>
        <v>0</v>
      </c>
      <c r="G1889" s="12">
        <f>0</f>
        <v>0</v>
      </c>
    </row>
    <row r="1890" spans="1:10" x14ac:dyDescent="0.25">
      <c r="B1890" t="s">
        <v>21</v>
      </c>
      <c r="C1890" s="1" cm="1">
        <f t="array" ref="C1890:G1890">-MMULT(C1884:G1884,C1885:G1889)</f>
        <v>-1.2436178804329737E-15</v>
      </c>
      <c r="D1890" s="1">
        <v>-1.4483844441386847E-15</v>
      </c>
      <c r="E1890" s="1">
        <v>0</v>
      </c>
      <c r="F1890" s="1">
        <v>2.0738244770260952E-15</v>
      </c>
      <c r="G1890" s="1">
        <v>-1.2496057338252283E-15</v>
      </c>
    </row>
    <row r="1891" spans="1:10" x14ac:dyDescent="0.25">
      <c r="B1891" t="s">
        <v>13</v>
      </c>
      <c r="C1891" s="1">
        <f t="shared" ref="C1891" si="4179">J1884/SUMPRODUCT(_xlfn.ANCHORARRAY(C1890),_xlfn.ANCHORARRAY(C1890))</f>
        <v>1.6206986294211755E-2</v>
      </c>
    </row>
    <row r="1892" spans="1:10" x14ac:dyDescent="0.25">
      <c r="A1892" s="1" t="s">
        <v>4</v>
      </c>
      <c r="B1892" t="s">
        <v>18</v>
      </c>
      <c r="C1892" s="1" cm="1">
        <f t="array" ref="C1892:G1892">C1883:G1883+C1891*C1890:G1890</f>
        <v>-1.1255447834430667</v>
      </c>
      <c r="D1892" s="1">
        <v>1.9328398942454117</v>
      </c>
      <c r="E1892" s="1">
        <v>0.39755547298133398</v>
      </c>
      <c r="F1892" s="1">
        <v>-0.67495954138082259</v>
      </c>
      <c r="G1892" s="1">
        <v>-0.12015140458184533</v>
      </c>
    </row>
    <row r="1893" spans="1:10" x14ac:dyDescent="0.25">
      <c r="A1893" s="1">
        <v>211</v>
      </c>
      <c r="B1893" t="s">
        <v>19</v>
      </c>
      <c r="C1893" s="1">
        <f t="shared" ref="C1893" si="4180">2*C1892-F1892*(D1892^2)-2*G1892*C1892</f>
        <v>5.5511151231257827E-16</v>
      </c>
      <c r="D1893" s="1">
        <f t="shared" ref="D1893" si="4181">2*D1892-2*F1892*C1892*D1892+4*G1892*D1892</f>
        <v>-8.8817841970012523E-16</v>
      </c>
      <c r="E1893" s="1">
        <f t="shared" ref="E1893" si="4182">4*E1892+2*F1892+2*G1892</f>
        <v>0</v>
      </c>
      <c r="F1893" s="1">
        <f t="shared" ref="F1893" si="4183">C1892*(D1892^2)-2*E1892+5</f>
        <v>0</v>
      </c>
      <c r="G1893" s="1">
        <f t="shared" ref="G1893" si="4184">C1892^2-2*(D1892^2)-2*E1892+7</f>
        <v>0</v>
      </c>
      <c r="J1893" s="1">
        <f t="shared" ref="J1893" si="4185">0.5*(C1893*C1893+D1893*D1893+E1893*E1893+F1893*F1893+G1893*G1893)</f>
        <v>5.4850484816148477E-31</v>
      </c>
    </row>
    <row r="1894" spans="1:10" x14ac:dyDescent="0.25">
      <c r="C1894" s="5">
        <f t="shared" ref="C1894" si="4186">2-2*G1892</f>
        <v>2.2403028091636905</v>
      </c>
      <c r="D1894" s="6">
        <f t="shared" ref="D1894" si="4187">-2*F1892*D1892</f>
        <v>2.6091774571648814</v>
      </c>
      <c r="E1894" s="6">
        <f>0</f>
        <v>0</v>
      </c>
      <c r="F1894" s="6">
        <f t="shared" ref="F1894" si="4188">-(D1892^2)</f>
        <v>-3.7358700567866143</v>
      </c>
      <c r="G1894" s="7">
        <f t="shared" ref="G1894" si="4189">-2*C1892</f>
        <v>2.2510895668861335</v>
      </c>
    </row>
    <row r="1895" spans="1:10" x14ac:dyDescent="0.25">
      <c r="C1895" s="8">
        <f t="shared" ref="C1895" si="4190">-2*F1892*D1892</f>
        <v>2.6091774571648814</v>
      </c>
      <c r="D1895" s="1">
        <f t="shared" ref="D1895" si="4191">2-2*F1892*C1892+4*G1892</f>
        <v>-4.9960036108132044E-16</v>
      </c>
      <c r="E1895" s="1">
        <f>0</f>
        <v>0</v>
      </c>
      <c r="F1895" s="1">
        <f t="shared" ref="F1895" si="4192">-2*C1892*D1892</f>
        <v>4.3509957203971439</v>
      </c>
      <c r="G1895" s="9">
        <f t="shared" ref="G1895" si="4193">4*D1892</f>
        <v>7.7313595769816468</v>
      </c>
    </row>
    <row r="1896" spans="1:10" x14ac:dyDescent="0.25">
      <c r="B1896" t="s">
        <v>20</v>
      </c>
      <c r="C1896" s="8">
        <f>0</f>
        <v>0</v>
      </c>
      <c r="D1896" s="1">
        <f>0</f>
        <v>0</v>
      </c>
      <c r="E1896" s="1">
        <f>4</f>
        <v>4</v>
      </c>
      <c r="F1896" s="1">
        <f>2</f>
        <v>2</v>
      </c>
      <c r="G1896" s="9">
        <f>2</f>
        <v>2</v>
      </c>
    </row>
    <row r="1897" spans="1:10" x14ac:dyDescent="0.25">
      <c r="C1897" s="8">
        <f t="shared" ref="C1897" si="4194">(D1892^2)</f>
        <v>3.7358700567866143</v>
      </c>
      <c r="D1897" s="1">
        <f t="shared" ref="D1897" si="4195">2*C1892*D1892</f>
        <v>-4.3509957203971439</v>
      </c>
      <c r="E1897" s="1">
        <f t="shared" ref="E1897:E1898" si="4196">-2</f>
        <v>-2</v>
      </c>
      <c r="F1897" s="1">
        <f>0</f>
        <v>0</v>
      </c>
      <c r="G1897" s="9">
        <f>0</f>
        <v>0</v>
      </c>
    </row>
    <row r="1898" spans="1:10" x14ac:dyDescent="0.25">
      <c r="C1898" s="10">
        <f t="shared" ref="C1898" si="4197">2*C1892</f>
        <v>-2.2510895668861335</v>
      </c>
      <c r="D1898" s="11">
        <f t="shared" ref="D1898" si="4198">-4*D1892</f>
        <v>-7.7313595769816468</v>
      </c>
      <c r="E1898" s="11">
        <f t="shared" si="4196"/>
        <v>-2</v>
      </c>
      <c r="F1898" s="11">
        <f>0</f>
        <v>0</v>
      </c>
      <c r="G1898" s="12">
        <f>0</f>
        <v>0</v>
      </c>
    </row>
    <row r="1899" spans="1:10" x14ac:dyDescent="0.25">
      <c r="B1899" t="s">
        <v>21</v>
      </c>
      <c r="C1899" s="1" cm="1">
        <f t="array" ref="C1899:G1899">-MMULT(C1893:G1893,C1894:G1898)</f>
        <v>1.0737972301889219E-15</v>
      </c>
      <c r="D1899" s="1">
        <v>-1.448384444138685E-15</v>
      </c>
      <c r="E1899" s="1">
        <v>0</v>
      </c>
      <c r="F1899" s="1">
        <v>5.9382849800904388E-15</v>
      </c>
      <c r="G1899" s="1">
        <v>5.6172209973917592E-15</v>
      </c>
    </row>
    <row r="1900" spans="1:10" x14ac:dyDescent="0.25">
      <c r="B1900" t="s">
        <v>13</v>
      </c>
      <c r="C1900" s="1">
        <f t="shared" ref="C1900" si="4199">J1893/SUMPRODUCT(_xlfn.ANCHORARRAY(C1899),_xlfn.ANCHORARRAY(C1899))</f>
        <v>7.828261901978455E-3</v>
      </c>
    </row>
    <row r="1901" spans="1:10" x14ac:dyDescent="0.25">
      <c r="A1901" s="1" t="s">
        <v>4</v>
      </c>
      <c r="B1901" t="s">
        <v>18</v>
      </c>
      <c r="C1901" s="1" cm="1">
        <f t="array" ref="C1901:G1901">C1892:G1892+C1900*C1899:G1899</f>
        <v>-1.1255447834430667</v>
      </c>
      <c r="D1901" s="1">
        <v>1.9328398942454117</v>
      </c>
      <c r="E1901" s="1">
        <v>0.39755547298133398</v>
      </c>
      <c r="F1901" s="1">
        <v>-0.67495954138082259</v>
      </c>
      <c r="G1901" s="1">
        <v>-0.12015140458184528</v>
      </c>
    </row>
    <row r="1902" spans="1:10" x14ac:dyDescent="0.25">
      <c r="A1902" s="1">
        <v>212</v>
      </c>
      <c r="B1902" t="s">
        <v>19</v>
      </c>
      <c r="C1902" s="1">
        <f t="shared" ref="C1902" si="4200">2*C1901-F1901*(D1901^2)-2*G1901*C1901</f>
        <v>6.106226635438361E-16</v>
      </c>
      <c r="D1902" s="1">
        <f t="shared" ref="D1902" si="4201">2*D1901-2*F1901*C1901*D1901+4*G1901*D1901</f>
        <v>0</v>
      </c>
      <c r="E1902" s="1">
        <f t="shared" ref="E1902" si="4202">4*E1901+2*F1901+2*G1901</f>
        <v>0</v>
      </c>
      <c r="F1902" s="1">
        <f t="shared" ref="F1902" si="4203">C1901*(D1901^2)-2*E1901+5</f>
        <v>0</v>
      </c>
      <c r="G1902" s="1">
        <f t="shared" ref="G1902" si="4204">C1901^2-2*(D1901^2)-2*E1901+7</f>
        <v>0</v>
      </c>
      <c r="J1902" s="1">
        <f t="shared" ref="J1902" si="4205">0.5*(C1902*C1902+D1902*D1902+E1902*E1902+F1902*F1902+G1902*G1902)</f>
        <v>1.8643001861668443E-31</v>
      </c>
    </row>
    <row r="1903" spans="1:10" x14ac:dyDescent="0.25">
      <c r="C1903" s="5">
        <f t="shared" ref="C1903" si="4206">2-2*G1901</f>
        <v>2.2403028091636905</v>
      </c>
      <c r="D1903" s="6">
        <f t="shared" ref="D1903" si="4207">-2*F1901*D1901</f>
        <v>2.6091774571648814</v>
      </c>
      <c r="E1903" s="6">
        <f>0</f>
        <v>0</v>
      </c>
      <c r="F1903" s="6">
        <f t="shared" ref="F1903" si="4208">-(D1901^2)</f>
        <v>-3.7358700567866143</v>
      </c>
      <c r="G1903" s="7">
        <f t="shared" ref="G1903" si="4209">-2*C1901</f>
        <v>2.2510895668861335</v>
      </c>
    </row>
    <row r="1904" spans="1:10" x14ac:dyDescent="0.25">
      <c r="C1904" s="8">
        <f t="shared" ref="C1904" si="4210">-2*F1901*D1901</f>
        <v>2.6091774571648814</v>
      </c>
      <c r="D1904" s="1">
        <f t="shared" ref="D1904" si="4211">2-2*F1901*C1901+4*G1901</f>
        <v>0</v>
      </c>
      <c r="E1904" s="1">
        <f>0</f>
        <v>0</v>
      </c>
      <c r="F1904" s="1">
        <f t="shared" ref="F1904" si="4212">-2*C1901*D1901</f>
        <v>4.3509957203971439</v>
      </c>
      <c r="G1904" s="9">
        <f t="shared" ref="G1904" si="4213">4*D1901</f>
        <v>7.7313595769816468</v>
      </c>
    </row>
    <row r="1905" spans="1:10" x14ac:dyDescent="0.25">
      <c r="B1905" t="s">
        <v>20</v>
      </c>
      <c r="C1905" s="8">
        <f>0</f>
        <v>0</v>
      </c>
      <c r="D1905" s="1">
        <f>0</f>
        <v>0</v>
      </c>
      <c r="E1905" s="1">
        <f>4</f>
        <v>4</v>
      </c>
      <c r="F1905" s="1">
        <f>2</f>
        <v>2</v>
      </c>
      <c r="G1905" s="9">
        <f>2</f>
        <v>2</v>
      </c>
    </row>
    <row r="1906" spans="1:10" x14ac:dyDescent="0.25">
      <c r="C1906" s="8">
        <f t="shared" ref="C1906" si="4214">(D1901^2)</f>
        <v>3.7358700567866143</v>
      </c>
      <c r="D1906" s="1">
        <f t="shared" ref="D1906" si="4215">2*C1901*D1901</f>
        <v>-4.3509957203971439</v>
      </c>
      <c r="E1906" s="1">
        <f t="shared" ref="E1906:E1907" si="4216">-2</f>
        <v>-2</v>
      </c>
      <c r="F1906" s="1">
        <f>0</f>
        <v>0</v>
      </c>
      <c r="G1906" s="9">
        <f>0</f>
        <v>0</v>
      </c>
    </row>
    <row r="1907" spans="1:10" x14ac:dyDescent="0.25">
      <c r="C1907" s="10">
        <f t="shared" ref="C1907" si="4217">2*C1901</f>
        <v>-2.2510895668861335</v>
      </c>
      <c r="D1907" s="11">
        <f t="shared" ref="D1907" si="4218">-4*D1901</f>
        <v>-7.7313595769816468</v>
      </c>
      <c r="E1907" s="11">
        <f t="shared" si="4216"/>
        <v>-2</v>
      </c>
      <c r="F1907" s="11">
        <f>0</f>
        <v>0</v>
      </c>
      <c r="G1907" s="12">
        <f>0</f>
        <v>0</v>
      </c>
    </row>
    <row r="1908" spans="1:10" x14ac:dyDescent="0.25">
      <c r="B1908" t="s">
        <v>21</v>
      </c>
      <c r="C1908" s="1" cm="1">
        <f t="array" ref="C1908:G1908">-MMULT(C1902:G1902,C1903:G1907)</f>
        <v>-1.367979668476271E-15</v>
      </c>
      <c r="D1908" s="1">
        <v>-1.5932228885525532E-15</v>
      </c>
      <c r="E1908" s="1">
        <v>0</v>
      </c>
      <c r="F1908" s="1">
        <v>2.2812069247287048E-15</v>
      </c>
      <c r="G1908" s="1">
        <v>-1.3745663072077511E-15</v>
      </c>
    </row>
    <row r="1909" spans="1:10" x14ac:dyDescent="0.25">
      <c r="B1909" t="s">
        <v>13</v>
      </c>
      <c r="C1909" s="1">
        <f t="shared" ref="C1909" si="4219">J1902/SUMPRODUCT(_xlfn.ANCHORARRAY(C1908),_xlfn.ANCHORARRAY(C1908))</f>
        <v>1.6206986294211755E-2</v>
      </c>
    </row>
    <row r="1910" spans="1:10" x14ac:dyDescent="0.25">
      <c r="A1910" s="1" t="s">
        <v>4</v>
      </c>
      <c r="B1910" t="s">
        <v>18</v>
      </c>
      <c r="C1910" s="1" cm="1">
        <f t="array" ref="C1910:G1910">C1901:G1901+C1909*C1908:G1908</f>
        <v>-1.1255447834430667</v>
      </c>
      <c r="D1910" s="1">
        <v>1.9328398942454117</v>
      </c>
      <c r="E1910" s="1">
        <v>0.39755547298133398</v>
      </c>
      <c r="F1910" s="1">
        <v>-0.67495954138082259</v>
      </c>
      <c r="G1910" s="1">
        <v>-0.12015140458184531</v>
      </c>
    </row>
    <row r="1911" spans="1:10" x14ac:dyDescent="0.25">
      <c r="A1911" s="1">
        <v>213</v>
      </c>
      <c r="B1911" t="s">
        <v>19</v>
      </c>
      <c r="C1911" s="1">
        <f t="shared" ref="C1911" si="4220">2*C1910-F1910*(D1910^2)-2*G1910*C1910</f>
        <v>5.5511151231257827E-16</v>
      </c>
      <c r="D1911" s="1">
        <f t="shared" ref="D1911" si="4221">2*D1910-2*F1910*C1910*D1910+4*G1910*D1910</f>
        <v>0</v>
      </c>
      <c r="E1911" s="1">
        <f t="shared" ref="E1911" si="4222">4*E1910+2*F1910+2*G1910</f>
        <v>0</v>
      </c>
      <c r="F1911" s="1">
        <f t="shared" ref="F1911" si="4223">C1910*(D1910^2)-2*E1910+5</f>
        <v>0</v>
      </c>
      <c r="G1911" s="1">
        <f t="shared" ref="G1911" si="4224">C1910^2-2*(D1910^2)-2*E1910+7</f>
        <v>0</v>
      </c>
      <c r="J1911" s="1">
        <f t="shared" ref="J1911" si="4225">0.5*(C1911*C1911+D1911*D1911+E1911*E1911+F1911*F1911+G1911*G1911)</f>
        <v>1.5407439555097887E-31</v>
      </c>
    </row>
    <row r="1912" spans="1:10" x14ac:dyDescent="0.25">
      <c r="C1912" s="5">
        <f t="shared" ref="C1912" si="4226">2-2*G1910</f>
        <v>2.2403028091636905</v>
      </c>
      <c r="D1912" s="6">
        <f t="shared" ref="D1912" si="4227">-2*F1910*D1910</f>
        <v>2.6091774571648814</v>
      </c>
      <c r="E1912" s="6">
        <f>0</f>
        <v>0</v>
      </c>
      <c r="F1912" s="6">
        <f t="shared" ref="F1912" si="4228">-(D1910^2)</f>
        <v>-3.7358700567866143</v>
      </c>
      <c r="G1912" s="7">
        <f t="shared" ref="G1912" si="4229">-2*C1910</f>
        <v>2.2510895668861335</v>
      </c>
    </row>
    <row r="1913" spans="1:10" x14ac:dyDescent="0.25">
      <c r="C1913" s="8">
        <f t="shared" ref="C1913" si="4230">-2*F1910*D1910</f>
        <v>2.6091774571648814</v>
      </c>
      <c r="D1913" s="1">
        <f t="shared" ref="D1913" si="4231">2-2*F1910*C1910+4*G1910</f>
        <v>-4.4408920985006262E-16</v>
      </c>
      <c r="E1913" s="1">
        <f>0</f>
        <v>0</v>
      </c>
      <c r="F1913" s="1">
        <f t="shared" ref="F1913" si="4232">-2*C1910*D1910</f>
        <v>4.3509957203971439</v>
      </c>
      <c r="G1913" s="9">
        <f t="shared" ref="G1913" si="4233">4*D1910</f>
        <v>7.7313595769816468</v>
      </c>
    </row>
    <row r="1914" spans="1:10" x14ac:dyDescent="0.25">
      <c r="B1914" t="s">
        <v>20</v>
      </c>
      <c r="C1914" s="8">
        <f>0</f>
        <v>0</v>
      </c>
      <c r="D1914" s="1">
        <f>0</f>
        <v>0</v>
      </c>
      <c r="E1914" s="1">
        <f>4</f>
        <v>4</v>
      </c>
      <c r="F1914" s="1">
        <f>2</f>
        <v>2</v>
      </c>
      <c r="G1914" s="9">
        <f>2</f>
        <v>2</v>
      </c>
    </row>
    <row r="1915" spans="1:10" x14ac:dyDescent="0.25">
      <c r="C1915" s="8">
        <f t="shared" ref="C1915" si="4234">(D1910^2)</f>
        <v>3.7358700567866143</v>
      </c>
      <c r="D1915" s="1">
        <f t="shared" ref="D1915" si="4235">2*C1910*D1910</f>
        <v>-4.3509957203971439</v>
      </c>
      <c r="E1915" s="1">
        <f t="shared" ref="E1915:E1916" si="4236">-2</f>
        <v>-2</v>
      </c>
      <c r="F1915" s="1">
        <f>0</f>
        <v>0</v>
      </c>
      <c r="G1915" s="9">
        <f>0</f>
        <v>0</v>
      </c>
    </row>
    <row r="1916" spans="1:10" x14ac:dyDescent="0.25">
      <c r="C1916" s="10">
        <f t="shared" ref="C1916" si="4237">2*C1910</f>
        <v>-2.2510895668861335</v>
      </c>
      <c r="D1916" s="11">
        <f t="shared" ref="D1916" si="4238">-4*D1910</f>
        <v>-7.7313595769816468</v>
      </c>
      <c r="E1916" s="11">
        <f t="shared" si="4236"/>
        <v>-2</v>
      </c>
      <c r="F1916" s="11">
        <f>0</f>
        <v>0</v>
      </c>
      <c r="G1916" s="12">
        <f>0</f>
        <v>0</v>
      </c>
    </row>
    <row r="1917" spans="1:10" x14ac:dyDescent="0.25">
      <c r="B1917" t="s">
        <v>21</v>
      </c>
      <c r="C1917" s="1" cm="1">
        <f t="array" ref="C1917:G1917">-MMULT(C1911:G1911,C1912:G1916)</f>
        <v>-1.2436178804329737E-15</v>
      </c>
      <c r="D1917" s="1">
        <v>-1.4483844441386847E-15</v>
      </c>
      <c r="E1917" s="1">
        <v>0</v>
      </c>
      <c r="F1917" s="1">
        <v>2.0738244770260952E-15</v>
      </c>
      <c r="G1917" s="1">
        <v>-1.2496057338252283E-15</v>
      </c>
    </row>
    <row r="1918" spans="1:10" x14ac:dyDescent="0.25">
      <c r="B1918" t="s">
        <v>13</v>
      </c>
      <c r="C1918" s="1">
        <f t="shared" ref="C1918" si="4239">J1911/SUMPRODUCT(_xlfn.ANCHORARRAY(C1917),_xlfn.ANCHORARRAY(C1917))</f>
        <v>1.6206986294211755E-2</v>
      </c>
    </row>
    <row r="1919" spans="1:10" x14ac:dyDescent="0.25">
      <c r="A1919" s="1" t="s">
        <v>4</v>
      </c>
      <c r="B1919" t="s">
        <v>18</v>
      </c>
      <c r="C1919" s="1" cm="1">
        <f t="array" ref="C1919:G1919">C1910:G1910+C1918*C1917:G1917</f>
        <v>-1.1255447834430667</v>
      </c>
      <c r="D1919" s="1">
        <v>1.9328398942454117</v>
      </c>
      <c r="E1919" s="1">
        <v>0.39755547298133398</v>
      </c>
      <c r="F1919" s="1">
        <v>-0.67495954138082259</v>
      </c>
      <c r="G1919" s="1">
        <v>-0.12015140458184533</v>
      </c>
    </row>
    <row r="1920" spans="1:10" x14ac:dyDescent="0.25">
      <c r="A1920" s="1">
        <v>214</v>
      </c>
      <c r="B1920" t="s">
        <v>19</v>
      </c>
      <c r="C1920" s="1">
        <f t="shared" ref="C1920" si="4240">2*C1919-F1919*(D1919^2)-2*G1919*C1919</f>
        <v>5.5511151231257827E-16</v>
      </c>
      <c r="D1920" s="1">
        <f t="shared" ref="D1920" si="4241">2*D1919-2*F1919*C1919*D1919+4*G1919*D1919</f>
        <v>-8.8817841970012523E-16</v>
      </c>
      <c r="E1920" s="1">
        <f t="shared" ref="E1920" si="4242">4*E1919+2*F1919+2*G1919</f>
        <v>0</v>
      </c>
      <c r="F1920" s="1">
        <f t="shared" ref="F1920" si="4243">C1919*(D1919^2)-2*E1919+5</f>
        <v>0</v>
      </c>
      <c r="G1920" s="1">
        <f t="shared" ref="G1920" si="4244">C1919^2-2*(D1919^2)-2*E1919+7</f>
        <v>0</v>
      </c>
      <c r="J1920" s="1">
        <f t="shared" ref="J1920" si="4245">0.5*(C1920*C1920+D1920*D1920+E1920*E1920+F1920*F1920+G1920*G1920)</f>
        <v>5.4850484816148477E-31</v>
      </c>
    </row>
    <row r="1921" spans="1:10" x14ac:dyDescent="0.25">
      <c r="C1921" s="5">
        <f t="shared" ref="C1921" si="4246">2-2*G1919</f>
        <v>2.2403028091636905</v>
      </c>
      <c r="D1921" s="6">
        <f t="shared" ref="D1921" si="4247">-2*F1919*D1919</f>
        <v>2.6091774571648814</v>
      </c>
      <c r="E1921" s="6">
        <f>0</f>
        <v>0</v>
      </c>
      <c r="F1921" s="6">
        <f t="shared" ref="F1921" si="4248">-(D1919^2)</f>
        <v>-3.7358700567866143</v>
      </c>
      <c r="G1921" s="7">
        <f t="shared" ref="G1921" si="4249">-2*C1919</f>
        <v>2.2510895668861335</v>
      </c>
    </row>
    <row r="1922" spans="1:10" x14ac:dyDescent="0.25">
      <c r="C1922" s="8">
        <f t="shared" ref="C1922" si="4250">-2*F1919*D1919</f>
        <v>2.6091774571648814</v>
      </c>
      <c r="D1922" s="1">
        <f t="shared" ref="D1922" si="4251">2-2*F1919*C1919+4*G1919</f>
        <v>-4.9960036108132044E-16</v>
      </c>
      <c r="E1922" s="1">
        <f>0</f>
        <v>0</v>
      </c>
      <c r="F1922" s="1">
        <f t="shared" ref="F1922" si="4252">-2*C1919*D1919</f>
        <v>4.3509957203971439</v>
      </c>
      <c r="G1922" s="9">
        <f t="shared" ref="G1922" si="4253">4*D1919</f>
        <v>7.7313595769816468</v>
      </c>
    </row>
    <row r="1923" spans="1:10" x14ac:dyDescent="0.25">
      <c r="B1923" t="s">
        <v>20</v>
      </c>
      <c r="C1923" s="8">
        <f>0</f>
        <v>0</v>
      </c>
      <c r="D1923" s="1">
        <f>0</f>
        <v>0</v>
      </c>
      <c r="E1923" s="1">
        <f>4</f>
        <v>4</v>
      </c>
      <c r="F1923" s="1">
        <f>2</f>
        <v>2</v>
      </c>
      <c r="G1923" s="9">
        <f>2</f>
        <v>2</v>
      </c>
    </row>
    <row r="1924" spans="1:10" x14ac:dyDescent="0.25">
      <c r="C1924" s="8">
        <f t="shared" ref="C1924" si="4254">(D1919^2)</f>
        <v>3.7358700567866143</v>
      </c>
      <c r="D1924" s="1">
        <f t="shared" ref="D1924" si="4255">2*C1919*D1919</f>
        <v>-4.3509957203971439</v>
      </c>
      <c r="E1924" s="1">
        <f t="shared" ref="E1924:E1925" si="4256">-2</f>
        <v>-2</v>
      </c>
      <c r="F1924" s="1">
        <f>0</f>
        <v>0</v>
      </c>
      <c r="G1924" s="9">
        <f>0</f>
        <v>0</v>
      </c>
    </row>
    <row r="1925" spans="1:10" x14ac:dyDescent="0.25">
      <c r="C1925" s="10">
        <f t="shared" ref="C1925" si="4257">2*C1919</f>
        <v>-2.2510895668861335</v>
      </c>
      <c r="D1925" s="11">
        <f t="shared" ref="D1925" si="4258">-4*D1919</f>
        <v>-7.7313595769816468</v>
      </c>
      <c r="E1925" s="11">
        <f t="shared" si="4256"/>
        <v>-2</v>
      </c>
      <c r="F1925" s="11">
        <f>0</f>
        <v>0</v>
      </c>
      <c r="G1925" s="12">
        <f>0</f>
        <v>0</v>
      </c>
    </row>
    <row r="1926" spans="1:10" x14ac:dyDescent="0.25">
      <c r="B1926" t="s">
        <v>21</v>
      </c>
      <c r="C1926" s="1" cm="1">
        <f t="array" ref="C1926:G1926">-MMULT(C1920:G1920,C1921:G1925)</f>
        <v>1.0737972301889219E-15</v>
      </c>
      <c r="D1926" s="1">
        <v>-1.448384444138685E-15</v>
      </c>
      <c r="E1926" s="1">
        <v>0</v>
      </c>
      <c r="F1926" s="1">
        <v>5.9382849800904388E-15</v>
      </c>
      <c r="G1926" s="1">
        <v>5.6172209973917592E-15</v>
      </c>
    </row>
    <row r="1927" spans="1:10" x14ac:dyDescent="0.25">
      <c r="B1927" t="s">
        <v>13</v>
      </c>
      <c r="C1927" s="1">
        <f t="shared" ref="C1927" si="4259">J1920/SUMPRODUCT(_xlfn.ANCHORARRAY(C1926),_xlfn.ANCHORARRAY(C1926))</f>
        <v>7.828261901978455E-3</v>
      </c>
    </row>
    <row r="1928" spans="1:10" x14ac:dyDescent="0.25">
      <c r="A1928" s="1" t="s">
        <v>4</v>
      </c>
      <c r="B1928" t="s">
        <v>18</v>
      </c>
      <c r="C1928" s="1" cm="1">
        <f t="array" ref="C1928:G1928">C1919:G1919+C1927*C1926:G1926</f>
        <v>-1.1255447834430667</v>
      </c>
      <c r="D1928" s="1">
        <v>1.9328398942454117</v>
      </c>
      <c r="E1928" s="1">
        <v>0.39755547298133398</v>
      </c>
      <c r="F1928" s="1">
        <v>-0.67495954138082259</v>
      </c>
      <c r="G1928" s="1">
        <v>-0.12015140458184528</v>
      </c>
    </row>
    <row r="1929" spans="1:10" x14ac:dyDescent="0.25">
      <c r="A1929" s="1">
        <v>215</v>
      </c>
      <c r="B1929" t="s">
        <v>19</v>
      </c>
      <c r="C1929" s="1">
        <f t="shared" ref="C1929" si="4260">2*C1928-F1928*(D1928^2)-2*G1928*C1928</f>
        <v>6.106226635438361E-16</v>
      </c>
      <c r="D1929" s="1">
        <f t="shared" ref="D1929" si="4261">2*D1928-2*F1928*C1928*D1928+4*G1928*D1928</f>
        <v>0</v>
      </c>
      <c r="E1929" s="1">
        <f t="shared" ref="E1929" si="4262">4*E1928+2*F1928+2*G1928</f>
        <v>0</v>
      </c>
      <c r="F1929" s="1">
        <f t="shared" ref="F1929" si="4263">C1928*(D1928^2)-2*E1928+5</f>
        <v>0</v>
      </c>
      <c r="G1929" s="1">
        <f t="shared" ref="G1929" si="4264">C1928^2-2*(D1928^2)-2*E1928+7</f>
        <v>0</v>
      </c>
      <c r="J1929" s="1">
        <f t="shared" ref="J1929" si="4265">0.5*(C1929*C1929+D1929*D1929+E1929*E1929+F1929*F1929+G1929*G1929)</f>
        <v>1.8643001861668443E-31</v>
      </c>
    </row>
    <row r="1930" spans="1:10" x14ac:dyDescent="0.25">
      <c r="C1930" s="5">
        <f t="shared" ref="C1930" si="4266">2-2*G1928</f>
        <v>2.2403028091636905</v>
      </c>
      <c r="D1930" s="6">
        <f t="shared" ref="D1930" si="4267">-2*F1928*D1928</f>
        <v>2.6091774571648814</v>
      </c>
      <c r="E1930" s="6">
        <f>0</f>
        <v>0</v>
      </c>
      <c r="F1930" s="6">
        <f t="shared" ref="F1930" si="4268">-(D1928^2)</f>
        <v>-3.7358700567866143</v>
      </c>
      <c r="G1930" s="7">
        <f t="shared" ref="G1930" si="4269">-2*C1928</f>
        <v>2.2510895668861335</v>
      </c>
    </row>
    <row r="1931" spans="1:10" x14ac:dyDescent="0.25">
      <c r="C1931" s="8">
        <f t="shared" ref="C1931" si="4270">-2*F1928*D1928</f>
        <v>2.6091774571648814</v>
      </c>
      <c r="D1931" s="1">
        <f t="shared" ref="D1931" si="4271">2-2*F1928*C1928+4*G1928</f>
        <v>0</v>
      </c>
      <c r="E1931" s="1">
        <f>0</f>
        <v>0</v>
      </c>
      <c r="F1931" s="1">
        <f t="shared" ref="F1931" si="4272">-2*C1928*D1928</f>
        <v>4.3509957203971439</v>
      </c>
      <c r="G1931" s="9">
        <f t="shared" ref="G1931" si="4273">4*D1928</f>
        <v>7.7313595769816468</v>
      </c>
    </row>
    <row r="1932" spans="1:10" x14ac:dyDescent="0.25">
      <c r="B1932" t="s">
        <v>20</v>
      </c>
      <c r="C1932" s="8">
        <f>0</f>
        <v>0</v>
      </c>
      <c r="D1932" s="1">
        <f>0</f>
        <v>0</v>
      </c>
      <c r="E1932" s="1">
        <f>4</f>
        <v>4</v>
      </c>
      <c r="F1932" s="1">
        <f>2</f>
        <v>2</v>
      </c>
      <c r="G1932" s="9">
        <f>2</f>
        <v>2</v>
      </c>
    </row>
    <row r="1933" spans="1:10" x14ac:dyDescent="0.25">
      <c r="C1933" s="8">
        <f t="shared" ref="C1933" si="4274">(D1928^2)</f>
        <v>3.7358700567866143</v>
      </c>
      <c r="D1933" s="1">
        <f t="shared" ref="D1933" si="4275">2*C1928*D1928</f>
        <v>-4.3509957203971439</v>
      </c>
      <c r="E1933" s="1">
        <f t="shared" ref="E1933:E1934" si="4276">-2</f>
        <v>-2</v>
      </c>
      <c r="F1933" s="1">
        <f>0</f>
        <v>0</v>
      </c>
      <c r="G1933" s="9">
        <f>0</f>
        <v>0</v>
      </c>
    </row>
    <row r="1934" spans="1:10" x14ac:dyDescent="0.25">
      <c r="C1934" s="10">
        <f t="shared" ref="C1934" si="4277">2*C1928</f>
        <v>-2.2510895668861335</v>
      </c>
      <c r="D1934" s="11">
        <f t="shared" ref="D1934" si="4278">-4*D1928</f>
        <v>-7.7313595769816468</v>
      </c>
      <c r="E1934" s="11">
        <f t="shared" si="4276"/>
        <v>-2</v>
      </c>
      <c r="F1934" s="11">
        <f>0</f>
        <v>0</v>
      </c>
      <c r="G1934" s="12">
        <f>0</f>
        <v>0</v>
      </c>
    </row>
    <row r="1935" spans="1:10" x14ac:dyDescent="0.25">
      <c r="B1935" t="s">
        <v>21</v>
      </c>
      <c r="C1935" s="1" cm="1">
        <f t="array" ref="C1935:G1935">-MMULT(C1929:G1929,C1930:G1934)</f>
        <v>-1.367979668476271E-15</v>
      </c>
      <c r="D1935" s="1">
        <v>-1.5932228885525532E-15</v>
      </c>
      <c r="E1935" s="1">
        <v>0</v>
      </c>
      <c r="F1935" s="1">
        <v>2.2812069247287048E-15</v>
      </c>
      <c r="G1935" s="1">
        <v>-1.3745663072077511E-15</v>
      </c>
    </row>
    <row r="1936" spans="1:10" x14ac:dyDescent="0.25">
      <c r="B1936" t="s">
        <v>13</v>
      </c>
      <c r="C1936" s="1">
        <f t="shared" ref="C1936" si="4279">J1929/SUMPRODUCT(_xlfn.ANCHORARRAY(C1935),_xlfn.ANCHORARRAY(C1935))</f>
        <v>1.6206986294211755E-2</v>
      </c>
    </row>
    <row r="1937" spans="1:10" x14ac:dyDescent="0.25">
      <c r="A1937" s="1" t="s">
        <v>4</v>
      </c>
      <c r="B1937" t="s">
        <v>18</v>
      </c>
      <c r="C1937" s="1" cm="1">
        <f t="array" ref="C1937:G1937">C1928:G1928+C1936*C1935:G1935</f>
        <v>-1.1255447834430667</v>
      </c>
      <c r="D1937" s="1">
        <v>1.9328398942454117</v>
      </c>
      <c r="E1937" s="1">
        <v>0.39755547298133398</v>
      </c>
      <c r="F1937" s="1">
        <v>-0.67495954138082259</v>
      </c>
      <c r="G1937" s="1">
        <v>-0.12015140458184531</v>
      </c>
    </row>
    <row r="1938" spans="1:10" x14ac:dyDescent="0.25">
      <c r="A1938" s="1">
        <v>216</v>
      </c>
      <c r="B1938" t="s">
        <v>19</v>
      </c>
      <c r="C1938" s="1">
        <f t="shared" ref="C1938" si="4280">2*C1937-F1937*(D1937^2)-2*G1937*C1937</f>
        <v>5.5511151231257827E-16</v>
      </c>
      <c r="D1938" s="1">
        <f t="shared" ref="D1938" si="4281">2*D1937-2*F1937*C1937*D1937+4*G1937*D1937</f>
        <v>0</v>
      </c>
      <c r="E1938" s="1">
        <f t="shared" ref="E1938" si="4282">4*E1937+2*F1937+2*G1937</f>
        <v>0</v>
      </c>
      <c r="F1938" s="1">
        <f t="shared" ref="F1938" si="4283">C1937*(D1937^2)-2*E1937+5</f>
        <v>0</v>
      </c>
      <c r="G1938" s="1">
        <f t="shared" ref="G1938" si="4284">C1937^2-2*(D1937^2)-2*E1937+7</f>
        <v>0</v>
      </c>
      <c r="J1938" s="1">
        <f t="shared" ref="J1938" si="4285">0.5*(C1938*C1938+D1938*D1938+E1938*E1938+F1938*F1938+G1938*G1938)</f>
        <v>1.5407439555097887E-31</v>
      </c>
    </row>
    <row r="1939" spans="1:10" x14ac:dyDescent="0.25">
      <c r="C1939" s="5">
        <f t="shared" ref="C1939" si="4286">2-2*G1937</f>
        <v>2.2403028091636905</v>
      </c>
      <c r="D1939" s="6">
        <f t="shared" ref="D1939" si="4287">-2*F1937*D1937</f>
        <v>2.6091774571648814</v>
      </c>
      <c r="E1939" s="6">
        <f>0</f>
        <v>0</v>
      </c>
      <c r="F1939" s="6">
        <f t="shared" ref="F1939" si="4288">-(D1937^2)</f>
        <v>-3.7358700567866143</v>
      </c>
      <c r="G1939" s="7">
        <f t="shared" ref="G1939" si="4289">-2*C1937</f>
        <v>2.2510895668861335</v>
      </c>
    </row>
    <row r="1940" spans="1:10" x14ac:dyDescent="0.25">
      <c r="C1940" s="8">
        <f t="shared" ref="C1940" si="4290">-2*F1937*D1937</f>
        <v>2.6091774571648814</v>
      </c>
      <c r="D1940" s="1">
        <f t="shared" ref="D1940" si="4291">2-2*F1937*C1937+4*G1937</f>
        <v>-4.4408920985006262E-16</v>
      </c>
      <c r="E1940" s="1">
        <f>0</f>
        <v>0</v>
      </c>
      <c r="F1940" s="1">
        <f t="shared" ref="F1940" si="4292">-2*C1937*D1937</f>
        <v>4.3509957203971439</v>
      </c>
      <c r="G1940" s="9">
        <f t="shared" ref="G1940" si="4293">4*D1937</f>
        <v>7.7313595769816468</v>
      </c>
    </row>
    <row r="1941" spans="1:10" x14ac:dyDescent="0.25">
      <c r="B1941" t="s">
        <v>20</v>
      </c>
      <c r="C1941" s="8">
        <f>0</f>
        <v>0</v>
      </c>
      <c r="D1941" s="1">
        <f>0</f>
        <v>0</v>
      </c>
      <c r="E1941" s="1">
        <f>4</f>
        <v>4</v>
      </c>
      <c r="F1941" s="1">
        <f>2</f>
        <v>2</v>
      </c>
      <c r="G1941" s="9">
        <f>2</f>
        <v>2</v>
      </c>
    </row>
    <row r="1942" spans="1:10" x14ac:dyDescent="0.25">
      <c r="C1942" s="8">
        <f t="shared" ref="C1942" si="4294">(D1937^2)</f>
        <v>3.7358700567866143</v>
      </c>
      <c r="D1942" s="1">
        <f t="shared" ref="D1942" si="4295">2*C1937*D1937</f>
        <v>-4.3509957203971439</v>
      </c>
      <c r="E1942" s="1">
        <f t="shared" ref="E1942:E1943" si="4296">-2</f>
        <v>-2</v>
      </c>
      <c r="F1942" s="1">
        <f>0</f>
        <v>0</v>
      </c>
      <c r="G1942" s="9">
        <f>0</f>
        <v>0</v>
      </c>
    </row>
    <row r="1943" spans="1:10" x14ac:dyDescent="0.25">
      <c r="C1943" s="10">
        <f t="shared" ref="C1943" si="4297">2*C1937</f>
        <v>-2.2510895668861335</v>
      </c>
      <c r="D1943" s="11">
        <f t="shared" ref="D1943" si="4298">-4*D1937</f>
        <v>-7.7313595769816468</v>
      </c>
      <c r="E1943" s="11">
        <f t="shared" si="4296"/>
        <v>-2</v>
      </c>
      <c r="F1943" s="11">
        <f>0</f>
        <v>0</v>
      </c>
      <c r="G1943" s="12">
        <f>0</f>
        <v>0</v>
      </c>
    </row>
    <row r="1944" spans="1:10" x14ac:dyDescent="0.25">
      <c r="B1944" t="s">
        <v>21</v>
      </c>
      <c r="C1944" s="1" cm="1">
        <f t="array" ref="C1944:G1944">-MMULT(C1938:G1938,C1939:G1943)</f>
        <v>-1.2436178804329737E-15</v>
      </c>
      <c r="D1944" s="1">
        <v>-1.4483844441386847E-15</v>
      </c>
      <c r="E1944" s="1">
        <v>0</v>
      </c>
      <c r="F1944" s="1">
        <v>2.0738244770260952E-15</v>
      </c>
      <c r="G1944" s="1">
        <v>-1.2496057338252283E-15</v>
      </c>
    </row>
    <row r="1945" spans="1:10" x14ac:dyDescent="0.25">
      <c r="B1945" t="s">
        <v>13</v>
      </c>
      <c r="C1945" s="1">
        <f t="shared" ref="C1945" si="4299">J1938/SUMPRODUCT(_xlfn.ANCHORARRAY(C1944),_xlfn.ANCHORARRAY(C1944))</f>
        <v>1.6206986294211755E-2</v>
      </c>
    </row>
    <row r="1946" spans="1:10" x14ac:dyDescent="0.25">
      <c r="A1946" s="1" t="s">
        <v>4</v>
      </c>
      <c r="B1946" t="s">
        <v>18</v>
      </c>
      <c r="C1946" s="1" cm="1">
        <f t="array" ref="C1946:G1946">C1937:G1937+C1945*C1944:G1944</f>
        <v>-1.1255447834430667</v>
      </c>
      <c r="D1946" s="1">
        <v>1.9328398942454117</v>
      </c>
      <c r="E1946" s="1">
        <v>0.39755547298133398</v>
      </c>
      <c r="F1946" s="1">
        <v>-0.67495954138082259</v>
      </c>
      <c r="G1946" s="1">
        <v>-0.12015140458184533</v>
      </c>
    </row>
    <row r="1947" spans="1:10" x14ac:dyDescent="0.25">
      <c r="A1947" s="1">
        <v>217</v>
      </c>
      <c r="B1947" t="s">
        <v>19</v>
      </c>
      <c r="C1947" s="1">
        <f t="shared" ref="C1947" si="4300">2*C1946-F1946*(D1946^2)-2*G1946*C1946</f>
        <v>5.5511151231257827E-16</v>
      </c>
      <c r="D1947" s="1">
        <f t="shared" ref="D1947" si="4301">2*D1946-2*F1946*C1946*D1946+4*G1946*D1946</f>
        <v>-8.8817841970012523E-16</v>
      </c>
      <c r="E1947" s="1">
        <f t="shared" ref="E1947" si="4302">4*E1946+2*F1946+2*G1946</f>
        <v>0</v>
      </c>
      <c r="F1947" s="1">
        <f t="shared" ref="F1947" si="4303">C1946*(D1946^2)-2*E1946+5</f>
        <v>0</v>
      </c>
      <c r="G1947" s="1">
        <f t="shared" ref="G1947" si="4304">C1946^2-2*(D1946^2)-2*E1946+7</f>
        <v>0</v>
      </c>
      <c r="J1947" s="1">
        <f t="shared" ref="J1947" si="4305">0.5*(C1947*C1947+D1947*D1947+E1947*E1947+F1947*F1947+G1947*G1947)</f>
        <v>5.4850484816148477E-31</v>
      </c>
    </row>
    <row r="1948" spans="1:10" x14ac:dyDescent="0.25">
      <c r="C1948" s="5">
        <f t="shared" ref="C1948" si="4306">2-2*G1946</f>
        <v>2.2403028091636905</v>
      </c>
      <c r="D1948" s="6">
        <f t="shared" ref="D1948" si="4307">-2*F1946*D1946</f>
        <v>2.6091774571648814</v>
      </c>
      <c r="E1948" s="6">
        <f>0</f>
        <v>0</v>
      </c>
      <c r="F1948" s="6">
        <f t="shared" ref="F1948" si="4308">-(D1946^2)</f>
        <v>-3.7358700567866143</v>
      </c>
      <c r="G1948" s="7">
        <f t="shared" ref="G1948" si="4309">-2*C1946</f>
        <v>2.2510895668861335</v>
      </c>
    </row>
    <row r="1949" spans="1:10" x14ac:dyDescent="0.25">
      <c r="C1949" s="8">
        <f t="shared" ref="C1949" si="4310">-2*F1946*D1946</f>
        <v>2.6091774571648814</v>
      </c>
      <c r="D1949" s="1">
        <f t="shared" ref="D1949" si="4311">2-2*F1946*C1946+4*G1946</f>
        <v>-4.9960036108132044E-16</v>
      </c>
      <c r="E1949" s="1">
        <f>0</f>
        <v>0</v>
      </c>
      <c r="F1949" s="1">
        <f t="shared" ref="F1949" si="4312">-2*C1946*D1946</f>
        <v>4.3509957203971439</v>
      </c>
      <c r="G1949" s="9">
        <f t="shared" ref="G1949" si="4313">4*D1946</f>
        <v>7.7313595769816468</v>
      </c>
    </row>
    <row r="1950" spans="1:10" x14ac:dyDescent="0.25">
      <c r="B1950" t="s">
        <v>20</v>
      </c>
      <c r="C1950" s="8">
        <f>0</f>
        <v>0</v>
      </c>
      <c r="D1950" s="1">
        <f>0</f>
        <v>0</v>
      </c>
      <c r="E1950" s="1">
        <f>4</f>
        <v>4</v>
      </c>
      <c r="F1950" s="1">
        <f>2</f>
        <v>2</v>
      </c>
      <c r="G1950" s="9">
        <f>2</f>
        <v>2</v>
      </c>
    </row>
    <row r="1951" spans="1:10" x14ac:dyDescent="0.25">
      <c r="C1951" s="8">
        <f t="shared" ref="C1951" si="4314">(D1946^2)</f>
        <v>3.7358700567866143</v>
      </c>
      <c r="D1951" s="1">
        <f t="shared" ref="D1951" si="4315">2*C1946*D1946</f>
        <v>-4.3509957203971439</v>
      </c>
      <c r="E1951" s="1">
        <f t="shared" ref="E1951:E1952" si="4316">-2</f>
        <v>-2</v>
      </c>
      <c r="F1951" s="1">
        <f>0</f>
        <v>0</v>
      </c>
      <c r="G1951" s="9">
        <f>0</f>
        <v>0</v>
      </c>
    </row>
    <row r="1952" spans="1:10" x14ac:dyDescent="0.25">
      <c r="C1952" s="10">
        <f t="shared" ref="C1952" si="4317">2*C1946</f>
        <v>-2.2510895668861335</v>
      </c>
      <c r="D1952" s="11">
        <f t="shared" ref="D1952" si="4318">-4*D1946</f>
        <v>-7.7313595769816468</v>
      </c>
      <c r="E1952" s="11">
        <f t="shared" si="4316"/>
        <v>-2</v>
      </c>
      <c r="F1952" s="11">
        <f>0</f>
        <v>0</v>
      </c>
      <c r="G1952" s="12">
        <f>0</f>
        <v>0</v>
      </c>
    </row>
    <row r="1953" spans="1:10" x14ac:dyDescent="0.25">
      <c r="B1953" t="s">
        <v>21</v>
      </c>
      <c r="C1953" s="1" cm="1">
        <f t="array" ref="C1953:G1953">-MMULT(C1947:G1947,C1948:G1952)</f>
        <v>1.0737972301889219E-15</v>
      </c>
      <c r="D1953" s="1">
        <v>-1.448384444138685E-15</v>
      </c>
      <c r="E1953" s="1">
        <v>0</v>
      </c>
      <c r="F1953" s="1">
        <v>5.9382849800904388E-15</v>
      </c>
      <c r="G1953" s="1">
        <v>5.6172209973917592E-15</v>
      </c>
    </row>
    <row r="1954" spans="1:10" x14ac:dyDescent="0.25">
      <c r="B1954" t="s">
        <v>13</v>
      </c>
      <c r="C1954" s="1">
        <f t="shared" ref="C1954" si="4319">J1947/SUMPRODUCT(_xlfn.ANCHORARRAY(C1953),_xlfn.ANCHORARRAY(C1953))</f>
        <v>7.828261901978455E-3</v>
      </c>
    </row>
    <row r="1955" spans="1:10" x14ac:dyDescent="0.25">
      <c r="A1955" s="1" t="s">
        <v>4</v>
      </c>
      <c r="B1955" t="s">
        <v>18</v>
      </c>
      <c r="C1955" s="1" cm="1">
        <f t="array" ref="C1955:G1955">C1946:G1946+C1954*C1953:G1953</f>
        <v>-1.1255447834430667</v>
      </c>
      <c r="D1955" s="1">
        <v>1.9328398942454117</v>
      </c>
      <c r="E1955" s="1">
        <v>0.39755547298133398</v>
      </c>
      <c r="F1955" s="1">
        <v>-0.67495954138082259</v>
      </c>
      <c r="G1955" s="1">
        <v>-0.12015140458184528</v>
      </c>
    </row>
    <row r="1956" spans="1:10" x14ac:dyDescent="0.25">
      <c r="A1956" s="1">
        <v>218</v>
      </c>
      <c r="B1956" t="s">
        <v>19</v>
      </c>
      <c r="C1956" s="1">
        <f t="shared" ref="C1956" si="4320">2*C1955-F1955*(D1955^2)-2*G1955*C1955</f>
        <v>6.106226635438361E-16</v>
      </c>
      <c r="D1956" s="1">
        <f t="shared" ref="D1956" si="4321">2*D1955-2*F1955*C1955*D1955+4*G1955*D1955</f>
        <v>0</v>
      </c>
      <c r="E1956" s="1">
        <f t="shared" ref="E1956" si="4322">4*E1955+2*F1955+2*G1955</f>
        <v>0</v>
      </c>
      <c r="F1956" s="1">
        <f t="shared" ref="F1956" si="4323">C1955*(D1955^2)-2*E1955+5</f>
        <v>0</v>
      </c>
      <c r="G1956" s="1">
        <f t="shared" ref="G1956" si="4324">C1955^2-2*(D1955^2)-2*E1955+7</f>
        <v>0</v>
      </c>
      <c r="J1956" s="1">
        <f t="shared" ref="J1956" si="4325">0.5*(C1956*C1956+D1956*D1956+E1956*E1956+F1956*F1956+G1956*G1956)</f>
        <v>1.8643001861668443E-31</v>
      </c>
    </row>
    <row r="1957" spans="1:10" x14ac:dyDescent="0.25">
      <c r="C1957" s="5">
        <f t="shared" ref="C1957" si="4326">2-2*G1955</f>
        <v>2.2403028091636905</v>
      </c>
      <c r="D1957" s="6">
        <f t="shared" ref="D1957" si="4327">-2*F1955*D1955</f>
        <v>2.6091774571648814</v>
      </c>
      <c r="E1957" s="6">
        <f>0</f>
        <v>0</v>
      </c>
      <c r="F1957" s="6">
        <f t="shared" ref="F1957" si="4328">-(D1955^2)</f>
        <v>-3.7358700567866143</v>
      </c>
      <c r="G1957" s="7">
        <f t="shared" ref="G1957" si="4329">-2*C1955</f>
        <v>2.2510895668861335</v>
      </c>
    </row>
    <row r="1958" spans="1:10" x14ac:dyDescent="0.25">
      <c r="C1958" s="8">
        <f t="shared" ref="C1958" si="4330">-2*F1955*D1955</f>
        <v>2.6091774571648814</v>
      </c>
      <c r="D1958" s="1">
        <f t="shared" ref="D1958" si="4331">2-2*F1955*C1955+4*G1955</f>
        <v>0</v>
      </c>
      <c r="E1958" s="1">
        <f>0</f>
        <v>0</v>
      </c>
      <c r="F1958" s="1">
        <f t="shared" ref="F1958" si="4332">-2*C1955*D1955</f>
        <v>4.3509957203971439</v>
      </c>
      <c r="G1958" s="9">
        <f t="shared" ref="G1958" si="4333">4*D1955</f>
        <v>7.7313595769816468</v>
      </c>
    </row>
    <row r="1959" spans="1:10" x14ac:dyDescent="0.25">
      <c r="B1959" t="s">
        <v>20</v>
      </c>
      <c r="C1959" s="8">
        <f>0</f>
        <v>0</v>
      </c>
      <c r="D1959" s="1">
        <f>0</f>
        <v>0</v>
      </c>
      <c r="E1959" s="1">
        <f>4</f>
        <v>4</v>
      </c>
      <c r="F1959" s="1">
        <f>2</f>
        <v>2</v>
      </c>
      <c r="G1959" s="9">
        <f>2</f>
        <v>2</v>
      </c>
    </row>
    <row r="1960" spans="1:10" x14ac:dyDescent="0.25">
      <c r="C1960" s="8">
        <f t="shared" ref="C1960" si="4334">(D1955^2)</f>
        <v>3.7358700567866143</v>
      </c>
      <c r="D1960" s="1">
        <f t="shared" ref="D1960" si="4335">2*C1955*D1955</f>
        <v>-4.3509957203971439</v>
      </c>
      <c r="E1960" s="1">
        <f t="shared" ref="E1960:E1961" si="4336">-2</f>
        <v>-2</v>
      </c>
      <c r="F1960" s="1">
        <f>0</f>
        <v>0</v>
      </c>
      <c r="G1960" s="9">
        <f>0</f>
        <v>0</v>
      </c>
    </row>
    <row r="1961" spans="1:10" x14ac:dyDescent="0.25">
      <c r="C1961" s="10">
        <f t="shared" ref="C1961" si="4337">2*C1955</f>
        <v>-2.2510895668861335</v>
      </c>
      <c r="D1961" s="11">
        <f t="shared" ref="D1961" si="4338">-4*D1955</f>
        <v>-7.7313595769816468</v>
      </c>
      <c r="E1961" s="11">
        <f t="shared" si="4336"/>
        <v>-2</v>
      </c>
      <c r="F1961" s="11">
        <f>0</f>
        <v>0</v>
      </c>
      <c r="G1961" s="12">
        <f>0</f>
        <v>0</v>
      </c>
    </row>
    <row r="1962" spans="1:10" x14ac:dyDescent="0.25">
      <c r="B1962" t="s">
        <v>21</v>
      </c>
      <c r="C1962" s="1" cm="1">
        <f t="array" ref="C1962:G1962">-MMULT(C1956:G1956,C1957:G1961)</f>
        <v>-1.367979668476271E-15</v>
      </c>
      <c r="D1962" s="1">
        <v>-1.5932228885525532E-15</v>
      </c>
      <c r="E1962" s="1">
        <v>0</v>
      </c>
      <c r="F1962" s="1">
        <v>2.2812069247287048E-15</v>
      </c>
      <c r="G1962" s="1">
        <v>-1.3745663072077511E-15</v>
      </c>
    </row>
    <row r="1963" spans="1:10" x14ac:dyDescent="0.25">
      <c r="B1963" t="s">
        <v>13</v>
      </c>
      <c r="C1963" s="1">
        <f t="shared" ref="C1963" si="4339">J1956/SUMPRODUCT(_xlfn.ANCHORARRAY(C1962),_xlfn.ANCHORARRAY(C1962))</f>
        <v>1.6206986294211755E-2</v>
      </c>
    </row>
    <row r="1964" spans="1:10" x14ac:dyDescent="0.25">
      <c r="A1964" s="1" t="s">
        <v>4</v>
      </c>
      <c r="B1964" t="s">
        <v>18</v>
      </c>
      <c r="C1964" s="1" cm="1">
        <f t="array" ref="C1964:G1964">C1955:G1955+C1963*C1962:G1962</f>
        <v>-1.1255447834430667</v>
      </c>
      <c r="D1964" s="1">
        <v>1.9328398942454117</v>
      </c>
      <c r="E1964" s="1">
        <v>0.39755547298133398</v>
      </c>
      <c r="F1964" s="1">
        <v>-0.67495954138082259</v>
      </c>
      <c r="G1964" s="1">
        <v>-0.12015140458184531</v>
      </c>
    </row>
    <row r="1965" spans="1:10" x14ac:dyDescent="0.25">
      <c r="A1965" s="1">
        <v>219</v>
      </c>
      <c r="B1965" t="s">
        <v>19</v>
      </c>
      <c r="C1965" s="1">
        <f t="shared" ref="C1965" si="4340">2*C1964-F1964*(D1964^2)-2*G1964*C1964</f>
        <v>5.5511151231257827E-16</v>
      </c>
      <c r="D1965" s="1">
        <f t="shared" ref="D1965" si="4341">2*D1964-2*F1964*C1964*D1964+4*G1964*D1964</f>
        <v>0</v>
      </c>
      <c r="E1965" s="1">
        <f t="shared" ref="E1965" si="4342">4*E1964+2*F1964+2*G1964</f>
        <v>0</v>
      </c>
      <c r="F1965" s="1">
        <f t="shared" ref="F1965" si="4343">C1964*(D1964^2)-2*E1964+5</f>
        <v>0</v>
      </c>
      <c r="G1965" s="1">
        <f t="shared" ref="G1965" si="4344">C1964^2-2*(D1964^2)-2*E1964+7</f>
        <v>0</v>
      </c>
      <c r="J1965" s="1">
        <f t="shared" ref="J1965" si="4345">0.5*(C1965*C1965+D1965*D1965+E1965*E1965+F1965*F1965+G1965*G1965)</f>
        <v>1.5407439555097887E-31</v>
      </c>
    </row>
    <row r="1966" spans="1:10" x14ac:dyDescent="0.25">
      <c r="C1966" s="5">
        <f t="shared" ref="C1966" si="4346">2-2*G1964</f>
        <v>2.2403028091636905</v>
      </c>
      <c r="D1966" s="6">
        <f t="shared" ref="D1966" si="4347">-2*F1964*D1964</f>
        <v>2.6091774571648814</v>
      </c>
      <c r="E1966" s="6">
        <f>0</f>
        <v>0</v>
      </c>
      <c r="F1966" s="6">
        <f t="shared" ref="F1966" si="4348">-(D1964^2)</f>
        <v>-3.7358700567866143</v>
      </c>
      <c r="G1966" s="7">
        <f t="shared" ref="G1966" si="4349">-2*C1964</f>
        <v>2.2510895668861335</v>
      </c>
    </row>
    <row r="1967" spans="1:10" x14ac:dyDescent="0.25">
      <c r="C1967" s="8">
        <f t="shared" ref="C1967" si="4350">-2*F1964*D1964</f>
        <v>2.6091774571648814</v>
      </c>
      <c r="D1967" s="1">
        <f t="shared" ref="D1967" si="4351">2-2*F1964*C1964+4*G1964</f>
        <v>-4.4408920985006262E-16</v>
      </c>
      <c r="E1967" s="1">
        <f>0</f>
        <v>0</v>
      </c>
      <c r="F1967" s="1">
        <f t="shared" ref="F1967" si="4352">-2*C1964*D1964</f>
        <v>4.3509957203971439</v>
      </c>
      <c r="G1967" s="9">
        <f t="shared" ref="G1967" si="4353">4*D1964</f>
        <v>7.7313595769816468</v>
      </c>
    </row>
    <row r="1968" spans="1:10" x14ac:dyDescent="0.25">
      <c r="B1968" t="s">
        <v>20</v>
      </c>
      <c r="C1968" s="8">
        <f>0</f>
        <v>0</v>
      </c>
      <c r="D1968" s="1">
        <f>0</f>
        <v>0</v>
      </c>
      <c r="E1968" s="1">
        <f>4</f>
        <v>4</v>
      </c>
      <c r="F1968" s="1">
        <f>2</f>
        <v>2</v>
      </c>
      <c r="G1968" s="9">
        <f>2</f>
        <v>2</v>
      </c>
    </row>
    <row r="1969" spans="1:10" x14ac:dyDescent="0.25">
      <c r="C1969" s="8">
        <f t="shared" ref="C1969" si="4354">(D1964^2)</f>
        <v>3.7358700567866143</v>
      </c>
      <c r="D1969" s="1">
        <f t="shared" ref="D1969" si="4355">2*C1964*D1964</f>
        <v>-4.3509957203971439</v>
      </c>
      <c r="E1969" s="1">
        <f t="shared" ref="E1969:E1970" si="4356">-2</f>
        <v>-2</v>
      </c>
      <c r="F1969" s="1">
        <f>0</f>
        <v>0</v>
      </c>
      <c r="G1969" s="9">
        <f>0</f>
        <v>0</v>
      </c>
    </row>
    <row r="1970" spans="1:10" x14ac:dyDescent="0.25">
      <c r="C1970" s="10">
        <f t="shared" ref="C1970" si="4357">2*C1964</f>
        <v>-2.2510895668861335</v>
      </c>
      <c r="D1970" s="11">
        <f t="shared" ref="D1970" si="4358">-4*D1964</f>
        <v>-7.7313595769816468</v>
      </c>
      <c r="E1970" s="11">
        <f t="shared" si="4356"/>
        <v>-2</v>
      </c>
      <c r="F1970" s="11">
        <f>0</f>
        <v>0</v>
      </c>
      <c r="G1970" s="12">
        <f>0</f>
        <v>0</v>
      </c>
    </row>
    <row r="1971" spans="1:10" x14ac:dyDescent="0.25">
      <c r="B1971" t="s">
        <v>21</v>
      </c>
      <c r="C1971" s="1" cm="1">
        <f t="array" ref="C1971:G1971">-MMULT(C1965:G1965,C1966:G1970)</f>
        <v>-1.2436178804329737E-15</v>
      </c>
      <c r="D1971" s="1">
        <v>-1.4483844441386847E-15</v>
      </c>
      <c r="E1971" s="1">
        <v>0</v>
      </c>
      <c r="F1971" s="1">
        <v>2.0738244770260952E-15</v>
      </c>
      <c r="G1971" s="1">
        <v>-1.2496057338252283E-15</v>
      </c>
    </row>
    <row r="1972" spans="1:10" x14ac:dyDescent="0.25">
      <c r="B1972" t="s">
        <v>13</v>
      </c>
      <c r="C1972" s="1">
        <f t="shared" ref="C1972" si="4359">J1965/SUMPRODUCT(_xlfn.ANCHORARRAY(C1971),_xlfn.ANCHORARRAY(C1971))</f>
        <v>1.6206986294211755E-2</v>
      </c>
    </row>
    <row r="1973" spans="1:10" x14ac:dyDescent="0.25">
      <c r="A1973" s="1" t="s">
        <v>4</v>
      </c>
      <c r="B1973" t="s">
        <v>18</v>
      </c>
      <c r="C1973" s="1" cm="1">
        <f t="array" ref="C1973:G1973">C1964:G1964+C1972*C1971:G1971</f>
        <v>-1.1255447834430667</v>
      </c>
      <c r="D1973" s="1">
        <v>1.9328398942454117</v>
      </c>
      <c r="E1973" s="1">
        <v>0.39755547298133398</v>
      </c>
      <c r="F1973" s="1">
        <v>-0.67495954138082259</v>
      </c>
      <c r="G1973" s="1">
        <v>-0.12015140458184533</v>
      </c>
    </row>
    <row r="1974" spans="1:10" x14ac:dyDescent="0.25">
      <c r="A1974" s="1">
        <v>220</v>
      </c>
      <c r="B1974" t="s">
        <v>19</v>
      </c>
      <c r="C1974" s="1">
        <f t="shared" ref="C1974" si="4360">2*C1973-F1973*(D1973^2)-2*G1973*C1973</f>
        <v>5.5511151231257827E-16</v>
      </c>
      <c r="D1974" s="1">
        <f t="shared" ref="D1974" si="4361">2*D1973-2*F1973*C1973*D1973+4*G1973*D1973</f>
        <v>-8.8817841970012523E-16</v>
      </c>
      <c r="E1974" s="1">
        <f t="shared" ref="E1974" si="4362">4*E1973+2*F1973+2*G1973</f>
        <v>0</v>
      </c>
      <c r="F1974" s="1">
        <f t="shared" ref="F1974" si="4363">C1973*(D1973^2)-2*E1973+5</f>
        <v>0</v>
      </c>
      <c r="G1974" s="1">
        <f t="shared" ref="G1974" si="4364">C1973^2-2*(D1973^2)-2*E1973+7</f>
        <v>0</v>
      </c>
      <c r="J1974" s="1">
        <f t="shared" ref="J1974" si="4365">0.5*(C1974*C1974+D1974*D1974+E1974*E1974+F1974*F1974+G1974*G1974)</f>
        <v>5.4850484816148477E-31</v>
      </c>
    </row>
    <row r="1975" spans="1:10" x14ac:dyDescent="0.25">
      <c r="C1975" s="5">
        <f t="shared" ref="C1975" si="4366">2-2*G1973</f>
        <v>2.2403028091636905</v>
      </c>
      <c r="D1975" s="6">
        <f t="shared" ref="D1975" si="4367">-2*F1973*D1973</f>
        <v>2.6091774571648814</v>
      </c>
      <c r="E1975" s="6">
        <f>0</f>
        <v>0</v>
      </c>
      <c r="F1975" s="6">
        <f t="shared" ref="F1975" si="4368">-(D1973^2)</f>
        <v>-3.7358700567866143</v>
      </c>
      <c r="G1975" s="7">
        <f t="shared" ref="G1975" si="4369">-2*C1973</f>
        <v>2.2510895668861335</v>
      </c>
    </row>
    <row r="1976" spans="1:10" x14ac:dyDescent="0.25">
      <c r="C1976" s="8">
        <f t="shared" ref="C1976" si="4370">-2*F1973*D1973</f>
        <v>2.6091774571648814</v>
      </c>
      <c r="D1976" s="1">
        <f t="shared" ref="D1976" si="4371">2-2*F1973*C1973+4*G1973</f>
        <v>-4.9960036108132044E-16</v>
      </c>
      <c r="E1976" s="1">
        <f>0</f>
        <v>0</v>
      </c>
      <c r="F1976" s="1">
        <f t="shared" ref="F1976" si="4372">-2*C1973*D1973</f>
        <v>4.3509957203971439</v>
      </c>
      <c r="G1976" s="9">
        <f t="shared" ref="G1976" si="4373">4*D1973</f>
        <v>7.7313595769816468</v>
      </c>
    </row>
    <row r="1977" spans="1:10" x14ac:dyDescent="0.25">
      <c r="B1977" t="s">
        <v>20</v>
      </c>
      <c r="C1977" s="8">
        <f>0</f>
        <v>0</v>
      </c>
      <c r="D1977" s="1">
        <f>0</f>
        <v>0</v>
      </c>
      <c r="E1977" s="1">
        <f>4</f>
        <v>4</v>
      </c>
      <c r="F1977" s="1">
        <f>2</f>
        <v>2</v>
      </c>
      <c r="G1977" s="9">
        <f>2</f>
        <v>2</v>
      </c>
    </row>
    <row r="1978" spans="1:10" x14ac:dyDescent="0.25">
      <c r="C1978" s="8">
        <f t="shared" ref="C1978" si="4374">(D1973^2)</f>
        <v>3.7358700567866143</v>
      </c>
      <c r="D1978" s="1">
        <f t="shared" ref="D1978" si="4375">2*C1973*D1973</f>
        <v>-4.3509957203971439</v>
      </c>
      <c r="E1978" s="1">
        <f t="shared" ref="E1978:E1979" si="4376">-2</f>
        <v>-2</v>
      </c>
      <c r="F1978" s="1">
        <f>0</f>
        <v>0</v>
      </c>
      <c r="G1978" s="9">
        <f>0</f>
        <v>0</v>
      </c>
    </row>
    <row r="1979" spans="1:10" x14ac:dyDescent="0.25">
      <c r="C1979" s="10">
        <f t="shared" ref="C1979" si="4377">2*C1973</f>
        <v>-2.2510895668861335</v>
      </c>
      <c r="D1979" s="11">
        <f t="shared" ref="D1979" si="4378">-4*D1973</f>
        <v>-7.7313595769816468</v>
      </c>
      <c r="E1979" s="11">
        <f t="shared" si="4376"/>
        <v>-2</v>
      </c>
      <c r="F1979" s="11">
        <f>0</f>
        <v>0</v>
      </c>
      <c r="G1979" s="12">
        <f>0</f>
        <v>0</v>
      </c>
    </row>
    <row r="1980" spans="1:10" x14ac:dyDescent="0.25">
      <c r="B1980" t="s">
        <v>21</v>
      </c>
      <c r="C1980" s="1" cm="1">
        <f t="array" ref="C1980:G1980">-MMULT(C1974:G1974,C1975:G1979)</f>
        <v>1.0737972301889219E-15</v>
      </c>
      <c r="D1980" s="1">
        <v>-1.448384444138685E-15</v>
      </c>
      <c r="E1980" s="1">
        <v>0</v>
      </c>
      <c r="F1980" s="1">
        <v>5.9382849800904388E-15</v>
      </c>
      <c r="G1980" s="1">
        <v>5.6172209973917592E-15</v>
      </c>
    </row>
    <row r="1981" spans="1:10" x14ac:dyDescent="0.25">
      <c r="B1981" t="s">
        <v>13</v>
      </c>
      <c r="C1981" s="1">
        <f t="shared" ref="C1981" si="4379">J1974/SUMPRODUCT(_xlfn.ANCHORARRAY(C1980),_xlfn.ANCHORARRAY(C1980))</f>
        <v>7.828261901978455E-3</v>
      </c>
    </row>
    <row r="1982" spans="1:10" x14ac:dyDescent="0.25">
      <c r="A1982" s="1" t="s">
        <v>4</v>
      </c>
      <c r="B1982" t="s">
        <v>18</v>
      </c>
      <c r="C1982" s="1" cm="1">
        <f t="array" ref="C1982:G1982">C1973:G1973+C1981*C1980:G1980</f>
        <v>-1.1255447834430667</v>
      </c>
      <c r="D1982" s="1">
        <v>1.9328398942454117</v>
      </c>
      <c r="E1982" s="1">
        <v>0.39755547298133398</v>
      </c>
      <c r="F1982" s="1">
        <v>-0.67495954138082259</v>
      </c>
      <c r="G1982" s="1">
        <v>-0.12015140458184528</v>
      </c>
    </row>
    <row r="1983" spans="1:10" x14ac:dyDescent="0.25">
      <c r="A1983" s="1">
        <v>221</v>
      </c>
      <c r="B1983" t="s">
        <v>19</v>
      </c>
      <c r="C1983" s="1">
        <f t="shared" ref="C1983" si="4380">2*C1982-F1982*(D1982^2)-2*G1982*C1982</f>
        <v>6.106226635438361E-16</v>
      </c>
      <c r="D1983" s="1">
        <f t="shared" ref="D1983" si="4381">2*D1982-2*F1982*C1982*D1982+4*G1982*D1982</f>
        <v>0</v>
      </c>
      <c r="E1983" s="1">
        <f t="shared" ref="E1983" si="4382">4*E1982+2*F1982+2*G1982</f>
        <v>0</v>
      </c>
      <c r="F1983" s="1">
        <f t="shared" ref="F1983" si="4383">C1982*(D1982^2)-2*E1982+5</f>
        <v>0</v>
      </c>
      <c r="G1983" s="1">
        <f t="shared" ref="G1983" si="4384">C1982^2-2*(D1982^2)-2*E1982+7</f>
        <v>0</v>
      </c>
      <c r="J1983" s="1">
        <f t="shared" ref="J1983" si="4385">0.5*(C1983*C1983+D1983*D1983+E1983*E1983+F1983*F1983+G1983*G1983)</f>
        <v>1.8643001861668443E-31</v>
      </c>
    </row>
    <row r="1984" spans="1:10" x14ac:dyDescent="0.25">
      <c r="C1984" s="5">
        <f t="shared" ref="C1984" si="4386">2-2*G1982</f>
        <v>2.2403028091636905</v>
      </c>
      <c r="D1984" s="6">
        <f t="shared" ref="D1984" si="4387">-2*F1982*D1982</f>
        <v>2.6091774571648814</v>
      </c>
      <c r="E1984" s="6">
        <f>0</f>
        <v>0</v>
      </c>
      <c r="F1984" s="6">
        <f t="shared" ref="F1984" si="4388">-(D1982^2)</f>
        <v>-3.7358700567866143</v>
      </c>
      <c r="G1984" s="7">
        <f t="shared" ref="G1984" si="4389">-2*C1982</f>
        <v>2.2510895668861335</v>
      </c>
    </row>
    <row r="1985" spans="1:10" x14ac:dyDescent="0.25">
      <c r="C1985" s="8">
        <f t="shared" ref="C1985" si="4390">-2*F1982*D1982</f>
        <v>2.6091774571648814</v>
      </c>
      <c r="D1985" s="1">
        <f t="shared" ref="D1985" si="4391">2-2*F1982*C1982+4*G1982</f>
        <v>0</v>
      </c>
      <c r="E1985" s="1">
        <f>0</f>
        <v>0</v>
      </c>
      <c r="F1985" s="1">
        <f t="shared" ref="F1985" si="4392">-2*C1982*D1982</f>
        <v>4.3509957203971439</v>
      </c>
      <c r="G1985" s="9">
        <f t="shared" ref="G1985" si="4393">4*D1982</f>
        <v>7.7313595769816468</v>
      </c>
    </row>
    <row r="1986" spans="1:10" x14ac:dyDescent="0.25">
      <c r="B1986" t="s">
        <v>20</v>
      </c>
      <c r="C1986" s="8">
        <f>0</f>
        <v>0</v>
      </c>
      <c r="D1986" s="1">
        <f>0</f>
        <v>0</v>
      </c>
      <c r="E1986" s="1">
        <f>4</f>
        <v>4</v>
      </c>
      <c r="F1986" s="1">
        <f>2</f>
        <v>2</v>
      </c>
      <c r="G1986" s="9">
        <f>2</f>
        <v>2</v>
      </c>
    </row>
    <row r="1987" spans="1:10" x14ac:dyDescent="0.25">
      <c r="C1987" s="8">
        <f t="shared" ref="C1987" si="4394">(D1982^2)</f>
        <v>3.7358700567866143</v>
      </c>
      <c r="D1987" s="1">
        <f t="shared" ref="D1987" si="4395">2*C1982*D1982</f>
        <v>-4.3509957203971439</v>
      </c>
      <c r="E1987" s="1">
        <f t="shared" ref="E1987:E1988" si="4396">-2</f>
        <v>-2</v>
      </c>
      <c r="F1987" s="1">
        <f>0</f>
        <v>0</v>
      </c>
      <c r="G1987" s="9">
        <f>0</f>
        <v>0</v>
      </c>
    </row>
    <row r="1988" spans="1:10" x14ac:dyDescent="0.25">
      <c r="C1988" s="10">
        <f t="shared" ref="C1988" si="4397">2*C1982</f>
        <v>-2.2510895668861335</v>
      </c>
      <c r="D1988" s="11">
        <f t="shared" ref="D1988" si="4398">-4*D1982</f>
        <v>-7.7313595769816468</v>
      </c>
      <c r="E1988" s="11">
        <f t="shared" si="4396"/>
        <v>-2</v>
      </c>
      <c r="F1988" s="11">
        <f>0</f>
        <v>0</v>
      </c>
      <c r="G1988" s="12">
        <f>0</f>
        <v>0</v>
      </c>
    </row>
    <row r="1989" spans="1:10" x14ac:dyDescent="0.25">
      <c r="B1989" t="s">
        <v>21</v>
      </c>
      <c r="C1989" s="1" cm="1">
        <f t="array" ref="C1989:G1989">-MMULT(C1983:G1983,C1984:G1988)</f>
        <v>-1.367979668476271E-15</v>
      </c>
      <c r="D1989" s="1">
        <v>-1.5932228885525532E-15</v>
      </c>
      <c r="E1989" s="1">
        <v>0</v>
      </c>
      <c r="F1989" s="1">
        <v>2.2812069247287048E-15</v>
      </c>
      <c r="G1989" s="1">
        <v>-1.3745663072077511E-15</v>
      </c>
    </row>
    <row r="1990" spans="1:10" x14ac:dyDescent="0.25">
      <c r="B1990" t="s">
        <v>13</v>
      </c>
      <c r="C1990" s="1">
        <f t="shared" ref="C1990" si="4399">J1983/SUMPRODUCT(_xlfn.ANCHORARRAY(C1989),_xlfn.ANCHORARRAY(C1989))</f>
        <v>1.6206986294211755E-2</v>
      </c>
    </row>
    <row r="1991" spans="1:10" x14ac:dyDescent="0.25">
      <c r="A1991" s="1" t="s">
        <v>4</v>
      </c>
      <c r="B1991" t="s">
        <v>18</v>
      </c>
      <c r="C1991" s="1" cm="1">
        <f t="array" ref="C1991:G1991">C1982:G1982+C1990*C1989:G1989</f>
        <v>-1.1255447834430667</v>
      </c>
      <c r="D1991" s="1">
        <v>1.9328398942454117</v>
      </c>
      <c r="E1991" s="1">
        <v>0.39755547298133398</v>
      </c>
      <c r="F1991" s="1">
        <v>-0.67495954138082259</v>
      </c>
      <c r="G1991" s="1">
        <v>-0.12015140458184531</v>
      </c>
    </row>
    <row r="1992" spans="1:10" x14ac:dyDescent="0.25">
      <c r="A1992" s="1">
        <v>222</v>
      </c>
      <c r="B1992" t="s">
        <v>19</v>
      </c>
      <c r="C1992" s="1">
        <f t="shared" ref="C1992" si="4400">2*C1991-F1991*(D1991^2)-2*G1991*C1991</f>
        <v>5.5511151231257827E-16</v>
      </c>
      <c r="D1992" s="1">
        <f t="shared" ref="D1992" si="4401">2*D1991-2*F1991*C1991*D1991+4*G1991*D1991</f>
        <v>0</v>
      </c>
      <c r="E1992" s="1">
        <f t="shared" ref="E1992" si="4402">4*E1991+2*F1991+2*G1991</f>
        <v>0</v>
      </c>
      <c r="F1992" s="1">
        <f t="shared" ref="F1992" si="4403">C1991*(D1991^2)-2*E1991+5</f>
        <v>0</v>
      </c>
      <c r="G1992" s="1">
        <f t="shared" ref="G1992" si="4404">C1991^2-2*(D1991^2)-2*E1991+7</f>
        <v>0</v>
      </c>
      <c r="J1992" s="1">
        <f t="shared" ref="J1992" si="4405">0.5*(C1992*C1992+D1992*D1992+E1992*E1992+F1992*F1992+G1992*G1992)</f>
        <v>1.5407439555097887E-31</v>
      </c>
    </row>
    <row r="1993" spans="1:10" x14ac:dyDescent="0.25">
      <c r="C1993" s="5">
        <f t="shared" ref="C1993" si="4406">2-2*G1991</f>
        <v>2.2403028091636905</v>
      </c>
      <c r="D1993" s="6">
        <f t="shared" ref="D1993" si="4407">-2*F1991*D1991</f>
        <v>2.6091774571648814</v>
      </c>
      <c r="E1993" s="6">
        <f>0</f>
        <v>0</v>
      </c>
      <c r="F1993" s="6">
        <f t="shared" ref="F1993" si="4408">-(D1991^2)</f>
        <v>-3.7358700567866143</v>
      </c>
      <c r="G1993" s="7">
        <f t="shared" ref="G1993" si="4409">-2*C1991</f>
        <v>2.2510895668861335</v>
      </c>
    </row>
    <row r="1994" spans="1:10" x14ac:dyDescent="0.25">
      <c r="C1994" s="8">
        <f t="shared" ref="C1994" si="4410">-2*F1991*D1991</f>
        <v>2.6091774571648814</v>
      </c>
      <c r="D1994" s="1">
        <f t="shared" ref="D1994" si="4411">2-2*F1991*C1991+4*G1991</f>
        <v>-4.4408920985006262E-16</v>
      </c>
      <c r="E1994" s="1">
        <f>0</f>
        <v>0</v>
      </c>
      <c r="F1994" s="1">
        <f t="shared" ref="F1994" si="4412">-2*C1991*D1991</f>
        <v>4.3509957203971439</v>
      </c>
      <c r="G1994" s="9">
        <f t="shared" ref="G1994" si="4413">4*D1991</f>
        <v>7.7313595769816468</v>
      </c>
    </row>
    <row r="1995" spans="1:10" x14ac:dyDescent="0.25">
      <c r="B1995" t="s">
        <v>20</v>
      </c>
      <c r="C1995" s="8">
        <f>0</f>
        <v>0</v>
      </c>
      <c r="D1995" s="1">
        <f>0</f>
        <v>0</v>
      </c>
      <c r="E1995" s="1">
        <f>4</f>
        <v>4</v>
      </c>
      <c r="F1995" s="1">
        <f>2</f>
        <v>2</v>
      </c>
      <c r="G1995" s="9">
        <f>2</f>
        <v>2</v>
      </c>
    </row>
    <row r="1996" spans="1:10" x14ac:dyDescent="0.25">
      <c r="C1996" s="8">
        <f t="shared" ref="C1996" si="4414">(D1991^2)</f>
        <v>3.7358700567866143</v>
      </c>
      <c r="D1996" s="1">
        <f t="shared" ref="D1996" si="4415">2*C1991*D1991</f>
        <v>-4.3509957203971439</v>
      </c>
      <c r="E1996" s="1">
        <f t="shared" ref="E1996:E1997" si="4416">-2</f>
        <v>-2</v>
      </c>
      <c r="F1996" s="1">
        <f>0</f>
        <v>0</v>
      </c>
      <c r="G1996" s="9">
        <f>0</f>
        <v>0</v>
      </c>
    </row>
    <row r="1997" spans="1:10" x14ac:dyDescent="0.25">
      <c r="C1997" s="10">
        <f t="shared" ref="C1997" si="4417">2*C1991</f>
        <v>-2.2510895668861335</v>
      </c>
      <c r="D1997" s="11">
        <f t="shared" ref="D1997" si="4418">-4*D1991</f>
        <v>-7.7313595769816468</v>
      </c>
      <c r="E1997" s="11">
        <f t="shared" si="4416"/>
        <v>-2</v>
      </c>
      <c r="F1997" s="11">
        <f>0</f>
        <v>0</v>
      </c>
      <c r="G1997" s="12">
        <f>0</f>
        <v>0</v>
      </c>
    </row>
    <row r="1998" spans="1:10" x14ac:dyDescent="0.25">
      <c r="B1998" t="s">
        <v>21</v>
      </c>
      <c r="C1998" s="1" cm="1">
        <f t="array" ref="C1998:G1998">-MMULT(C1992:G1992,C1993:G1997)</f>
        <v>-1.2436178804329737E-15</v>
      </c>
      <c r="D1998" s="1">
        <v>-1.4483844441386847E-15</v>
      </c>
      <c r="E1998" s="1">
        <v>0</v>
      </c>
      <c r="F1998" s="1">
        <v>2.0738244770260952E-15</v>
      </c>
      <c r="G1998" s="1">
        <v>-1.2496057338252283E-15</v>
      </c>
    </row>
    <row r="1999" spans="1:10" x14ac:dyDescent="0.25">
      <c r="B1999" t="s">
        <v>13</v>
      </c>
      <c r="C1999" s="1">
        <f t="shared" ref="C1999" si="4419">J1992/SUMPRODUCT(_xlfn.ANCHORARRAY(C1998),_xlfn.ANCHORARRAY(C1998))</f>
        <v>1.6206986294211755E-2</v>
      </c>
    </row>
    <row r="2000" spans="1:10" x14ac:dyDescent="0.25">
      <c r="A2000" s="1" t="s">
        <v>4</v>
      </c>
      <c r="B2000" t="s">
        <v>18</v>
      </c>
      <c r="C2000" s="1" cm="1">
        <f t="array" ref="C2000:G2000">C1991:G1991+C1999*C1998:G1998</f>
        <v>-1.1255447834430667</v>
      </c>
      <c r="D2000" s="1">
        <v>1.9328398942454117</v>
      </c>
      <c r="E2000" s="1">
        <v>0.39755547298133398</v>
      </c>
      <c r="F2000" s="1">
        <v>-0.67495954138082259</v>
      </c>
      <c r="G2000" s="1">
        <v>-0.12015140458184533</v>
      </c>
    </row>
    <row r="2001" spans="1:10" x14ac:dyDescent="0.25">
      <c r="A2001" s="1">
        <v>223</v>
      </c>
      <c r="B2001" t="s">
        <v>19</v>
      </c>
      <c r="C2001" s="1">
        <f t="shared" ref="C2001" si="4420">2*C2000-F2000*(D2000^2)-2*G2000*C2000</f>
        <v>5.5511151231257827E-16</v>
      </c>
      <c r="D2001" s="1">
        <f t="shared" ref="D2001" si="4421">2*D2000-2*F2000*C2000*D2000+4*G2000*D2000</f>
        <v>-8.8817841970012523E-16</v>
      </c>
      <c r="E2001" s="1">
        <f t="shared" ref="E2001" si="4422">4*E2000+2*F2000+2*G2000</f>
        <v>0</v>
      </c>
      <c r="F2001" s="1">
        <f t="shared" ref="F2001" si="4423">C2000*(D2000^2)-2*E2000+5</f>
        <v>0</v>
      </c>
      <c r="G2001" s="1">
        <f t="shared" ref="G2001" si="4424">C2000^2-2*(D2000^2)-2*E2000+7</f>
        <v>0</v>
      </c>
      <c r="J2001" s="1">
        <f t="shared" ref="J2001" si="4425">0.5*(C2001*C2001+D2001*D2001+E2001*E2001+F2001*F2001+G2001*G2001)</f>
        <v>5.4850484816148477E-31</v>
      </c>
    </row>
    <row r="2002" spans="1:10" x14ac:dyDescent="0.25">
      <c r="C2002" s="5">
        <f t="shared" ref="C2002" si="4426">2-2*G2000</f>
        <v>2.2403028091636905</v>
      </c>
      <c r="D2002" s="6">
        <f t="shared" ref="D2002" si="4427">-2*F2000*D2000</f>
        <v>2.6091774571648814</v>
      </c>
      <c r="E2002" s="6">
        <f>0</f>
        <v>0</v>
      </c>
      <c r="F2002" s="6">
        <f t="shared" ref="F2002" si="4428">-(D2000^2)</f>
        <v>-3.7358700567866143</v>
      </c>
      <c r="G2002" s="7">
        <f t="shared" ref="G2002" si="4429">-2*C2000</f>
        <v>2.2510895668861335</v>
      </c>
    </row>
    <row r="2003" spans="1:10" x14ac:dyDescent="0.25">
      <c r="C2003" s="8">
        <f t="shared" ref="C2003" si="4430">-2*F2000*D2000</f>
        <v>2.6091774571648814</v>
      </c>
      <c r="D2003" s="1">
        <f t="shared" ref="D2003" si="4431">2-2*F2000*C2000+4*G2000</f>
        <v>-4.9960036108132044E-16</v>
      </c>
      <c r="E2003" s="1">
        <f>0</f>
        <v>0</v>
      </c>
      <c r="F2003" s="1">
        <f t="shared" ref="F2003" si="4432">-2*C2000*D2000</f>
        <v>4.3509957203971439</v>
      </c>
      <c r="G2003" s="9">
        <f t="shared" ref="G2003" si="4433">4*D2000</f>
        <v>7.7313595769816468</v>
      </c>
    </row>
    <row r="2004" spans="1:10" x14ac:dyDescent="0.25">
      <c r="B2004" t="s">
        <v>20</v>
      </c>
      <c r="C2004" s="8">
        <f>0</f>
        <v>0</v>
      </c>
      <c r="D2004" s="1">
        <f>0</f>
        <v>0</v>
      </c>
      <c r="E2004" s="1">
        <f>4</f>
        <v>4</v>
      </c>
      <c r="F2004" s="1">
        <f>2</f>
        <v>2</v>
      </c>
      <c r="G2004" s="9">
        <f>2</f>
        <v>2</v>
      </c>
    </row>
    <row r="2005" spans="1:10" x14ac:dyDescent="0.25">
      <c r="C2005" s="8">
        <f t="shared" ref="C2005" si="4434">(D2000^2)</f>
        <v>3.7358700567866143</v>
      </c>
      <c r="D2005" s="1">
        <f t="shared" ref="D2005" si="4435">2*C2000*D2000</f>
        <v>-4.3509957203971439</v>
      </c>
      <c r="E2005" s="1">
        <f t="shared" ref="E2005:E2006" si="4436">-2</f>
        <v>-2</v>
      </c>
      <c r="F2005" s="1">
        <f>0</f>
        <v>0</v>
      </c>
      <c r="G2005" s="9">
        <f>0</f>
        <v>0</v>
      </c>
    </row>
    <row r="2006" spans="1:10" x14ac:dyDescent="0.25">
      <c r="C2006" s="10">
        <f t="shared" ref="C2006" si="4437">2*C2000</f>
        <v>-2.2510895668861335</v>
      </c>
      <c r="D2006" s="11">
        <f t="shared" ref="D2006" si="4438">-4*D2000</f>
        <v>-7.7313595769816468</v>
      </c>
      <c r="E2006" s="11">
        <f t="shared" si="4436"/>
        <v>-2</v>
      </c>
      <c r="F2006" s="11">
        <f>0</f>
        <v>0</v>
      </c>
      <c r="G2006" s="12">
        <f>0</f>
        <v>0</v>
      </c>
    </row>
    <row r="2007" spans="1:10" x14ac:dyDescent="0.25">
      <c r="B2007" t="s">
        <v>21</v>
      </c>
      <c r="C2007" s="1" cm="1">
        <f t="array" ref="C2007:G2007">-MMULT(C2001:G2001,C2002:G2006)</f>
        <v>1.0737972301889219E-15</v>
      </c>
      <c r="D2007" s="1">
        <v>-1.448384444138685E-15</v>
      </c>
      <c r="E2007" s="1">
        <v>0</v>
      </c>
      <c r="F2007" s="1">
        <v>5.9382849800904388E-15</v>
      </c>
      <c r="G2007" s="1">
        <v>5.6172209973917592E-15</v>
      </c>
    </row>
    <row r="2008" spans="1:10" x14ac:dyDescent="0.25">
      <c r="B2008" t="s">
        <v>13</v>
      </c>
      <c r="C2008" s="1">
        <f t="shared" ref="C2008" si="4439">J2001/SUMPRODUCT(_xlfn.ANCHORARRAY(C2007),_xlfn.ANCHORARRAY(C2007))</f>
        <v>7.828261901978455E-3</v>
      </c>
    </row>
    <row r="2009" spans="1:10" x14ac:dyDescent="0.25">
      <c r="A2009" s="1" t="s">
        <v>4</v>
      </c>
      <c r="B2009" t="s">
        <v>18</v>
      </c>
      <c r="C2009" s="1" cm="1">
        <f t="array" ref="C2009:G2009">C2000:G2000+C2008*C2007:G2007</f>
        <v>-1.1255447834430667</v>
      </c>
      <c r="D2009" s="1">
        <v>1.9328398942454117</v>
      </c>
      <c r="E2009" s="1">
        <v>0.39755547298133398</v>
      </c>
      <c r="F2009" s="1">
        <v>-0.67495954138082259</v>
      </c>
      <c r="G2009" s="1">
        <v>-0.12015140458184528</v>
      </c>
    </row>
    <row r="2010" spans="1:10" x14ac:dyDescent="0.25">
      <c r="A2010" s="1">
        <v>224</v>
      </c>
      <c r="B2010" t="s">
        <v>19</v>
      </c>
      <c r="C2010" s="1">
        <f t="shared" ref="C2010" si="4440">2*C2009-F2009*(D2009^2)-2*G2009*C2009</f>
        <v>6.106226635438361E-16</v>
      </c>
      <c r="D2010" s="1">
        <f t="shared" ref="D2010" si="4441">2*D2009-2*F2009*C2009*D2009+4*G2009*D2009</f>
        <v>0</v>
      </c>
      <c r="E2010" s="1">
        <f t="shared" ref="E2010" si="4442">4*E2009+2*F2009+2*G2009</f>
        <v>0</v>
      </c>
      <c r="F2010" s="1">
        <f t="shared" ref="F2010" si="4443">C2009*(D2009^2)-2*E2009+5</f>
        <v>0</v>
      </c>
      <c r="G2010" s="1">
        <f t="shared" ref="G2010" si="4444">C2009^2-2*(D2009^2)-2*E2009+7</f>
        <v>0</v>
      </c>
      <c r="J2010" s="1">
        <f t="shared" ref="J2010" si="4445">0.5*(C2010*C2010+D2010*D2010+E2010*E2010+F2010*F2010+G2010*G2010)</f>
        <v>1.8643001861668443E-31</v>
      </c>
    </row>
    <row r="2011" spans="1:10" x14ac:dyDescent="0.25">
      <c r="C2011" s="5">
        <f t="shared" ref="C2011" si="4446">2-2*G2009</f>
        <v>2.2403028091636905</v>
      </c>
      <c r="D2011" s="6">
        <f t="shared" ref="D2011" si="4447">-2*F2009*D2009</f>
        <v>2.6091774571648814</v>
      </c>
      <c r="E2011" s="6">
        <f>0</f>
        <v>0</v>
      </c>
      <c r="F2011" s="6">
        <f t="shared" ref="F2011" si="4448">-(D2009^2)</f>
        <v>-3.7358700567866143</v>
      </c>
      <c r="G2011" s="7">
        <f t="shared" ref="G2011" si="4449">-2*C2009</f>
        <v>2.2510895668861335</v>
      </c>
    </row>
    <row r="2012" spans="1:10" x14ac:dyDescent="0.25">
      <c r="C2012" s="8">
        <f t="shared" ref="C2012" si="4450">-2*F2009*D2009</f>
        <v>2.6091774571648814</v>
      </c>
      <c r="D2012" s="1">
        <f t="shared" ref="D2012" si="4451">2-2*F2009*C2009+4*G2009</f>
        <v>0</v>
      </c>
      <c r="E2012" s="1">
        <f>0</f>
        <v>0</v>
      </c>
      <c r="F2012" s="1">
        <f t="shared" ref="F2012" si="4452">-2*C2009*D2009</f>
        <v>4.3509957203971439</v>
      </c>
      <c r="G2012" s="9">
        <f t="shared" ref="G2012" si="4453">4*D2009</f>
        <v>7.7313595769816468</v>
      </c>
    </row>
    <row r="2013" spans="1:10" x14ac:dyDescent="0.25">
      <c r="B2013" t="s">
        <v>20</v>
      </c>
      <c r="C2013" s="8">
        <f>0</f>
        <v>0</v>
      </c>
      <c r="D2013" s="1">
        <f>0</f>
        <v>0</v>
      </c>
      <c r="E2013" s="1">
        <f>4</f>
        <v>4</v>
      </c>
      <c r="F2013" s="1">
        <f>2</f>
        <v>2</v>
      </c>
      <c r="G2013" s="9">
        <f>2</f>
        <v>2</v>
      </c>
    </row>
    <row r="2014" spans="1:10" x14ac:dyDescent="0.25">
      <c r="C2014" s="8">
        <f t="shared" ref="C2014" si="4454">(D2009^2)</f>
        <v>3.7358700567866143</v>
      </c>
      <c r="D2014" s="1">
        <f t="shared" ref="D2014" si="4455">2*C2009*D2009</f>
        <v>-4.3509957203971439</v>
      </c>
      <c r="E2014" s="1">
        <f t="shared" ref="E2014:E2015" si="4456">-2</f>
        <v>-2</v>
      </c>
      <c r="F2014" s="1">
        <f>0</f>
        <v>0</v>
      </c>
      <c r="G2014" s="9">
        <f>0</f>
        <v>0</v>
      </c>
    </row>
    <row r="2015" spans="1:10" x14ac:dyDescent="0.25">
      <c r="C2015" s="10">
        <f t="shared" ref="C2015" si="4457">2*C2009</f>
        <v>-2.2510895668861335</v>
      </c>
      <c r="D2015" s="11">
        <f t="shared" ref="D2015" si="4458">-4*D2009</f>
        <v>-7.7313595769816468</v>
      </c>
      <c r="E2015" s="11">
        <f t="shared" si="4456"/>
        <v>-2</v>
      </c>
      <c r="F2015" s="11">
        <f>0</f>
        <v>0</v>
      </c>
      <c r="G2015" s="12">
        <f>0</f>
        <v>0</v>
      </c>
    </row>
    <row r="2016" spans="1:10" x14ac:dyDescent="0.25">
      <c r="B2016" t="s">
        <v>21</v>
      </c>
      <c r="C2016" s="1" cm="1">
        <f t="array" ref="C2016:G2016">-MMULT(C2010:G2010,C2011:G2015)</f>
        <v>-1.367979668476271E-15</v>
      </c>
      <c r="D2016" s="1">
        <v>-1.5932228885525532E-15</v>
      </c>
      <c r="E2016" s="1">
        <v>0</v>
      </c>
      <c r="F2016" s="1">
        <v>2.2812069247287048E-15</v>
      </c>
      <c r="G2016" s="1">
        <v>-1.3745663072077511E-15</v>
      </c>
    </row>
    <row r="2017" spans="1:10" x14ac:dyDescent="0.25">
      <c r="B2017" t="s">
        <v>13</v>
      </c>
      <c r="C2017" s="1">
        <f t="shared" ref="C2017" si="4459">J2010/SUMPRODUCT(_xlfn.ANCHORARRAY(C2016),_xlfn.ANCHORARRAY(C2016))</f>
        <v>1.6206986294211755E-2</v>
      </c>
    </row>
    <row r="2018" spans="1:10" x14ac:dyDescent="0.25">
      <c r="A2018" s="1" t="s">
        <v>4</v>
      </c>
      <c r="B2018" t="s">
        <v>18</v>
      </c>
      <c r="C2018" s="1" cm="1">
        <f t="array" ref="C2018:G2018">C2009:G2009+C2017*C2016:G2016</f>
        <v>-1.1255447834430667</v>
      </c>
      <c r="D2018" s="1">
        <v>1.9328398942454117</v>
      </c>
      <c r="E2018" s="1">
        <v>0.39755547298133398</v>
      </c>
      <c r="F2018" s="1">
        <v>-0.67495954138082259</v>
      </c>
      <c r="G2018" s="1">
        <v>-0.12015140458184531</v>
      </c>
    </row>
    <row r="2019" spans="1:10" x14ac:dyDescent="0.25">
      <c r="A2019" s="1">
        <v>225</v>
      </c>
      <c r="B2019" t="s">
        <v>19</v>
      </c>
      <c r="C2019" s="1">
        <f t="shared" ref="C2019" si="4460">2*C2018-F2018*(D2018^2)-2*G2018*C2018</f>
        <v>5.5511151231257827E-16</v>
      </c>
      <c r="D2019" s="1">
        <f t="shared" ref="D2019" si="4461">2*D2018-2*F2018*C2018*D2018+4*G2018*D2018</f>
        <v>0</v>
      </c>
      <c r="E2019" s="1">
        <f t="shared" ref="E2019" si="4462">4*E2018+2*F2018+2*G2018</f>
        <v>0</v>
      </c>
      <c r="F2019" s="1">
        <f t="shared" ref="F2019" si="4463">C2018*(D2018^2)-2*E2018+5</f>
        <v>0</v>
      </c>
      <c r="G2019" s="1">
        <f t="shared" ref="G2019" si="4464">C2018^2-2*(D2018^2)-2*E2018+7</f>
        <v>0</v>
      </c>
      <c r="J2019" s="1">
        <f t="shared" ref="J2019" si="4465">0.5*(C2019*C2019+D2019*D2019+E2019*E2019+F2019*F2019+G2019*G2019)</f>
        <v>1.5407439555097887E-31</v>
      </c>
    </row>
    <row r="2020" spans="1:10" x14ac:dyDescent="0.25">
      <c r="C2020" s="5">
        <f t="shared" ref="C2020" si="4466">2-2*G2018</f>
        <v>2.2403028091636905</v>
      </c>
      <c r="D2020" s="6">
        <f t="shared" ref="D2020" si="4467">-2*F2018*D2018</f>
        <v>2.6091774571648814</v>
      </c>
      <c r="E2020" s="6">
        <f>0</f>
        <v>0</v>
      </c>
      <c r="F2020" s="6">
        <f t="shared" ref="F2020" si="4468">-(D2018^2)</f>
        <v>-3.7358700567866143</v>
      </c>
      <c r="G2020" s="7">
        <f t="shared" ref="G2020" si="4469">-2*C2018</f>
        <v>2.2510895668861335</v>
      </c>
    </row>
    <row r="2021" spans="1:10" x14ac:dyDescent="0.25">
      <c r="C2021" s="8">
        <f t="shared" ref="C2021" si="4470">-2*F2018*D2018</f>
        <v>2.6091774571648814</v>
      </c>
      <c r="D2021" s="1">
        <f t="shared" ref="D2021" si="4471">2-2*F2018*C2018+4*G2018</f>
        <v>-4.4408920985006262E-16</v>
      </c>
      <c r="E2021" s="1">
        <f>0</f>
        <v>0</v>
      </c>
      <c r="F2021" s="1">
        <f t="shared" ref="F2021" si="4472">-2*C2018*D2018</f>
        <v>4.3509957203971439</v>
      </c>
      <c r="G2021" s="9">
        <f t="shared" ref="G2021" si="4473">4*D2018</f>
        <v>7.7313595769816468</v>
      </c>
    </row>
    <row r="2022" spans="1:10" x14ac:dyDescent="0.25">
      <c r="B2022" t="s">
        <v>20</v>
      </c>
      <c r="C2022" s="8">
        <f>0</f>
        <v>0</v>
      </c>
      <c r="D2022" s="1">
        <f>0</f>
        <v>0</v>
      </c>
      <c r="E2022" s="1">
        <f>4</f>
        <v>4</v>
      </c>
      <c r="F2022" s="1">
        <f>2</f>
        <v>2</v>
      </c>
      <c r="G2022" s="9">
        <f>2</f>
        <v>2</v>
      </c>
    </row>
    <row r="2023" spans="1:10" x14ac:dyDescent="0.25">
      <c r="C2023" s="8">
        <f t="shared" ref="C2023" si="4474">(D2018^2)</f>
        <v>3.7358700567866143</v>
      </c>
      <c r="D2023" s="1">
        <f t="shared" ref="D2023" si="4475">2*C2018*D2018</f>
        <v>-4.3509957203971439</v>
      </c>
      <c r="E2023" s="1">
        <f t="shared" ref="E2023:E2024" si="4476">-2</f>
        <v>-2</v>
      </c>
      <c r="F2023" s="1">
        <f>0</f>
        <v>0</v>
      </c>
      <c r="G2023" s="9">
        <f>0</f>
        <v>0</v>
      </c>
    </row>
    <row r="2024" spans="1:10" x14ac:dyDescent="0.25">
      <c r="C2024" s="10">
        <f t="shared" ref="C2024" si="4477">2*C2018</f>
        <v>-2.2510895668861335</v>
      </c>
      <c r="D2024" s="11">
        <f t="shared" ref="D2024" si="4478">-4*D2018</f>
        <v>-7.7313595769816468</v>
      </c>
      <c r="E2024" s="11">
        <f t="shared" si="4476"/>
        <v>-2</v>
      </c>
      <c r="F2024" s="11">
        <f>0</f>
        <v>0</v>
      </c>
      <c r="G2024" s="12">
        <f>0</f>
        <v>0</v>
      </c>
    </row>
    <row r="2025" spans="1:10" x14ac:dyDescent="0.25">
      <c r="B2025" t="s">
        <v>21</v>
      </c>
      <c r="C2025" s="1" cm="1">
        <f t="array" ref="C2025:G2025">-MMULT(C2019:G2019,C2020:G2024)</f>
        <v>-1.2436178804329737E-15</v>
      </c>
      <c r="D2025" s="1">
        <v>-1.4483844441386847E-15</v>
      </c>
      <c r="E2025" s="1">
        <v>0</v>
      </c>
      <c r="F2025" s="1">
        <v>2.0738244770260952E-15</v>
      </c>
      <c r="G2025" s="1">
        <v>-1.2496057338252283E-15</v>
      </c>
    </row>
    <row r="2026" spans="1:10" x14ac:dyDescent="0.25">
      <c r="B2026" t="s">
        <v>13</v>
      </c>
      <c r="C2026" s="1">
        <f t="shared" ref="C2026" si="4479">J2019/SUMPRODUCT(_xlfn.ANCHORARRAY(C2025),_xlfn.ANCHORARRAY(C2025))</f>
        <v>1.6206986294211755E-2</v>
      </c>
    </row>
    <row r="2027" spans="1:10" x14ac:dyDescent="0.25">
      <c r="A2027" s="1" t="s">
        <v>4</v>
      </c>
      <c r="B2027" t="s">
        <v>18</v>
      </c>
      <c r="C2027" s="1" cm="1">
        <f t="array" ref="C2027:G2027">C2018:G2018+C2026*C2025:G2025</f>
        <v>-1.1255447834430667</v>
      </c>
      <c r="D2027" s="1">
        <v>1.9328398942454117</v>
      </c>
      <c r="E2027" s="1">
        <v>0.39755547298133398</v>
      </c>
      <c r="F2027" s="1">
        <v>-0.67495954138082259</v>
      </c>
      <c r="G2027" s="1">
        <v>-0.12015140458184533</v>
      </c>
    </row>
    <row r="2028" spans="1:10" x14ac:dyDescent="0.25">
      <c r="A2028" s="1">
        <v>226</v>
      </c>
      <c r="B2028" t="s">
        <v>19</v>
      </c>
      <c r="C2028" s="1">
        <f t="shared" ref="C2028" si="4480">2*C2027-F2027*(D2027^2)-2*G2027*C2027</f>
        <v>5.5511151231257827E-16</v>
      </c>
      <c r="D2028" s="1">
        <f t="shared" ref="D2028" si="4481">2*D2027-2*F2027*C2027*D2027+4*G2027*D2027</f>
        <v>-8.8817841970012523E-16</v>
      </c>
      <c r="E2028" s="1">
        <f t="shared" ref="E2028" si="4482">4*E2027+2*F2027+2*G2027</f>
        <v>0</v>
      </c>
      <c r="F2028" s="1">
        <f t="shared" ref="F2028" si="4483">C2027*(D2027^2)-2*E2027+5</f>
        <v>0</v>
      </c>
      <c r="G2028" s="1">
        <f t="shared" ref="G2028" si="4484">C2027^2-2*(D2027^2)-2*E2027+7</f>
        <v>0</v>
      </c>
      <c r="J2028" s="1">
        <f t="shared" ref="J2028" si="4485">0.5*(C2028*C2028+D2028*D2028+E2028*E2028+F2028*F2028+G2028*G2028)</f>
        <v>5.4850484816148477E-31</v>
      </c>
    </row>
    <row r="2029" spans="1:10" x14ac:dyDescent="0.25">
      <c r="C2029" s="5">
        <f t="shared" ref="C2029" si="4486">2-2*G2027</f>
        <v>2.2403028091636905</v>
      </c>
      <c r="D2029" s="6">
        <f t="shared" ref="D2029" si="4487">-2*F2027*D2027</f>
        <v>2.6091774571648814</v>
      </c>
      <c r="E2029" s="6">
        <f>0</f>
        <v>0</v>
      </c>
      <c r="F2029" s="6">
        <f t="shared" ref="F2029" si="4488">-(D2027^2)</f>
        <v>-3.7358700567866143</v>
      </c>
      <c r="G2029" s="7">
        <f t="shared" ref="G2029" si="4489">-2*C2027</f>
        <v>2.2510895668861335</v>
      </c>
    </row>
    <row r="2030" spans="1:10" x14ac:dyDescent="0.25">
      <c r="C2030" s="8">
        <f t="shared" ref="C2030" si="4490">-2*F2027*D2027</f>
        <v>2.6091774571648814</v>
      </c>
      <c r="D2030" s="1">
        <f t="shared" ref="D2030" si="4491">2-2*F2027*C2027+4*G2027</f>
        <v>-4.9960036108132044E-16</v>
      </c>
      <c r="E2030" s="1">
        <f>0</f>
        <v>0</v>
      </c>
      <c r="F2030" s="1">
        <f t="shared" ref="F2030" si="4492">-2*C2027*D2027</f>
        <v>4.3509957203971439</v>
      </c>
      <c r="G2030" s="9">
        <f t="shared" ref="G2030" si="4493">4*D2027</f>
        <v>7.7313595769816468</v>
      </c>
    </row>
    <row r="2031" spans="1:10" x14ac:dyDescent="0.25">
      <c r="B2031" t="s">
        <v>20</v>
      </c>
      <c r="C2031" s="8">
        <f>0</f>
        <v>0</v>
      </c>
      <c r="D2031" s="1">
        <f>0</f>
        <v>0</v>
      </c>
      <c r="E2031" s="1">
        <f>4</f>
        <v>4</v>
      </c>
      <c r="F2031" s="1">
        <f>2</f>
        <v>2</v>
      </c>
      <c r="G2031" s="9">
        <f>2</f>
        <v>2</v>
      </c>
    </row>
    <row r="2032" spans="1:10" x14ac:dyDescent="0.25">
      <c r="C2032" s="8">
        <f t="shared" ref="C2032" si="4494">(D2027^2)</f>
        <v>3.7358700567866143</v>
      </c>
      <c r="D2032" s="1">
        <f t="shared" ref="D2032" si="4495">2*C2027*D2027</f>
        <v>-4.3509957203971439</v>
      </c>
      <c r="E2032" s="1">
        <f t="shared" ref="E2032:E2033" si="4496">-2</f>
        <v>-2</v>
      </c>
      <c r="F2032" s="1">
        <f>0</f>
        <v>0</v>
      </c>
      <c r="G2032" s="9">
        <f>0</f>
        <v>0</v>
      </c>
    </row>
    <row r="2033" spans="1:10" x14ac:dyDescent="0.25">
      <c r="C2033" s="10">
        <f t="shared" ref="C2033" si="4497">2*C2027</f>
        <v>-2.2510895668861335</v>
      </c>
      <c r="D2033" s="11">
        <f t="shared" ref="D2033" si="4498">-4*D2027</f>
        <v>-7.7313595769816468</v>
      </c>
      <c r="E2033" s="11">
        <f t="shared" si="4496"/>
        <v>-2</v>
      </c>
      <c r="F2033" s="11">
        <f>0</f>
        <v>0</v>
      </c>
      <c r="G2033" s="12">
        <f>0</f>
        <v>0</v>
      </c>
    </row>
    <row r="2034" spans="1:10" x14ac:dyDescent="0.25">
      <c r="B2034" t="s">
        <v>21</v>
      </c>
      <c r="C2034" s="1" cm="1">
        <f t="array" ref="C2034:G2034">-MMULT(C2028:G2028,C2029:G2033)</f>
        <v>1.0737972301889219E-15</v>
      </c>
      <c r="D2034" s="1">
        <v>-1.448384444138685E-15</v>
      </c>
      <c r="E2034" s="1">
        <v>0</v>
      </c>
      <c r="F2034" s="1">
        <v>5.9382849800904388E-15</v>
      </c>
      <c r="G2034" s="1">
        <v>5.6172209973917592E-15</v>
      </c>
    </row>
    <row r="2035" spans="1:10" x14ac:dyDescent="0.25">
      <c r="B2035" t="s">
        <v>13</v>
      </c>
      <c r="C2035" s="1">
        <f t="shared" ref="C2035" si="4499">J2028/SUMPRODUCT(_xlfn.ANCHORARRAY(C2034),_xlfn.ANCHORARRAY(C2034))</f>
        <v>7.828261901978455E-3</v>
      </c>
    </row>
    <row r="2036" spans="1:10" x14ac:dyDescent="0.25">
      <c r="A2036" s="1" t="s">
        <v>4</v>
      </c>
      <c r="B2036" t="s">
        <v>18</v>
      </c>
      <c r="C2036" s="1" cm="1">
        <f t="array" ref="C2036:G2036">C2027:G2027+C2035*C2034:G2034</f>
        <v>-1.1255447834430667</v>
      </c>
      <c r="D2036" s="1">
        <v>1.9328398942454117</v>
      </c>
      <c r="E2036" s="1">
        <v>0.39755547298133398</v>
      </c>
      <c r="F2036" s="1">
        <v>-0.67495954138082259</v>
      </c>
      <c r="G2036" s="1">
        <v>-0.12015140458184528</v>
      </c>
    </row>
    <row r="2037" spans="1:10" x14ac:dyDescent="0.25">
      <c r="A2037" s="1">
        <v>227</v>
      </c>
      <c r="B2037" t="s">
        <v>19</v>
      </c>
      <c r="C2037" s="1">
        <f t="shared" ref="C2037" si="4500">2*C2036-F2036*(D2036^2)-2*G2036*C2036</f>
        <v>6.106226635438361E-16</v>
      </c>
      <c r="D2037" s="1">
        <f t="shared" ref="D2037" si="4501">2*D2036-2*F2036*C2036*D2036+4*G2036*D2036</f>
        <v>0</v>
      </c>
      <c r="E2037" s="1">
        <f t="shared" ref="E2037" si="4502">4*E2036+2*F2036+2*G2036</f>
        <v>0</v>
      </c>
      <c r="F2037" s="1">
        <f t="shared" ref="F2037" si="4503">C2036*(D2036^2)-2*E2036+5</f>
        <v>0</v>
      </c>
      <c r="G2037" s="1">
        <f t="shared" ref="G2037" si="4504">C2036^2-2*(D2036^2)-2*E2036+7</f>
        <v>0</v>
      </c>
      <c r="J2037" s="1">
        <f t="shared" ref="J2037" si="4505">0.5*(C2037*C2037+D2037*D2037+E2037*E2037+F2037*F2037+G2037*G2037)</f>
        <v>1.8643001861668443E-31</v>
      </c>
    </row>
    <row r="2038" spans="1:10" x14ac:dyDescent="0.25">
      <c r="C2038" s="5">
        <f t="shared" ref="C2038" si="4506">2-2*G2036</f>
        <v>2.2403028091636905</v>
      </c>
      <c r="D2038" s="6">
        <f t="shared" ref="D2038" si="4507">-2*F2036*D2036</f>
        <v>2.6091774571648814</v>
      </c>
      <c r="E2038" s="6">
        <f>0</f>
        <v>0</v>
      </c>
      <c r="F2038" s="6">
        <f t="shared" ref="F2038" si="4508">-(D2036^2)</f>
        <v>-3.7358700567866143</v>
      </c>
      <c r="G2038" s="7">
        <f t="shared" ref="G2038" si="4509">-2*C2036</f>
        <v>2.2510895668861335</v>
      </c>
    </row>
    <row r="2039" spans="1:10" x14ac:dyDescent="0.25">
      <c r="C2039" s="8">
        <f t="shared" ref="C2039" si="4510">-2*F2036*D2036</f>
        <v>2.6091774571648814</v>
      </c>
      <c r="D2039" s="1">
        <f t="shared" ref="D2039" si="4511">2-2*F2036*C2036+4*G2036</f>
        <v>0</v>
      </c>
      <c r="E2039" s="1">
        <f>0</f>
        <v>0</v>
      </c>
      <c r="F2039" s="1">
        <f t="shared" ref="F2039" si="4512">-2*C2036*D2036</f>
        <v>4.3509957203971439</v>
      </c>
      <c r="G2039" s="9">
        <f t="shared" ref="G2039" si="4513">4*D2036</f>
        <v>7.7313595769816468</v>
      </c>
    </row>
    <row r="2040" spans="1:10" x14ac:dyDescent="0.25">
      <c r="B2040" t="s">
        <v>20</v>
      </c>
      <c r="C2040" s="8">
        <f>0</f>
        <v>0</v>
      </c>
      <c r="D2040" s="1">
        <f>0</f>
        <v>0</v>
      </c>
      <c r="E2040" s="1">
        <f>4</f>
        <v>4</v>
      </c>
      <c r="F2040" s="1">
        <f>2</f>
        <v>2</v>
      </c>
      <c r="G2040" s="9">
        <f>2</f>
        <v>2</v>
      </c>
    </row>
    <row r="2041" spans="1:10" x14ac:dyDescent="0.25">
      <c r="C2041" s="8">
        <f t="shared" ref="C2041" si="4514">(D2036^2)</f>
        <v>3.7358700567866143</v>
      </c>
      <c r="D2041" s="1">
        <f t="shared" ref="D2041" si="4515">2*C2036*D2036</f>
        <v>-4.3509957203971439</v>
      </c>
      <c r="E2041" s="1">
        <f t="shared" ref="E2041:E2042" si="4516">-2</f>
        <v>-2</v>
      </c>
      <c r="F2041" s="1">
        <f>0</f>
        <v>0</v>
      </c>
      <c r="G2041" s="9">
        <f>0</f>
        <v>0</v>
      </c>
    </row>
    <row r="2042" spans="1:10" x14ac:dyDescent="0.25">
      <c r="C2042" s="10">
        <f t="shared" ref="C2042" si="4517">2*C2036</f>
        <v>-2.2510895668861335</v>
      </c>
      <c r="D2042" s="11">
        <f t="shared" ref="D2042" si="4518">-4*D2036</f>
        <v>-7.7313595769816468</v>
      </c>
      <c r="E2042" s="11">
        <f t="shared" si="4516"/>
        <v>-2</v>
      </c>
      <c r="F2042" s="11">
        <f>0</f>
        <v>0</v>
      </c>
      <c r="G2042" s="12">
        <f>0</f>
        <v>0</v>
      </c>
    </row>
    <row r="2043" spans="1:10" x14ac:dyDescent="0.25">
      <c r="B2043" t="s">
        <v>21</v>
      </c>
      <c r="C2043" s="1" cm="1">
        <f t="array" ref="C2043:G2043">-MMULT(C2037:G2037,C2038:G2042)</f>
        <v>-1.367979668476271E-15</v>
      </c>
      <c r="D2043" s="1">
        <v>-1.5932228885525532E-15</v>
      </c>
      <c r="E2043" s="1">
        <v>0</v>
      </c>
      <c r="F2043" s="1">
        <v>2.2812069247287048E-15</v>
      </c>
      <c r="G2043" s="1">
        <v>-1.3745663072077511E-15</v>
      </c>
    </row>
    <row r="2044" spans="1:10" x14ac:dyDescent="0.25">
      <c r="B2044" t="s">
        <v>13</v>
      </c>
      <c r="C2044" s="1">
        <f t="shared" ref="C2044" si="4519">J2037/SUMPRODUCT(_xlfn.ANCHORARRAY(C2043),_xlfn.ANCHORARRAY(C2043))</f>
        <v>1.6206986294211755E-2</v>
      </c>
    </row>
    <row r="2045" spans="1:10" x14ac:dyDescent="0.25">
      <c r="A2045" s="1" t="s">
        <v>4</v>
      </c>
      <c r="B2045" t="s">
        <v>18</v>
      </c>
      <c r="C2045" s="1" cm="1">
        <f t="array" ref="C2045:G2045">C2036:G2036+C2044*C2043:G2043</f>
        <v>-1.1255447834430667</v>
      </c>
      <c r="D2045" s="1">
        <v>1.9328398942454117</v>
      </c>
      <c r="E2045" s="1">
        <v>0.39755547298133398</v>
      </c>
      <c r="F2045" s="1">
        <v>-0.67495954138082259</v>
      </c>
      <c r="G2045" s="1">
        <v>-0.12015140458184531</v>
      </c>
    </row>
    <row r="2046" spans="1:10" x14ac:dyDescent="0.25">
      <c r="A2046" s="1">
        <v>228</v>
      </c>
      <c r="B2046" t="s">
        <v>19</v>
      </c>
      <c r="C2046" s="1">
        <f t="shared" ref="C2046" si="4520">2*C2045-F2045*(D2045^2)-2*G2045*C2045</f>
        <v>5.5511151231257827E-16</v>
      </c>
      <c r="D2046" s="1">
        <f t="shared" ref="D2046" si="4521">2*D2045-2*F2045*C2045*D2045+4*G2045*D2045</f>
        <v>0</v>
      </c>
      <c r="E2046" s="1">
        <f t="shared" ref="E2046" si="4522">4*E2045+2*F2045+2*G2045</f>
        <v>0</v>
      </c>
      <c r="F2046" s="1">
        <f t="shared" ref="F2046" si="4523">C2045*(D2045^2)-2*E2045+5</f>
        <v>0</v>
      </c>
      <c r="G2046" s="1">
        <f t="shared" ref="G2046" si="4524">C2045^2-2*(D2045^2)-2*E2045+7</f>
        <v>0</v>
      </c>
      <c r="J2046" s="1">
        <f t="shared" ref="J2046" si="4525">0.5*(C2046*C2046+D2046*D2046+E2046*E2046+F2046*F2046+G2046*G2046)</f>
        <v>1.5407439555097887E-31</v>
      </c>
    </row>
    <row r="2047" spans="1:10" x14ac:dyDescent="0.25">
      <c r="C2047" s="5">
        <f t="shared" ref="C2047" si="4526">2-2*G2045</f>
        <v>2.2403028091636905</v>
      </c>
      <c r="D2047" s="6">
        <f t="shared" ref="D2047" si="4527">-2*F2045*D2045</f>
        <v>2.6091774571648814</v>
      </c>
      <c r="E2047" s="6">
        <f>0</f>
        <v>0</v>
      </c>
      <c r="F2047" s="6">
        <f t="shared" ref="F2047" si="4528">-(D2045^2)</f>
        <v>-3.7358700567866143</v>
      </c>
      <c r="G2047" s="7">
        <f t="shared" ref="G2047" si="4529">-2*C2045</f>
        <v>2.2510895668861335</v>
      </c>
    </row>
    <row r="2048" spans="1:10" x14ac:dyDescent="0.25">
      <c r="C2048" s="8">
        <f t="shared" ref="C2048" si="4530">-2*F2045*D2045</f>
        <v>2.6091774571648814</v>
      </c>
      <c r="D2048" s="1">
        <f t="shared" ref="D2048" si="4531">2-2*F2045*C2045+4*G2045</f>
        <v>-4.4408920985006262E-16</v>
      </c>
      <c r="E2048" s="1">
        <f>0</f>
        <v>0</v>
      </c>
      <c r="F2048" s="1">
        <f t="shared" ref="F2048" si="4532">-2*C2045*D2045</f>
        <v>4.3509957203971439</v>
      </c>
      <c r="G2048" s="9">
        <f t="shared" ref="G2048" si="4533">4*D2045</f>
        <v>7.7313595769816468</v>
      </c>
    </row>
    <row r="2049" spans="1:10" x14ac:dyDescent="0.25">
      <c r="B2049" t="s">
        <v>20</v>
      </c>
      <c r="C2049" s="8">
        <f>0</f>
        <v>0</v>
      </c>
      <c r="D2049" s="1">
        <f>0</f>
        <v>0</v>
      </c>
      <c r="E2049" s="1">
        <f>4</f>
        <v>4</v>
      </c>
      <c r="F2049" s="1">
        <f>2</f>
        <v>2</v>
      </c>
      <c r="G2049" s="9">
        <f>2</f>
        <v>2</v>
      </c>
    </row>
    <row r="2050" spans="1:10" x14ac:dyDescent="0.25">
      <c r="C2050" s="8">
        <f t="shared" ref="C2050" si="4534">(D2045^2)</f>
        <v>3.7358700567866143</v>
      </c>
      <c r="D2050" s="1">
        <f t="shared" ref="D2050" si="4535">2*C2045*D2045</f>
        <v>-4.3509957203971439</v>
      </c>
      <c r="E2050" s="1">
        <f t="shared" ref="E2050:E2051" si="4536">-2</f>
        <v>-2</v>
      </c>
      <c r="F2050" s="1">
        <f>0</f>
        <v>0</v>
      </c>
      <c r="G2050" s="9">
        <f>0</f>
        <v>0</v>
      </c>
    </row>
    <row r="2051" spans="1:10" x14ac:dyDescent="0.25">
      <c r="C2051" s="10">
        <f t="shared" ref="C2051" si="4537">2*C2045</f>
        <v>-2.2510895668861335</v>
      </c>
      <c r="D2051" s="11">
        <f t="shared" ref="D2051" si="4538">-4*D2045</f>
        <v>-7.7313595769816468</v>
      </c>
      <c r="E2051" s="11">
        <f t="shared" si="4536"/>
        <v>-2</v>
      </c>
      <c r="F2051" s="11">
        <f>0</f>
        <v>0</v>
      </c>
      <c r="G2051" s="12">
        <f>0</f>
        <v>0</v>
      </c>
    </row>
    <row r="2052" spans="1:10" x14ac:dyDescent="0.25">
      <c r="B2052" t="s">
        <v>21</v>
      </c>
      <c r="C2052" s="1" cm="1">
        <f t="array" ref="C2052:G2052">-MMULT(C2046:G2046,C2047:G2051)</f>
        <v>-1.2436178804329737E-15</v>
      </c>
      <c r="D2052" s="1">
        <v>-1.4483844441386847E-15</v>
      </c>
      <c r="E2052" s="1">
        <v>0</v>
      </c>
      <c r="F2052" s="1">
        <v>2.0738244770260952E-15</v>
      </c>
      <c r="G2052" s="1">
        <v>-1.2496057338252283E-15</v>
      </c>
    </row>
    <row r="2053" spans="1:10" x14ac:dyDescent="0.25">
      <c r="B2053" t="s">
        <v>13</v>
      </c>
      <c r="C2053" s="1">
        <f t="shared" ref="C2053" si="4539">J2046/SUMPRODUCT(_xlfn.ANCHORARRAY(C2052),_xlfn.ANCHORARRAY(C2052))</f>
        <v>1.6206986294211755E-2</v>
      </c>
    </row>
    <row r="2054" spans="1:10" x14ac:dyDescent="0.25">
      <c r="A2054" s="1" t="s">
        <v>4</v>
      </c>
      <c r="B2054" t="s">
        <v>18</v>
      </c>
      <c r="C2054" s="1" cm="1">
        <f t="array" ref="C2054:G2054">C2045:G2045+C2053*C2052:G2052</f>
        <v>-1.1255447834430667</v>
      </c>
      <c r="D2054" s="1">
        <v>1.9328398942454117</v>
      </c>
      <c r="E2054" s="1">
        <v>0.39755547298133398</v>
      </c>
      <c r="F2054" s="1">
        <v>-0.67495954138082259</v>
      </c>
      <c r="G2054" s="1">
        <v>-0.12015140458184533</v>
      </c>
    </row>
    <row r="2055" spans="1:10" x14ac:dyDescent="0.25">
      <c r="A2055" s="1">
        <v>229</v>
      </c>
      <c r="B2055" t="s">
        <v>19</v>
      </c>
      <c r="C2055" s="1">
        <f t="shared" ref="C2055" si="4540">2*C2054-F2054*(D2054^2)-2*G2054*C2054</f>
        <v>5.5511151231257827E-16</v>
      </c>
      <c r="D2055" s="1">
        <f t="shared" ref="D2055" si="4541">2*D2054-2*F2054*C2054*D2054+4*G2054*D2054</f>
        <v>-8.8817841970012523E-16</v>
      </c>
      <c r="E2055" s="1">
        <f t="shared" ref="E2055" si="4542">4*E2054+2*F2054+2*G2054</f>
        <v>0</v>
      </c>
      <c r="F2055" s="1">
        <f t="shared" ref="F2055" si="4543">C2054*(D2054^2)-2*E2054+5</f>
        <v>0</v>
      </c>
      <c r="G2055" s="1">
        <f t="shared" ref="G2055" si="4544">C2054^2-2*(D2054^2)-2*E2054+7</f>
        <v>0</v>
      </c>
      <c r="J2055" s="1">
        <f t="shared" ref="J2055" si="4545">0.5*(C2055*C2055+D2055*D2055+E2055*E2055+F2055*F2055+G2055*G2055)</f>
        <v>5.4850484816148477E-31</v>
      </c>
    </row>
    <row r="2056" spans="1:10" x14ac:dyDescent="0.25">
      <c r="C2056" s="5">
        <f t="shared" ref="C2056" si="4546">2-2*G2054</f>
        <v>2.2403028091636905</v>
      </c>
      <c r="D2056" s="6">
        <f t="shared" ref="D2056" si="4547">-2*F2054*D2054</f>
        <v>2.6091774571648814</v>
      </c>
      <c r="E2056" s="6">
        <f>0</f>
        <v>0</v>
      </c>
      <c r="F2056" s="6">
        <f t="shared" ref="F2056" si="4548">-(D2054^2)</f>
        <v>-3.7358700567866143</v>
      </c>
      <c r="G2056" s="7">
        <f t="shared" ref="G2056" si="4549">-2*C2054</f>
        <v>2.2510895668861335</v>
      </c>
    </row>
    <row r="2057" spans="1:10" x14ac:dyDescent="0.25">
      <c r="C2057" s="8">
        <f t="shared" ref="C2057" si="4550">-2*F2054*D2054</f>
        <v>2.6091774571648814</v>
      </c>
      <c r="D2057" s="1">
        <f t="shared" ref="D2057" si="4551">2-2*F2054*C2054+4*G2054</f>
        <v>-4.9960036108132044E-16</v>
      </c>
      <c r="E2057" s="1">
        <f>0</f>
        <v>0</v>
      </c>
      <c r="F2057" s="1">
        <f t="shared" ref="F2057" si="4552">-2*C2054*D2054</f>
        <v>4.3509957203971439</v>
      </c>
      <c r="G2057" s="9">
        <f t="shared" ref="G2057" si="4553">4*D2054</f>
        <v>7.7313595769816468</v>
      </c>
    </row>
    <row r="2058" spans="1:10" x14ac:dyDescent="0.25">
      <c r="B2058" t="s">
        <v>20</v>
      </c>
      <c r="C2058" s="8">
        <f>0</f>
        <v>0</v>
      </c>
      <c r="D2058" s="1">
        <f>0</f>
        <v>0</v>
      </c>
      <c r="E2058" s="1">
        <f>4</f>
        <v>4</v>
      </c>
      <c r="F2058" s="1">
        <f>2</f>
        <v>2</v>
      </c>
      <c r="G2058" s="9">
        <f>2</f>
        <v>2</v>
      </c>
    </row>
    <row r="2059" spans="1:10" x14ac:dyDescent="0.25">
      <c r="C2059" s="8">
        <f t="shared" ref="C2059" si="4554">(D2054^2)</f>
        <v>3.7358700567866143</v>
      </c>
      <c r="D2059" s="1">
        <f t="shared" ref="D2059" si="4555">2*C2054*D2054</f>
        <v>-4.3509957203971439</v>
      </c>
      <c r="E2059" s="1">
        <f t="shared" ref="E2059:E2060" si="4556">-2</f>
        <v>-2</v>
      </c>
      <c r="F2059" s="1">
        <f>0</f>
        <v>0</v>
      </c>
      <c r="G2059" s="9">
        <f>0</f>
        <v>0</v>
      </c>
    </row>
    <row r="2060" spans="1:10" x14ac:dyDescent="0.25">
      <c r="C2060" s="10">
        <f t="shared" ref="C2060" si="4557">2*C2054</f>
        <v>-2.2510895668861335</v>
      </c>
      <c r="D2060" s="11">
        <f t="shared" ref="D2060" si="4558">-4*D2054</f>
        <v>-7.7313595769816468</v>
      </c>
      <c r="E2060" s="11">
        <f t="shared" si="4556"/>
        <v>-2</v>
      </c>
      <c r="F2060" s="11">
        <f>0</f>
        <v>0</v>
      </c>
      <c r="G2060" s="12">
        <f>0</f>
        <v>0</v>
      </c>
    </row>
    <row r="2061" spans="1:10" x14ac:dyDescent="0.25">
      <c r="B2061" t="s">
        <v>21</v>
      </c>
      <c r="C2061" s="1" cm="1">
        <f t="array" ref="C2061:G2061">-MMULT(C2055:G2055,C2056:G2060)</f>
        <v>1.0737972301889219E-15</v>
      </c>
      <c r="D2061" s="1">
        <v>-1.448384444138685E-15</v>
      </c>
      <c r="E2061" s="1">
        <v>0</v>
      </c>
      <c r="F2061" s="1">
        <v>5.9382849800904388E-15</v>
      </c>
      <c r="G2061" s="1">
        <v>5.6172209973917592E-15</v>
      </c>
    </row>
    <row r="2062" spans="1:10" x14ac:dyDescent="0.25">
      <c r="B2062" t="s">
        <v>13</v>
      </c>
      <c r="C2062" s="1">
        <f t="shared" ref="C2062" si="4559">J2055/SUMPRODUCT(_xlfn.ANCHORARRAY(C2061),_xlfn.ANCHORARRAY(C2061))</f>
        <v>7.828261901978455E-3</v>
      </c>
    </row>
    <row r="2063" spans="1:10" x14ac:dyDescent="0.25">
      <c r="A2063" s="1" t="s">
        <v>4</v>
      </c>
      <c r="B2063" t="s">
        <v>18</v>
      </c>
      <c r="C2063" s="1" cm="1">
        <f t="array" ref="C2063:G2063">C2054:G2054+C2062*C2061:G2061</f>
        <v>-1.1255447834430667</v>
      </c>
      <c r="D2063" s="1">
        <v>1.9328398942454117</v>
      </c>
      <c r="E2063" s="1">
        <v>0.39755547298133398</v>
      </c>
      <c r="F2063" s="1">
        <v>-0.67495954138082259</v>
      </c>
      <c r="G2063" s="1">
        <v>-0.12015140458184528</v>
      </c>
    </row>
    <row r="2064" spans="1:10" x14ac:dyDescent="0.25">
      <c r="A2064" s="1">
        <v>230</v>
      </c>
      <c r="B2064" t="s">
        <v>19</v>
      </c>
      <c r="C2064" s="1">
        <f t="shared" ref="C2064" si="4560">2*C2063-F2063*(D2063^2)-2*G2063*C2063</f>
        <v>6.106226635438361E-16</v>
      </c>
      <c r="D2064" s="1">
        <f t="shared" ref="D2064" si="4561">2*D2063-2*F2063*C2063*D2063+4*G2063*D2063</f>
        <v>0</v>
      </c>
      <c r="E2064" s="1">
        <f t="shared" ref="E2064" si="4562">4*E2063+2*F2063+2*G2063</f>
        <v>0</v>
      </c>
      <c r="F2064" s="1">
        <f t="shared" ref="F2064" si="4563">C2063*(D2063^2)-2*E2063+5</f>
        <v>0</v>
      </c>
      <c r="G2064" s="1">
        <f t="shared" ref="G2064" si="4564">C2063^2-2*(D2063^2)-2*E2063+7</f>
        <v>0</v>
      </c>
      <c r="J2064" s="1">
        <f t="shared" ref="J2064" si="4565">0.5*(C2064*C2064+D2064*D2064+E2064*E2064+F2064*F2064+G2064*G2064)</f>
        <v>1.8643001861668443E-31</v>
      </c>
    </row>
    <row r="2065" spans="1:10" x14ac:dyDescent="0.25">
      <c r="C2065" s="5">
        <f t="shared" ref="C2065" si="4566">2-2*G2063</f>
        <v>2.2403028091636905</v>
      </c>
      <c r="D2065" s="6">
        <f t="shared" ref="D2065" si="4567">-2*F2063*D2063</f>
        <v>2.6091774571648814</v>
      </c>
      <c r="E2065" s="6">
        <f>0</f>
        <v>0</v>
      </c>
      <c r="F2065" s="6">
        <f t="shared" ref="F2065" si="4568">-(D2063^2)</f>
        <v>-3.7358700567866143</v>
      </c>
      <c r="G2065" s="7">
        <f t="shared" ref="G2065" si="4569">-2*C2063</f>
        <v>2.2510895668861335</v>
      </c>
    </row>
    <row r="2066" spans="1:10" x14ac:dyDescent="0.25">
      <c r="C2066" s="8">
        <f t="shared" ref="C2066" si="4570">-2*F2063*D2063</f>
        <v>2.6091774571648814</v>
      </c>
      <c r="D2066" s="1">
        <f t="shared" ref="D2066" si="4571">2-2*F2063*C2063+4*G2063</f>
        <v>0</v>
      </c>
      <c r="E2066" s="1">
        <f>0</f>
        <v>0</v>
      </c>
      <c r="F2066" s="1">
        <f t="shared" ref="F2066" si="4572">-2*C2063*D2063</f>
        <v>4.3509957203971439</v>
      </c>
      <c r="G2066" s="9">
        <f t="shared" ref="G2066" si="4573">4*D2063</f>
        <v>7.7313595769816468</v>
      </c>
    </row>
    <row r="2067" spans="1:10" x14ac:dyDescent="0.25">
      <c r="B2067" t="s">
        <v>20</v>
      </c>
      <c r="C2067" s="8">
        <f>0</f>
        <v>0</v>
      </c>
      <c r="D2067" s="1">
        <f>0</f>
        <v>0</v>
      </c>
      <c r="E2067" s="1">
        <f>4</f>
        <v>4</v>
      </c>
      <c r="F2067" s="1">
        <f>2</f>
        <v>2</v>
      </c>
      <c r="G2067" s="9">
        <f>2</f>
        <v>2</v>
      </c>
    </row>
    <row r="2068" spans="1:10" x14ac:dyDescent="0.25">
      <c r="C2068" s="8">
        <f t="shared" ref="C2068" si="4574">(D2063^2)</f>
        <v>3.7358700567866143</v>
      </c>
      <c r="D2068" s="1">
        <f t="shared" ref="D2068" si="4575">2*C2063*D2063</f>
        <v>-4.3509957203971439</v>
      </c>
      <c r="E2068" s="1">
        <f t="shared" ref="E2068:E2069" si="4576">-2</f>
        <v>-2</v>
      </c>
      <c r="F2068" s="1">
        <f>0</f>
        <v>0</v>
      </c>
      <c r="G2068" s="9">
        <f>0</f>
        <v>0</v>
      </c>
    </row>
    <row r="2069" spans="1:10" x14ac:dyDescent="0.25">
      <c r="C2069" s="10">
        <f t="shared" ref="C2069" si="4577">2*C2063</f>
        <v>-2.2510895668861335</v>
      </c>
      <c r="D2069" s="11">
        <f t="shared" ref="D2069" si="4578">-4*D2063</f>
        <v>-7.7313595769816468</v>
      </c>
      <c r="E2069" s="11">
        <f t="shared" si="4576"/>
        <v>-2</v>
      </c>
      <c r="F2069" s="11">
        <f>0</f>
        <v>0</v>
      </c>
      <c r="G2069" s="12">
        <f>0</f>
        <v>0</v>
      </c>
    </row>
    <row r="2070" spans="1:10" x14ac:dyDescent="0.25">
      <c r="B2070" t="s">
        <v>21</v>
      </c>
      <c r="C2070" s="1" cm="1">
        <f t="array" ref="C2070:G2070">-MMULT(C2064:G2064,C2065:G2069)</f>
        <v>-1.367979668476271E-15</v>
      </c>
      <c r="D2070" s="1">
        <v>-1.5932228885525532E-15</v>
      </c>
      <c r="E2070" s="1">
        <v>0</v>
      </c>
      <c r="F2070" s="1">
        <v>2.2812069247287048E-15</v>
      </c>
      <c r="G2070" s="1">
        <v>-1.3745663072077511E-15</v>
      </c>
    </row>
    <row r="2071" spans="1:10" x14ac:dyDescent="0.25">
      <c r="B2071" t="s">
        <v>13</v>
      </c>
      <c r="C2071" s="1">
        <f t="shared" ref="C2071" si="4579">J2064/SUMPRODUCT(_xlfn.ANCHORARRAY(C2070),_xlfn.ANCHORARRAY(C2070))</f>
        <v>1.6206986294211755E-2</v>
      </c>
    </row>
    <row r="2072" spans="1:10" x14ac:dyDescent="0.25">
      <c r="A2072" s="1" t="s">
        <v>4</v>
      </c>
      <c r="B2072" t="s">
        <v>18</v>
      </c>
      <c r="C2072" s="1" cm="1">
        <f t="array" ref="C2072:G2072">C2063:G2063+C2071*C2070:G2070</f>
        <v>-1.1255447834430667</v>
      </c>
      <c r="D2072" s="1">
        <v>1.9328398942454117</v>
      </c>
      <c r="E2072" s="1">
        <v>0.39755547298133398</v>
      </c>
      <c r="F2072" s="1">
        <v>-0.67495954138082259</v>
      </c>
      <c r="G2072" s="1">
        <v>-0.12015140458184531</v>
      </c>
    </row>
    <row r="2073" spans="1:10" x14ac:dyDescent="0.25">
      <c r="A2073" s="1">
        <v>231</v>
      </c>
      <c r="B2073" t="s">
        <v>19</v>
      </c>
      <c r="C2073" s="1">
        <f t="shared" ref="C2073" si="4580">2*C2072-F2072*(D2072^2)-2*G2072*C2072</f>
        <v>5.5511151231257827E-16</v>
      </c>
      <c r="D2073" s="1">
        <f t="shared" ref="D2073" si="4581">2*D2072-2*F2072*C2072*D2072+4*G2072*D2072</f>
        <v>0</v>
      </c>
      <c r="E2073" s="1">
        <f t="shared" ref="E2073" si="4582">4*E2072+2*F2072+2*G2072</f>
        <v>0</v>
      </c>
      <c r="F2073" s="1">
        <f t="shared" ref="F2073" si="4583">C2072*(D2072^2)-2*E2072+5</f>
        <v>0</v>
      </c>
      <c r="G2073" s="1">
        <f t="shared" ref="G2073" si="4584">C2072^2-2*(D2072^2)-2*E2072+7</f>
        <v>0</v>
      </c>
      <c r="J2073" s="1">
        <f t="shared" ref="J2073" si="4585">0.5*(C2073*C2073+D2073*D2073+E2073*E2073+F2073*F2073+G2073*G2073)</f>
        <v>1.5407439555097887E-31</v>
      </c>
    </row>
    <row r="2074" spans="1:10" x14ac:dyDescent="0.25">
      <c r="C2074" s="5">
        <f t="shared" ref="C2074" si="4586">2-2*G2072</f>
        <v>2.2403028091636905</v>
      </c>
      <c r="D2074" s="6">
        <f t="shared" ref="D2074" si="4587">-2*F2072*D2072</f>
        <v>2.6091774571648814</v>
      </c>
      <c r="E2074" s="6">
        <f>0</f>
        <v>0</v>
      </c>
      <c r="F2074" s="6">
        <f t="shared" ref="F2074" si="4588">-(D2072^2)</f>
        <v>-3.7358700567866143</v>
      </c>
      <c r="G2074" s="7">
        <f t="shared" ref="G2074" si="4589">-2*C2072</f>
        <v>2.2510895668861335</v>
      </c>
    </row>
    <row r="2075" spans="1:10" x14ac:dyDescent="0.25">
      <c r="C2075" s="8">
        <f t="shared" ref="C2075" si="4590">-2*F2072*D2072</f>
        <v>2.6091774571648814</v>
      </c>
      <c r="D2075" s="1">
        <f t="shared" ref="D2075" si="4591">2-2*F2072*C2072+4*G2072</f>
        <v>-4.4408920985006262E-16</v>
      </c>
      <c r="E2075" s="1">
        <f>0</f>
        <v>0</v>
      </c>
      <c r="F2075" s="1">
        <f t="shared" ref="F2075" si="4592">-2*C2072*D2072</f>
        <v>4.3509957203971439</v>
      </c>
      <c r="G2075" s="9">
        <f t="shared" ref="G2075" si="4593">4*D2072</f>
        <v>7.7313595769816468</v>
      </c>
    </row>
    <row r="2076" spans="1:10" x14ac:dyDescent="0.25">
      <c r="B2076" t="s">
        <v>20</v>
      </c>
      <c r="C2076" s="8">
        <f>0</f>
        <v>0</v>
      </c>
      <c r="D2076" s="1">
        <f>0</f>
        <v>0</v>
      </c>
      <c r="E2076" s="1">
        <f>4</f>
        <v>4</v>
      </c>
      <c r="F2076" s="1">
        <f>2</f>
        <v>2</v>
      </c>
      <c r="G2076" s="9">
        <f>2</f>
        <v>2</v>
      </c>
    </row>
    <row r="2077" spans="1:10" x14ac:dyDescent="0.25">
      <c r="C2077" s="8">
        <f t="shared" ref="C2077" si="4594">(D2072^2)</f>
        <v>3.7358700567866143</v>
      </c>
      <c r="D2077" s="1">
        <f t="shared" ref="D2077" si="4595">2*C2072*D2072</f>
        <v>-4.3509957203971439</v>
      </c>
      <c r="E2077" s="1">
        <f t="shared" ref="E2077:E2078" si="4596">-2</f>
        <v>-2</v>
      </c>
      <c r="F2077" s="1">
        <f>0</f>
        <v>0</v>
      </c>
      <c r="G2077" s="9">
        <f>0</f>
        <v>0</v>
      </c>
    </row>
    <row r="2078" spans="1:10" x14ac:dyDescent="0.25">
      <c r="C2078" s="10">
        <f t="shared" ref="C2078" si="4597">2*C2072</f>
        <v>-2.2510895668861335</v>
      </c>
      <c r="D2078" s="11">
        <f t="shared" ref="D2078" si="4598">-4*D2072</f>
        <v>-7.7313595769816468</v>
      </c>
      <c r="E2078" s="11">
        <f t="shared" si="4596"/>
        <v>-2</v>
      </c>
      <c r="F2078" s="11">
        <f>0</f>
        <v>0</v>
      </c>
      <c r="G2078" s="12">
        <f>0</f>
        <v>0</v>
      </c>
    </row>
    <row r="2079" spans="1:10" x14ac:dyDescent="0.25">
      <c r="B2079" t="s">
        <v>21</v>
      </c>
      <c r="C2079" s="1" cm="1">
        <f t="array" ref="C2079:G2079">-MMULT(C2073:G2073,C2074:G2078)</f>
        <v>-1.2436178804329737E-15</v>
      </c>
      <c r="D2079" s="1">
        <v>-1.4483844441386847E-15</v>
      </c>
      <c r="E2079" s="1">
        <v>0</v>
      </c>
      <c r="F2079" s="1">
        <v>2.0738244770260952E-15</v>
      </c>
      <c r="G2079" s="1">
        <v>-1.2496057338252283E-15</v>
      </c>
    </row>
    <row r="2080" spans="1:10" x14ac:dyDescent="0.25">
      <c r="B2080" t="s">
        <v>13</v>
      </c>
      <c r="C2080" s="1">
        <f t="shared" ref="C2080" si="4599">J2073/SUMPRODUCT(_xlfn.ANCHORARRAY(C2079),_xlfn.ANCHORARRAY(C2079))</f>
        <v>1.6206986294211755E-2</v>
      </c>
    </row>
    <row r="2081" spans="1:10" x14ac:dyDescent="0.25">
      <c r="A2081" s="1" t="s">
        <v>4</v>
      </c>
      <c r="B2081" t="s">
        <v>18</v>
      </c>
      <c r="C2081" s="1" cm="1">
        <f t="array" ref="C2081:G2081">C2072:G2072+C2080*C2079:G2079</f>
        <v>-1.1255447834430667</v>
      </c>
      <c r="D2081" s="1">
        <v>1.9328398942454117</v>
      </c>
      <c r="E2081" s="1">
        <v>0.39755547298133398</v>
      </c>
      <c r="F2081" s="1">
        <v>-0.67495954138082259</v>
      </c>
      <c r="G2081" s="1">
        <v>-0.12015140458184533</v>
      </c>
    </row>
    <row r="2082" spans="1:10" x14ac:dyDescent="0.25">
      <c r="A2082" s="1">
        <v>232</v>
      </c>
      <c r="B2082" t="s">
        <v>19</v>
      </c>
      <c r="C2082" s="1">
        <f t="shared" ref="C2082" si="4600">2*C2081-F2081*(D2081^2)-2*G2081*C2081</f>
        <v>5.5511151231257827E-16</v>
      </c>
      <c r="D2082" s="1">
        <f t="shared" ref="D2082" si="4601">2*D2081-2*F2081*C2081*D2081+4*G2081*D2081</f>
        <v>-8.8817841970012523E-16</v>
      </c>
      <c r="E2082" s="1">
        <f t="shared" ref="E2082" si="4602">4*E2081+2*F2081+2*G2081</f>
        <v>0</v>
      </c>
      <c r="F2082" s="1">
        <f t="shared" ref="F2082" si="4603">C2081*(D2081^2)-2*E2081+5</f>
        <v>0</v>
      </c>
      <c r="G2082" s="1">
        <f t="shared" ref="G2082" si="4604">C2081^2-2*(D2081^2)-2*E2081+7</f>
        <v>0</v>
      </c>
      <c r="J2082" s="1">
        <f t="shared" ref="J2082" si="4605">0.5*(C2082*C2082+D2082*D2082+E2082*E2082+F2082*F2082+G2082*G2082)</f>
        <v>5.4850484816148477E-31</v>
      </c>
    </row>
    <row r="2083" spans="1:10" x14ac:dyDescent="0.25">
      <c r="C2083" s="5">
        <f t="shared" ref="C2083" si="4606">2-2*G2081</f>
        <v>2.2403028091636905</v>
      </c>
      <c r="D2083" s="6">
        <f t="shared" ref="D2083" si="4607">-2*F2081*D2081</f>
        <v>2.6091774571648814</v>
      </c>
      <c r="E2083" s="6">
        <f>0</f>
        <v>0</v>
      </c>
      <c r="F2083" s="6">
        <f t="shared" ref="F2083" si="4608">-(D2081^2)</f>
        <v>-3.7358700567866143</v>
      </c>
      <c r="G2083" s="7">
        <f t="shared" ref="G2083" si="4609">-2*C2081</f>
        <v>2.2510895668861335</v>
      </c>
    </row>
    <row r="2084" spans="1:10" x14ac:dyDescent="0.25">
      <c r="C2084" s="8">
        <f t="shared" ref="C2084" si="4610">-2*F2081*D2081</f>
        <v>2.6091774571648814</v>
      </c>
      <c r="D2084" s="1">
        <f t="shared" ref="D2084" si="4611">2-2*F2081*C2081+4*G2081</f>
        <v>-4.9960036108132044E-16</v>
      </c>
      <c r="E2084" s="1">
        <f>0</f>
        <v>0</v>
      </c>
      <c r="F2084" s="1">
        <f t="shared" ref="F2084" si="4612">-2*C2081*D2081</f>
        <v>4.3509957203971439</v>
      </c>
      <c r="G2084" s="9">
        <f t="shared" ref="G2084" si="4613">4*D2081</f>
        <v>7.7313595769816468</v>
      </c>
    </row>
    <row r="2085" spans="1:10" x14ac:dyDescent="0.25">
      <c r="B2085" t="s">
        <v>20</v>
      </c>
      <c r="C2085" s="8">
        <f>0</f>
        <v>0</v>
      </c>
      <c r="D2085" s="1">
        <f>0</f>
        <v>0</v>
      </c>
      <c r="E2085" s="1">
        <f>4</f>
        <v>4</v>
      </c>
      <c r="F2085" s="1">
        <f>2</f>
        <v>2</v>
      </c>
      <c r="G2085" s="9">
        <f>2</f>
        <v>2</v>
      </c>
    </row>
    <row r="2086" spans="1:10" x14ac:dyDescent="0.25">
      <c r="C2086" s="8">
        <f t="shared" ref="C2086" si="4614">(D2081^2)</f>
        <v>3.7358700567866143</v>
      </c>
      <c r="D2086" s="1">
        <f t="shared" ref="D2086" si="4615">2*C2081*D2081</f>
        <v>-4.3509957203971439</v>
      </c>
      <c r="E2086" s="1">
        <f t="shared" ref="E2086:E2087" si="4616">-2</f>
        <v>-2</v>
      </c>
      <c r="F2086" s="1">
        <f>0</f>
        <v>0</v>
      </c>
      <c r="G2086" s="9">
        <f>0</f>
        <v>0</v>
      </c>
    </row>
    <row r="2087" spans="1:10" x14ac:dyDescent="0.25">
      <c r="C2087" s="10">
        <f t="shared" ref="C2087" si="4617">2*C2081</f>
        <v>-2.2510895668861335</v>
      </c>
      <c r="D2087" s="11">
        <f t="shared" ref="D2087" si="4618">-4*D2081</f>
        <v>-7.7313595769816468</v>
      </c>
      <c r="E2087" s="11">
        <f t="shared" si="4616"/>
        <v>-2</v>
      </c>
      <c r="F2087" s="11">
        <f>0</f>
        <v>0</v>
      </c>
      <c r="G2087" s="12">
        <f>0</f>
        <v>0</v>
      </c>
    </row>
    <row r="2088" spans="1:10" x14ac:dyDescent="0.25">
      <c r="B2088" t="s">
        <v>21</v>
      </c>
      <c r="C2088" s="1" cm="1">
        <f t="array" ref="C2088:G2088">-MMULT(C2082:G2082,C2083:G2087)</f>
        <v>1.0737972301889219E-15</v>
      </c>
      <c r="D2088" s="1">
        <v>-1.448384444138685E-15</v>
      </c>
      <c r="E2088" s="1">
        <v>0</v>
      </c>
      <c r="F2088" s="1">
        <v>5.9382849800904388E-15</v>
      </c>
      <c r="G2088" s="1">
        <v>5.6172209973917592E-15</v>
      </c>
    </row>
    <row r="2089" spans="1:10" x14ac:dyDescent="0.25">
      <c r="B2089" t="s">
        <v>13</v>
      </c>
      <c r="C2089" s="1">
        <f t="shared" ref="C2089" si="4619">J2082/SUMPRODUCT(_xlfn.ANCHORARRAY(C2088),_xlfn.ANCHORARRAY(C2088))</f>
        <v>7.828261901978455E-3</v>
      </c>
    </row>
    <row r="2090" spans="1:10" x14ac:dyDescent="0.25">
      <c r="A2090" s="1" t="s">
        <v>4</v>
      </c>
      <c r="B2090" t="s">
        <v>18</v>
      </c>
      <c r="C2090" s="1" cm="1">
        <f t="array" ref="C2090:G2090">C2081:G2081+C2089*C2088:G2088</f>
        <v>-1.1255447834430667</v>
      </c>
      <c r="D2090" s="1">
        <v>1.9328398942454117</v>
      </c>
      <c r="E2090" s="1">
        <v>0.39755547298133398</v>
      </c>
      <c r="F2090" s="1">
        <v>-0.67495954138082259</v>
      </c>
      <c r="G2090" s="1">
        <v>-0.12015140458184528</v>
      </c>
    </row>
    <row r="2091" spans="1:10" x14ac:dyDescent="0.25">
      <c r="A2091" s="1">
        <v>233</v>
      </c>
      <c r="B2091" t="s">
        <v>19</v>
      </c>
      <c r="C2091" s="1">
        <f t="shared" ref="C2091" si="4620">2*C2090-F2090*(D2090^2)-2*G2090*C2090</f>
        <v>6.106226635438361E-16</v>
      </c>
      <c r="D2091" s="1">
        <f t="shared" ref="D2091" si="4621">2*D2090-2*F2090*C2090*D2090+4*G2090*D2090</f>
        <v>0</v>
      </c>
      <c r="E2091" s="1">
        <f t="shared" ref="E2091" si="4622">4*E2090+2*F2090+2*G2090</f>
        <v>0</v>
      </c>
      <c r="F2091" s="1">
        <f t="shared" ref="F2091" si="4623">C2090*(D2090^2)-2*E2090+5</f>
        <v>0</v>
      </c>
      <c r="G2091" s="1">
        <f t="shared" ref="G2091" si="4624">C2090^2-2*(D2090^2)-2*E2090+7</f>
        <v>0</v>
      </c>
      <c r="J2091" s="1">
        <f t="shared" ref="J2091" si="4625">0.5*(C2091*C2091+D2091*D2091+E2091*E2091+F2091*F2091+G2091*G2091)</f>
        <v>1.8643001861668443E-31</v>
      </c>
    </row>
    <row r="2092" spans="1:10" x14ac:dyDescent="0.25">
      <c r="C2092" s="5">
        <f t="shared" ref="C2092" si="4626">2-2*G2090</f>
        <v>2.2403028091636905</v>
      </c>
      <c r="D2092" s="6">
        <f t="shared" ref="D2092" si="4627">-2*F2090*D2090</f>
        <v>2.6091774571648814</v>
      </c>
      <c r="E2092" s="6">
        <f>0</f>
        <v>0</v>
      </c>
      <c r="F2092" s="6">
        <f t="shared" ref="F2092" si="4628">-(D2090^2)</f>
        <v>-3.7358700567866143</v>
      </c>
      <c r="G2092" s="7">
        <f t="shared" ref="G2092" si="4629">-2*C2090</f>
        <v>2.2510895668861335</v>
      </c>
    </row>
    <row r="2093" spans="1:10" x14ac:dyDescent="0.25">
      <c r="C2093" s="8">
        <f t="shared" ref="C2093" si="4630">-2*F2090*D2090</f>
        <v>2.6091774571648814</v>
      </c>
      <c r="D2093" s="1">
        <f t="shared" ref="D2093" si="4631">2-2*F2090*C2090+4*G2090</f>
        <v>0</v>
      </c>
      <c r="E2093" s="1">
        <f>0</f>
        <v>0</v>
      </c>
      <c r="F2093" s="1">
        <f t="shared" ref="F2093" si="4632">-2*C2090*D2090</f>
        <v>4.3509957203971439</v>
      </c>
      <c r="G2093" s="9">
        <f t="shared" ref="G2093" si="4633">4*D2090</f>
        <v>7.7313595769816468</v>
      </c>
    </row>
    <row r="2094" spans="1:10" x14ac:dyDescent="0.25">
      <c r="B2094" t="s">
        <v>20</v>
      </c>
      <c r="C2094" s="8">
        <f>0</f>
        <v>0</v>
      </c>
      <c r="D2094" s="1">
        <f>0</f>
        <v>0</v>
      </c>
      <c r="E2094" s="1">
        <f>4</f>
        <v>4</v>
      </c>
      <c r="F2094" s="1">
        <f>2</f>
        <v>2</v>
      </c>
      <c r="G2094" s="9">
        <f>2</f>
        <v>2</v>
      </c>
    </row>
    <row r="2095" spans="1:10" x14ac:dyDescent="0.25">
      <c r="C2095" s="8">
        <f t="shared" ref="C2095" si="4634">(D2090^2)</f>
        <v>3.7358700567866143</v>
      </c>
      <c r="D2095" s="1">
        <f t="shared" ref="D2095" si="4635">2*C2090*D2090</f>
        <v>-4.3509957203971439</v>
      </c>
      <c r="E2095" s="1">
        <f t="shared" ref="E2095:E2096" si="4636">-2</f>
        <v>-2</v>
      </c>
      <c r="F2095" s="1">
        <f>0</f>
        <v>0</v>
      </c>
      <c r="G2095" s="9">
        <f>0</f>
        <v>0</v>
      </c>
    </row>
    <row r="2096" spans="1:10" x14ac:dyDescent="0.25">
      <c r="C2096" s="10">
        <f t="shared" ref="C2096" si="4637">2*C2090</f>
        <v>-2.2510895668861335</v>
      </c>
      <c r="D2096" s="11">
        <f t="shared" ref="D2096" si="4638">-4*D2090</f>
        <v>-7.7313595769816468</v>
      </c>
      <c r="E2096" s="11">
        <f t="shared" si="4636"/>
        <v>-2</v>
      </c>
      <c r="F2096" s="11">
        <f>0</f>
        <v>0</v>
      </c>
      <c r="G2096" s="12">
        <f>0</f>
        <v>0</v>
      </c>
    </row>
    <row r="2097" spans="1:10" x14ac:dyDescent="0.25">
      <c r="B2097" t="s">
        <v>21</v>
      </c>
      <c r="C2097" s="1" cm="1">
        <f t="array" ref="C2097:G2097">-MMULT(C2091:G2091,C2092:G2096)</f>
        <v>-1.367979668476271E-15</v>
      </c>
      <c r="D2097" s="1">
        <v>-1.5932228885525532E-15</v>
      </c>
      <c r="E2097" s="1">
        <v>0</v>
      </c>
      <c r="F2097" s="1">
        <v>2.2812069247287048E-15</v>
      </c>
      <c r="G2097" s="1">
        <v>-1.3745663072077511E-15</v>
      </c>
    </row>
    <row r="2098" spans="1:10" x14ac:dyDescent="0.25">
      <c r="B2098" t="s">
        <v>13</v>
      </c>
      <c r="C2098" s="1">
        <f t="shared" ref="C2098" si="4639">J2091/SUMPRODUCT(_xlfn.ANCHORARRAY(C2097),_xlfn.ANCHORARRAY(C2097))</f>
        <v>1.6206986294211755E-2</v>
      </c>
    </row>
    <row r="2099" spans="1:10" x14ac:dyDescent="0.25">
      <c r="A2099" s="1" t="s">
        <v>4</v>
      </c>
      <c r="B2099" t="s">
        <v>18</v>
      </c>
      <c r="C2099" s="1" cm="1">
        <f t="array" ref="C2099:G2099">C2090:G2090+C2098*C2097:G2097</f>
        <v>-1.1255447834430667</v>
      </c>
      <c r="D2099" s="1">
        <v>1.9328398942454117</v>
      </c>
      <c r="E2099" s="1">
        <v>0.39755547298133398</v>
      </c>
      <c r="F2099" s="1">
        <v>-0.67495954138082259</v>
      </c>
      <c r="G2099" s="1">
        <v>-0.12015140458184531</v>
      </c>
    </row>
    <row r="2100" spans="1:10" x14ac:dyDescent="0.25">
      <c r="A2100" s="1">
        <v>234</v>
      </c>
      <c r="B2100" t="s">
        <v>19</v>
      </c>
      <c r="C2100" s="1">
        <f t="shared" ref="C2100" si="4640">2*C2099-F2099*(D2099^2)-2*G2099*C2099</f>
        <v>5.5511151231257827E-16</v>
      </c>
      <c r="D2100" s="1">
        <f t="shared" ref="D2100" si="4641">2*D2099-2*F2099*C2099*D2099+4*G2099*D2099</f>
        <v>0</v>
      </c>
      <c r="E2100" s="1">
        <f t="shared" ref="E2100" si="4642">4*E2099+2*F2099+2*G2099</f>
        <v>0</v>
      </c>
      <c r="F2100" s="1">
        <f t="shared" ref="F2100" si="4643">C2099*(D2099^2)-2*E2099+5</f>
        <v>0</v>
      </c>
      <c r="G2100" s="1">
        <f t="shared" ref="G2100" si="4644">C2099^2-2*(D2099^2)-2*E2099+7</f>
        <v>0</v>
      </c>
      <c r="J2100" s="1">
        <f t="shared" ref="J2100" si="4645">0.5*(C2100*C2100+D2100*D2100+E2100*E2100+F2100*F2100+G2100*G2100)</f>
        <v>1.5407439555097887E-31</v>
      </c>
    </row>
    <row r="2101" spans="1:10" x14ac:dyDescent="0.25">
      <c r="C2101" s="5">
        <f t="shared" ref="C2101" si="4646">2-2*G2099</f>
        <v>2.2403028091636905</v>
      </c>
      <c r="D2101" s="6">
        <f t="shared" ref="D2101" si="4647">-2*F2099*D2099</f>
        <v>2.6091774571648814</v>
      </c>
      <c r="E2101" s="6">
        <f>0</f>
        <v>0</v>
      </c>
      <c r="F2101" s="6">
        <f t="shared" ref="F2101" si="4648">-(D2099^2)</f>
        <v>-3.7358700567866143</v>
      </c>
      <c r="G2101" s="7">
        <f t="shared" ref="G2101" si="4649">-2*C2099</f>
        <v>2.2510895668861335</v>
      </c>
    </row>
    <row r="2102" spans="1:10" x14ac:dyDescent="0.25">
      <c r="C2102" s="8">
        <f t="shared" ref="C2102" si="4650">-2*F2099*D2099</f>
        <v>2.6091774571648814</v>
      </c>
      <c r="D2102" s="1">
        <f t="shared" ref="D2102" si="4651">2-2*F2099*C2099+4*G2099</f>
        <v>-4.4408920985006262E-16</v>
      </c>
      <c r="E2102" s="1">
        <f>0</f>
        <v>0</v>
      </c>
      <c r="F2102" s="1">
        <f t="shared" ref="F2102" si="4652">-2*C2099*D2099</f>
        <v>4.3509957203971439</v>
      </c>
      <c r="G2102" s="9">
        <f t="shared" ref="G2102" si="4653">4*D2099</f>
        <v>7.7313595769816468</v>
      </c>
    </row>
    <row r="2103" spans="1:10" x14ac:dyDescent="0.25">
      <c r="B2103" t="s">
        <v>20</v>
      </c>
      <c r="C2103" s="8">
        <f>0</f>
        <v>0</v>
      </c>
      <c r="D2103" s="1">
        <f>0</f>
        <v>0</v>
      </c>
      <c r="E2103" s="1">
        <f>4</f>
        <v>4</v>
      </c>
      <c r="F2103" s="1">
        <f>2</f>
        <v>2</v>
      </c>
      <c r="G2103" s="9">
        <f>2</f>
        <v>2</v>
      </c>
    </row>
    <row r="2104" spans="1:10" x14ac:dyDescent="0.25">
      <c r="C2104" s="8">
        <f t="shared" ref="C2104" si="4654">(D2099^2)</f>
        <v>3.7358700567866143</v>
      </c>
      <c r="D2104" s="1">
        <f t="shared" ref="D2104" si="4655">2*C2099*D2099</f>
        <v>-4.3509957203971439</v>
      </c>
      <c r="E2104" s="1">
        <f t="shared" ref="E2104:E2105" si="4656">-2</f>
        <v>-2</v>
      </c>
      <c r="F2104" s="1">
        <f>0</f>
        <v>0</v>
      </c>
      <c r="G2104" s="9">
        <f>0</f>
        <v>0</v>
      </c>
    </row>
    <row r="2105" spans="1:10" x14ac:dyDescent="0.25">
      <c r="C2105" s="10">
        <f t="shared" ref="C2105" si="4657">2*C2099</f>
        <v>-2.2510895668861335</v>
      </c>
      <c r="D2105" s="11">
        <f t="shared" ref="D2105" si="4658">-4*D2099</f>
        <v>-7.7313595769816468</v>
      </c>
      <c r="E2105" s="11">
        <f t="shared" si="4656"/>
        <v>-2</v>
      </c>
      <c r="F2105" s="11">
        <f>0</f>
        <v>0</v>
      </c>
      <c r="G2105" s="12">
        <f>0</f>
        <v>0</v>
      </c>
    </row>
    <row r="2106" spans="1:10" x14ac:dyDescent="0.25">
      <c r="B2106" t="s">
        <v>21</v>
      </c>
      <c r="C2106" s="1" cm="1">
        <f t="array" ref="C2106:G2106">-MMULT(C2100:G2100,C2101:G2105)</f>
        <v>-1.2436178804329737E-15</v>
      </c>
      <c r="D2106" s="1">
        <v>-1.4483844441386847E-15</v>
      </c>
      <c r="E2106" s="1">
        <v>0</v>
      </c>
      <c r="F2106" s="1">
        <v>2.0738244770260952E-15</v>
      </c>
      <c r="G2106" s="1">
        <v>-1.2496057338252283E-15</v>
      </c>
    </row>
    <row r="2107" spans="1:10" x14ac:dyDescent="0.25">
      <c r="B2107" t="s">
        <v>13</v>
      </c>
      <c r="C2107" s="1">
        <f t="shared" ref="C2107" si="4659">J2100/SUMPRODUCT(_xlfn.ANCHORARRAY(C2106),_xlfn.ANCHORARRAY(C2106))</f>
        <v>1.6206986294211755E-2</v>
      </c>
    </row>
    <row r="2108" spans="1:10" x14ac:dyDescent="0.25">
      <c r="A2108" s="1" t="s">
        <v>4</v>
      </c>
      <c r="B2108" t="s">
        <v>18</v>
      </c>
      <c r="C2108" s="1" cm="1">
        <f t="array" ref="C2108:G2108">C2099:G2099+C2107*C2106:G2106</f>
        <v>-1.1255447834430667</v>
      </c>
      <c r="D2108" s="1">
        <v>1.9328398942454117</v>
      </c>
      <c r="E2108" s="1">
        <v>0.39755547298133398</v>
      </c>
      <c r="F2108" s="1">
        <v>-0.67495954138082259</v>
      </c>
      <c r="G2108" s="1">
        <v>-0.12015140458184533</v>
      </c>
    </row>
    <row r="2109" spans="1:10" x14ac:dyDescent="0.25">
      <c r="A2109" s="1">
        <v>235</v>
      </c>
      <c r="B2109" t="s">
        <v>19</v>
      </c>
      <c r="C2109" s="1">
        <f t="shared" ref="C2109" si="4660">2*C2108-F2108*(D2108^2)-2*G2108*C2108</f>
        <v>5.5511151231257827E-16</v>
      </c>
      <c r="D2109" s="1">
        <f t="shared" ref="D2109" si="4661">2*D2108-2*F2108*C2108*D2108+4*G2108*D2108</f>
        <v>-8.8817841970012523E-16</v>
      </c>
      <c r="E2109" s="1">
        <f t="shared" ref="E2109" si="4662">4*E2108+2*F2108+2*G2108</f>
        <v>0</v>
      </c>
      <c r="F2109" s="1">
        <f t="shared" ref="F2109" si="4663">C2108*(D2108^2)-2*E2108+5</f>
        <v>0</v>
      </c>
      <c r="G2109" s="1">
        <f t="shared" ref="G2109" si="4664">C2108^2-2*(D2108^2)-2*E2108+7</f>
        <v>0</v>
      </c>
      <c r="J2109" s="1">
        <f t="shared" ref="J2109" si="4665">0.5*(C2109*C2109+D2109*D2109+E2109*E2109+F2109*F2109+G2109*G2109)</f>
        <v>5.4850484816148477E-31</v>
      </c>
    </row>
    <row r="2110" spans="1:10" x14ac:dyDescent="0.25">
      <c r="C2110" s="5">
        <f t="shared" ref="C2110" si="4666">2-2*G2108</f>
        <v>2.2403028091636905</v>
      </c>
      <c r="D2110" s="6">
        <f t="shared" ref="D2110" si="4667">-2*F2108*D2108</f>
        <v>2.6091774571648814</v>
      </c>
      <c r="E2110" s="6">
        <f>0</f>
        <v>0</v>
      </c>
      <c r="F2110" s="6">
        <f t="shared" ref="F2110" si="4668">-(D2108^2)</f>
        <v>-3.7358700567866143</v>
      </c>
      <c r="G2110" s="7">
        <f t="shared" ref="G2110" si="4669">-2*C2108</f>
        <v>2.2510895668861335</v>
      </c>
    </row>
    <row r="2111" spans="1:10" x14ac:dyDescent="0.25">
      <c r="C2111" s="8">
        <f t="shared" ref="C2111" si="4670">-2*F2108*D2108</f>
        <v>2.6091774571648814</v>
      </c>
      <c r="D2111" s="1">
        <f t="shared" ref="D2111" si="4671">2-2*F2108*C2108+4*G2108</f>
        <v>-4.9960036108132044E-16</v>
      </c>
      <c r="E2111" s="1">
        <f>0</f>
        <v>0</v>
      </c>
      <c r="F2111" s="1">
        <f t="shared" ref="F2111" si="4672">-2*C2108*D2108</f>
        <v>4.3509957203971439</v>
      </c>
      <c r="G2111" s="9">
        <f t="shared" ref="G2111" si="4673">4*D2108</f>
        <v>7.7313595769816468</v>
      </c>
    </row>
    <row r="2112" spans="1:10" x14ac:dyDescent="0.25">
      <c r="B2112" t="s">
        <v>20</v>
      </c>
      <c r="C2112" s="8">
        <f>0</f>
        <v>0</v>
      </c>
      <c r="D2112" s="1">
        <f>0</f>
        <v>0</v>
      </c>
      <c r="E2112" s="1">
        <f>4</f>
        <v>4</v>
      </c>
      <c r="F2112" s="1">
        <f>2</f>
        <v>2</v>
      </c>
      <c r="G2112" s="9">
        <f>2</f>
        <v>2</v>
      </c>
    </row>
    <row r="2113" spans="1:10" x14ac:dyDescent="0.25">
      <c r="C2113" s="8">
        <f t="shared" ref="C2113" si="4674">(D2108^2)</f>
        <v>3.7358700567866143</v>
      </c>
      <c r="D2113" s="1">
        <f t="shared" ref="D2113" si="4675">2*C2108*D2108</f>
        <v>-4.3509957203971439</v>
      </c>
      <c r="E2113" s="1">
        <f t="shared" ref="E2113:E2114" si="4676">-2</f>
        <v>-2</v>
      </c>
      <c r="F2113" s="1">
        <f>0</f>
        <v>0</v>
      </c>
      <c r="G2113" s="9">
        <f>0</f>
        <v>0</v>
      </c>
    </row>
    <row r="2114" spans="1:10" x14ac:dyDescent="0.25">
      <c r="C2114" s="10">
        <f t="shared" ref="C2114" si="4677">2*C2108</f>
        <v>-2.2510895668861335</v>
      </c>
      <c r="D2114" s="11">
        <f t="shared" ref="D2114" si="4678">-4*D2108</f>
        <v>-7.7313595769816468</v>
      </c>
      <c r="E2114" s="11">
        <f t="shared" si="4676"/>
        <v>-2</v>
      </c>
      <c r="F2114" s="11">
        <f>0</f>
        <v>0</v>
      </c>
      <c r="G2114" s="12">
        <f>0</f>
        <v>0</v>
      </c>
    </row>
    <row r="2115" spans="1:10" x14ac:dyDescent="0.25">
      <c r="B2115" t="s">
        <v>21</v>
      </c>
      <c r="C2115" s="1" cm="1">
        <f t="array" ref="C2115:G2115">-MMULT(C2109:G2109,C2110:G2114)</f>
        <v>1.0737972301889219E-15</v>
      </c>
      <c r="D2115" s="1">
        <v>-1.448384444138685E-15</v>
      </c>
      <c r="E2115" s="1">
        <v>0</v>
      </c>
      <c r="F2115" s="1">
        <v>5.9382849800904388E-15</v>
      </c>
      <c r="G2115" s="1">
        <v>5.6172209973917592E-15</v>
      </c>
    </row>
    <row r="2116" spans="1:10" x14ac:dyDescent="0.25">
      <c r="B2116" t="s">
        <v>13</v>
      </c>
      <c r="C2116" s="1">
        <f t="shared" ref="C2116" si="4679">J2109/SUMPRODUCT(_xlfn.ANCHORARRAY(C2115),_xlfn.ANCHORARRAY(C2115))</f>
        <v>7.828261901978455E-3</v>
      </c>
    </row>
    <row r="2117" spans="1:10" x14ac:dyDescent="0.25">
      <c r="A2117" s="1" t="s">
        <v>4</v>
      </c>
      <c r="B2117" t="s">
        <v>18</v>
      </c>
      <c r="C2117" s="1" cm="1">
        <f t="array" ref="C2117:G2117">C2108:G2108+C2116*C2115:G2115</f>
        <v>-1.1255447834430667</v>
      </c>
      <c r="D2117" s="1">
        <v>1.9328398942454117</v>
      </c>
      <c r="E2117" s="1">
        <v>0.39755547298133398</v>
      </c>
      <c r="F2117" s="1">
        <v>-0.67495954138082259</v>
      </c>
      <c r="G2117" s="1">
        <v>-0.12015140458184528</v>
      </c>
    </row>
    <row r="2118" spans="1:10" x14ac:dyDescent="0.25">
      <c r="A2118" s="1">
        <v>236</v>
      </c>
      <c r="B2118" t="s">
        <v>19</v>
      </c>
      <c r="C2118" s="1">
        <f t="shared" ref="C2118" si="4680">2*C2117-F2117*(D2117^2)-2*G2117*C2117</f>
        <v>6.106226635438361E-16</v>
      </c>
      <c r="D2118" s="1">
        <f t="shared" ref="D2118" si="4681">2*D2117-2*F2117*C2117*D2117+4*G2117*D2117</f>
        <v>0</v>
      </c>
      <c r="E2118" s="1">
        <f t="shared" ref="E2118" si="4682">4*E2117+2*F2117+2*G2117</f>
        <v>0</v>
      </c>
      <c r="F2118" s="1">
        <f t="shared" ref="F2118" si="4683">C2117*(D2117^2)-2*E2117+5</f>
        <v>0</v>
      </c>
      <c r="G2118" s="1">
        <f t="shared" ref="G2118" si="4684">C2117^2-2*(D2117^2)-2*E2117+7</f>
        <v>0</v>
      </c>
      <c r="J2118" s="1">
        <f t="shared" ref="J2118" si="4685">0.5*(C2118*C2118+D2118*D2118+E2118*E2118+F2118*F2118+G2118*G2118)</f>
        <v>1.8643001861668443E-31</v>
      </c>
    </row>
    <row r="2119" spans="1:10" x14ac:dyDescent="0.25">
      <c r="C2119" s="5">
        <f t="shared" ref="C2119" si="4686">2-2*G2117</f>
        <v>2.2403028091636905</v>
      </c>
      <c r="D2119" s="6">
        <f t="shared" ref="D2119" si="4687">-2*F2117*D2117</f>
        <v>2.6091774571648814</v>
      </c>
      <c r="E2119" s="6">
        <f>0</f>
        <v>0</v>
      </c>
      <c r="F2119" s="6">
        <f t="shared" ref="F2119" si="4688">-(D2117^2)</f>
        <v>-3.7358700567866143</v>
      </c>
      <c r="G2119" s="7">
        <f t="shared" ref="G2119" si="4689">-2*C2117</f>
        <v>2.2510895668861335</v>
      </c>
    </row>
    <row r="2120" spans="1:10" x14ac:dyDescent="0.25">
      <c r="C2120" s="8">
        <f t="shared" ref="C2120" si="4690">-2*F2117*D2117</f>
        <v>2.6091774571648814</v>
      </c>
      <c r="D2120" s="1">
        <f t="shared" ref="D2120" si="4691">2-2*F2117*C2117+4*G2117</f>
        <v>0</v>
      </c>
      <c r="E2120" s="1">
        <f>0</f>
        <v>0</v>
      </c>
      <c r="F2120" s="1">
        <f t="shared" ref="F2120" si="4692">-2*C2117*D2117</f>
        <v>4.3509957203971439</v>
      </c>
      <c r="G2120" s="9">
        <f t="shared" ref="G2120" si="4693">4*D2117</f>
        <v>7.7313595769816468</v>
      </c>
    </row>
    <row r="2121" spans="1:10" x14ac:dyDescent="0.25">
      <c r="B2121" t="s">
        <v>20</v>
      </c>
      <c r="C2121" s="8">
        <f>0</f>
        <v>0</v>
      </c>
      <c r="D2121" s="1">
        <f>0</f>
        <v>0</v>
      </c>
      <c r="E2121" s="1">
        <f>4</f>
        <v>4</v>
      </c>
      <c r="F2121" s="1">
        <f>2</f>
        <v>2</v>
      </c>
      <c r="G2121" s="9">
        <f>2</f>
        <v>2</v>
      </c>
    </row>
    <row r="2122" spans="1:10" x14ac:dyDescent="0.25">
      <c r="C2122" s="8">
        <f t="shared" ref="C2122" si="4694">(D2117^2)</f>
        <v>3.7358700567866143</v>
      </c>
      <c r="D2122" s="1">
        <f t="shared" ref="D2122" si="4695">2*C2117*D2117</f>
        <v>-4.3509957203971439</v>
      </c>
      <c r="E2122" s="1">
        <f t="shared" ref="E2122:E2123" si="4696">-2</f>
        <v>-2</v>
      </c>
      <c r="F2122" s="1">
        <f>0</f>
        <v>0</v>
      </c>
      <c r="G2122" s="9">
        <f>0</f>
        <v>0</v>
      </c>
    </row>
    <row r="2123" spans="1:10" x14ac:dyDescent="0.25">
      <c r="C2123" s="10">
        <f t="shared" ref="C2123" si="4697">2*C2117</f>
        <v>-2.2510895668861335</v>
      </c>
      <c r="D2123" s="11">
        <f t="shared" ref="D2123" si="4698">-4*D2117</f>
        <v>-7.7313595769816468</v>
      </c>
      <c r="E2123" s="11">
        <f t="shared" si="4696"/>
        <v>-2</v>
      </c>
      <c r="F2123" s="11">
        <f>0</f>
        <v>0</v>
      </c>
      <c r="G2123" s="12">
        <f>0</f>
        <v>0</v>
      </c>
    </row>
    <row r="2124" spans="1:10" x14ac:dyDescent="0.25">
      <c r="B2124" t="s">
        <v>21</v>
      </c>
      <c r="C2124" s="1" cm="1">
        <f t="array" ref="C2124:G2124">-MMULT(C2118:G2118,C2119:G2123)</f>
        <v>-1.367979668476271E-15</v>
      </c>
      <c r="D2124" s="1">
        <v>-1.5932228885525532E-15</v>
      </c>
      <c r="E2124" s="1">
        <v>0</v>
      </c>
      <c r="F2124" s="1">
        <v>2.2812069247287048E-15</v>
      </c>
      <c r="G2124" s="1">
        <v>-1.3745663072077511E-15</v>
      </c>
    </row>
    <row r="2125" spans="1:10" x14ac:dyDescent="0.25">
      <c r="B2125" t="s">
        <v>13</v>
      </c>
      <c r="C2125" s="1">
        <f t="shared" ref="C2125" si="4699">J2118/SUMPRODUCT(_xlfn.ANCHORARRAY(C2124),_xlfn.ANCHORARRAY(C2124))</f>
        <v>1.6206986294211755E-2</v>
      </c>
    </row>
    <row r="2126" spans="1:10" x14ac:dyDescent="0.25">
      <c r="A2126" s="1" t="s">
        <v>4</v>
      </c>
      <c r="B2126" t="s">
        <v>18</v>
      </c>
      <c r="C2126" s="1" cm="1">
        <f t="array" ref="C2126:G2126">C2117:G2117+C2125*C2124:G2124</f>
        <v>-1.1255447834430667</v>
      </c>
      <c r="D2126" s="1">
        <v>1.9328398942454117</v>
      </c>
      <c r="E2126" s="1">
        <v>0.39755547298133398</v>
      </c>
      <c r="F2126" s="1">
        <v>-0.67495954138082259</v>
      </c>
      <c r="G2126" s="1">
        <v>-0.12015140458184531</v>
      </c>
    </row>
    <row r="2127" spans="1:10" x14ac:dyDescent="0.25">
      <c r="A2127" s="1">
        <v>237</v>
      </c>
      <c r="B2127" t="s">
        <v>19</v>
      </c>
      <c r="C2127" s="1">
        <f t="shared" ref="C2127" si="4700">2*C2126-F2126*(D2126^2)-2*G2126*C2126</f>
        <v>5.5511151231257827E-16</v>
      </c>
      <c r="D2127" s="1">
        <f t="shared" ref="D2127" si="4701">2*D2126-2*F2126*C2126*D2126+4*G2126*D2126</f>
        <v>0</v>
      </c>
      <c r="E2127" s="1">
        <f t="shared" ref="E2127" si="4702">4*E2126+2*F2126+2*G2126</f>
        <v>0</v>
      </c>
      <c r="F2127" s="1">
        <f t="shared" ref="F2127" si="4703">C2126*(D2126^2)-2*E2126+5</f>
        <v>0</v>
      </c>
      <c r="G2127" s="1">
        <f t="shared" ref="G2127" si="4704">C2126^2-2*(D2126^2)-2*E2126+7</f>
        <v>0</v>
      </c>
      <c r="J2127" s="1">
        <f t="shared" ref="J2127" si="4705">0.5*(C2127*C2127+D2127*D2127+E2127*E2127+F2127*F2127+G2127*G2127)</f>
        <v>1.5407439555097887E-31</v>
      </c>
    </row>
    <row r="2128" spans="1:10" x14ac:dyDescent="0.25">
      <c r="C2128" s="5">
        <f t="shared" ref="C2128" si="4706">2-2*G2126</f>
        <v>2.2403028091636905</v>
      </c>
      <c r="D2128" s="6">
        <f t="shared" ref="D2128" si="4707">-2*F2126*D2126</f>
        <v>2.6091774571648814</v>
      </c>
      <c r="E2128" s="6">
        <f>0</f>
        <v>0</v>
      </c>
      <c r="F2128" s="6">
        <f t="shared" ref="F2128" si="4708">-(D2126^2)</f>
        <v>-3.7358700567866143</v>
      </c>
      <c r="G2128" s="7">
        <f t="shared" ref="G2128" si="4709">-2*C2126</f>
        <v>2.2510895668861335</v>
      </c>
    </row>
    <row r="2129" spans="1:10" x14ac:dyDescent="0.25">
      <c r="C2129" s="8">
        <f t="shared" ref="C2129" si="4710">-2*F2126*D2126</f>
        <v>2.6091774571648814</v>
      </c>
      <c r="D2129" s="1">
        <f t="shared" ref="D2129" si="4711">2-2*F2126*C2126+4*G2126</f>
        <v>-4.4408920985006262E-16</v>
      </c>
      <c r="E2129" s="1">
        <f>0</f>
        <v>0</v>
      </c>
      <c r="F2129" s="1">
        <f t="shared" ref="F2129" si="4712">-2*C2126*D2126</f>
        <v>4.3509957203971439</v>
      </c>
      <c r="G2129" s="9">
        <f t="shared" ref="G2129" si="4713">4*D2126</f>
        <v>7.7313595769816468</v>
      </c>
    </row>
    <row r="2130" spans="1:10" x14ac:dyDescent="0.25">
      <c r="B2130" t="s">
        <v>20</v>
      </c>
      <c r="C2130" s="8">
        <f>0</f>
        <v>0</v>
      </c>
      <c r="D2130" s="1">
        <f>0</f>
        <v>0</v>
      </c>
      <c r="E2130" s="1">
        <f>4</f>
        <v>4</v>
      </c>
      <c r="F2130" s="1">
        <f>2</f>
        <v>2</v>
      </c>
      <c r="G2130" s="9">
        <f>2</f>
        <v>2</v>
      </c>
    </row>
    <row r="2131" spans="1:10" x14ac:dyDescent="0.25">
      <c r="C2131" s="8">
        <f t="shared" ref="C2131" si="4714">(D2126^2)</f>
        <v>3.7358700567866143</v>
      </c>
      <c r="D2131" s="1">
        <f t="shared" ref="D2131" si="4715">2*C2126*D2126</f>
        <v>-4.3509957203971439</v>
      </c>
      <c r="E2131" s="1">
        <f t="shared" ref="E2131:E2132" si="4716">-2</f>
        <v>-2</v>
      </c>
      <c r="F2131" s="1">
        <f>0</f>
        <v>0</v>
      </c>
      <c r="G2131" s="9">
        <f>0</f>
        <v>0</v>
      </c>
    </row>
    <row r="2132" spans="1:10" x14ac:dyDescent="0.25">
      <c r="C2132" s="10">
        <f t="shared" ref="C2132" si="4717">2*C2126</f>
        <v>-2.2510895668861335</v>
      </c>
      <c r="D2132" s="11">
        <f t="shared" ref="D2132" si="4718">-4*D2126</f>
        <v>-7.7313595769816468</v>
      </c>
      <c r="E2132" s="11">
        <f t="shared" si="4716"/>
        <v>-2</v>
      </c>
      <c r="F2132" s="11">
        <f>0</f>
        <v>0</v>
      </c>
      <c r="G2132" s="12">
        <f>0</f>
        <v>0</v>
      </c>
    </row>
    <row r="2133" spans="1:10" x14ac:dyDescent="0.25">
      <c r="B2133" t="s">
        <v>21</v>
      </c>
      <c r="C2133" s="1" cm="1">
        <f t="array" ref="C2133:G2133">-MMULT(C2127:G2127,C2128:G2132)</f>
        <v>-1.2436178804329737E-15</v>
      </c>
      <c r="D2133" s="1">
        <v>-1.4483844441386847E-15</v>
      </c>
      <c r="E2133" s="1">
        <v>0</v>
      </c>
      <c r="F2133" s="1">
        <v>2.0738244770260952E-15</v>
      </c>
      <c r="G2133" s="1">
        <v>-1.2496057338252283E-15</v>
      </c>
    </row>
    <row r="2134" spans="1:10" x14ac:dyDescent="0.25">
      <c r="B2134" t="s">
        <v>13</v>
      </c>
      <c r="C2134" s="1">
        <f t="shared" ref="C2134" si="4719">J2127/SUMPRODUCT(_xlfn.ANCHORARRAY(C2133),_xlfn.ANCHORARRAY(C2133))</f>
        <v>1.6206986294211755E-2</v>
      </c>
    </row>
    <row r="2135" spans="1:10" x14ac:dyDescent="0.25">
      <c r="A2135" s="1" t="s">
        <v>4</v>
      </c>
      <c r="B2135" t="s">
        <v>18</v>
      </c>
      <c r="C2135" s="1" cm="1">
        <f t="array" ref="C2135:G2135">C2126:G2126+C2134*C2133:G2133</f>
        <v>-1.1255447834430667</v>
      </c>
      <c r="D2135" s="1">
        <v>1.9328398942454117</v>
      </c>
      <c r="E2135" s="1">
        <v>0.39755547298133398</v>
      </c>
      <c r="F2135" s="1">
        <v>-0.67495954138082259</v>
      </c>
      <c r="G2135" s="1">
        <v>-0.12015140458184533</v>
      </c>
    </row>
    <row r="2136" spans="1:10" x14ac:dyDescent="0.25">
      <c r="A2136" s="1">
        <v>238</v>
      </c>
      <c r="B2136" t="s">
        <v>19</v>
      </c>
      <c r="C2136" s="1">
        <f t="shared" ref="C2136" si="4720">2*C2135-F2135*(D2135^2)-2*G2135*C2135</f>
        <v>5.5511151231257827E-16</v>
      </c>
      <c r="D2136" s="1">
        <f t="shared" ref="D2136" si="4721">2*D2135-2*F2135*C2135*D2135+4*G2135*D2135</f>
        <v>-8.8817841970012523E-16</v>
      </c>
      <c r="E2136" s="1">
        <f t="shared" ref="E2136" si="4722">4*E2135+2*F2135+2*G2135</f>
        <v>0</v>
      </c>
      <c r="F2136" s="1">
        <f t="shared" ref="F2136" si="4723">C2135*(D2135^2)-2*E2135+5</f>
        <v>0</v>
      </c>
      <c r="G2136" s="1">
        <f t="shared" ref="G2136" si="4724">C2135^2-2*(D2135^2)-2*E2135+7</f>
        <v>0</v>
      </c>
      <c r="J2136" s="1">
        <f t="shared" ref="J2136" si="4725">0.5*(C2136*C2136+D2136*D2136+E2136*E2136+F2136*F2136+G2136*G2136)</f>
        <v>5.4850484816148477E-31</v>
      </c>
    </row>
    <row r="2137" spans="1:10" x14ac:dyDescent="0.25">
      <c r="C2137" s="5">
        <f t="shared" ref="C2137" si="4726">2-2*G2135</f>
        <v>2.2403028091636905</v>
      </c>
      <c r="D2137" s="6">
        <f t="shared" ref="D2137" si="4727">-2*F2135*D2135</f>
        <v>2.6091774571648814</v>
      </c>
      <c r="E2137" s="6">
        <f>0</f>
        <v>0</v>
      </c>
      <c r="F2137" s="6">
        <f t="shared" ref="F2137" si="4728">-(D2135^2)</f>
        <v>-3.7358700567866143</v>
      </c>
      <c r="G2137" s="7">
        <f t="shared" ref="G2137" si="4729">-2*C2135</f>
        <v>2.2510895668861335</v>
      </c>
    </row>
    <row r="2138" spans="1:10" x14ac:dyDescent="0.25">
      <c r="C2138" s="8">
        <f t="shared" ref="C2138" si="4730">-2*F2135*D2135</f>
        <v>2.6091774571648814</v>
      </c>
      <c r="D2138" s="1">
        <f t="shared" ref="D2138" si="4731">2-2*F2135*C2135+4*G2135</f>
        <v>-4.9960036108132044E-16</v>
      </c>
      <c r="E2138" s="1">
        <f>0</f>
        <v>0</v>
      </c>
      <c r="F2138" s="1">
        <f t="shared" ref="F2138" si="4732">-2*C2135*D2135</f>
        <v>4.3509957203971439</v>
      </c>
      <c r="G2138" s="9">
        <f t="shared" ref="G2138" si="4733">4*D2135</f>
        <v>7.7313595769816468</v>
      </c>
    </row>
    <row r="2139" spans="1:10" x14ac:dyDescent="0.25">
      <c r="B2139" t="s">
        <v>20</v>
      </c>
      <c r="C2139" s="8">
        <f>0</f>
        <v>0</v>
      </c>
      <c r="D2139" s="1">
        <f>0</f>
        <v>0</v>
      </c>
      <c r="E2139" s="1">
        <f>4</f>
        <v>4</v>
      </c>
      <c r="F2139" s="1">
        <f>2</f>
        <v>2</v>
      </c>
      <c r="G2139" s="9">
        <f>2</f>
        <v>2</v>
      </c>
    </row>
    <row r="2140" spans="1:10" x14ac:dyDescent="0.25">
      <c r="C2140" s="8">
        <f t="shared" ref="C2140" si="4734">(D2135^2)</f>
        <v>3.7358700567866143</v>
      </c>
      <c r="D2140" s="1">
        <f t="shared" ref="D2140" si="4735">2*C2135*D2135</f>
        <v>-4.3509957203971439</v>
      </c>
      <c r="E2140" s="1">
        <f t="shared" ref="E2140:E2141" si="4736">-2</f>
        <v>-2</v>
      </c>
      <c r="F2140" s="1">
        <f>0</f>
        <v>0</v>
      </c>
      <c r="G2140" s="9">
        <f>0</f>
        <v>0</v>
      </c>
    </row>
    <row r="2141" spans="1:10" x14ac:dyDescent="0.25">
      <c r="C2141" s="10">
        <f t="shared" ref="C2141" si="4737">2*C2135</f>
        <v>-2.2510895668861335</v>
      </c>
      <c r="D2141" s="11">
        <f t="shared" ref="D2141" si="4738">-4*D2135</f>
        <v>-7.7313595769816468</v>
      </c>
      <c r="E2141" s="11">
        <f t="shared" si="4736"/>
        <v>-2</v>
      </c>
      <c r="F2141" s="11">
        <f>0</f>
        <v>0</v>
      </c>
      <c r="G2141" s="12">
        <f>0</f>
        <v>0</v>
      </c>
    </row>
    <row r="2142" spans="1:10" x14ac:dyDescent="0.25">
      <c r="B2142" t="s">
        <v>21</v>
      </c>
      <c r="C2142" s="1" cm="1">
        <f t="array" ref="C2142:G2142">-MMULT(C2136:G2136,C2137:G2141)</f>
        <v>1.0737972301889219E-15</v>
      </c>
      <c r="D2142" s="1">
        <v>-1.448384444138685E-15</v>
      </c>
      <c r="E2142" s="1">
        <v>0</v>
      </c>
      <c r="F2142" s="1">
        <v>5.9382849800904388E-15</v>
      </c>
      <c r="G2142" s="1">
        <v>5.6172209973917592E-15</v>
      </c>
    </row>
    <row r="2143" spans="1:10" x14ac:dyDescent="0.25">
      <c r="B2143" t="s">
        <v>13</v>
      </c>
      <c r="C2143" s="1">
        <f t="shared" ref="C2143" si="4739">J2136/SUMPRODUCT(_xlfn.ANCHORARRAY(C2142),_xlfn.ANCHORARRAY(C2142))</f>
        <v>7.828261901978455E-3</v>
      </c>
    </row>
    <row r="2144" spans="1:10" x14ac:dyDescent="0.25">
      <c r="A2144" s="1" t="s">
        <v>4</v>
      </c>
      <c r="B2144" t="s">
        <v>18</v>
      </c>
      <c r="C2144" s="1" cm="1">
        <f t="array" ref="C2144:G2144">C2135:G2135+C2143*C2142:G2142</f>
        <v>-1.1255447834430667</v>
      </c>
      <c r="D2144" s="1">
        <v>1.9328398942454117</v>
      </c>
      <c r="E2144" s="1">
        <v>0.39755547298133398</v>
      </c>
      <c r="F2144" s="1">
        <v>-0.67495954138082259</v>
      </c>
      <c r="G2144" s="1">
        <v>-0.12015140458184528</v>
      </c>
    </row>
    <row r="2145" spans="1:10" x14ac:dyDescent="0.25">
      <c r="A2145" s="1">
        <v>239</v>
      </c>
      <c r="B2145" t="s">
        <v>19</v>
      </c>
      <c r="C2145" s="1">
        <f t="shared" ref="C2145" si="4740">2*C2144-F2144*(D2144^2)-2*G2144*C2144</f>
        <v>6.106226635438361E-16</v>
      </c>
      <c r="D2145" s="1">
        <f t="shared" ref="D2145" si="4741">2*D2144-2*F2144*C2144*D2144+4*G2144*D2144</f>
        <v>0</v>
      </c>
      <c r="E2145" s="1">
        <f t="shared" ref="E2145" si="4742">4*E2144+2*F2144+2*G2144</f>
        <v>0</v>
      </c>
      <c r="F2145" s="1">
        <f t="shared" ref="F2145" si="4743">C2144*(D2144^2)-2*E2144+5</f>
        <v>0</v>
      </c>
      <c r="G2145" s="1">
        <f t="shared" ref="G2145" si="4744">C2144^2-2*(D2144^2)-2*E2144+7</f>
        <v>0</v>
      </c>
      <c r="J2145" s="1">
        <f t="shared" ref="J2145" si="4745">0.5*(C2145*C2145+D2145*D2145+E2145*E2145+F2145*F2145+G2145*G2145)</f>
        <v>1.8643001861668443E-31</v>
      </c>
    </row>
    <row r="2146" spans="1:10" x14ac:dyDescent="0.25">
      <c r="C2146" s="5">
        <f t="shared" ref="C2146" si="4746">2-2*G2144</f>
        <v>2.2403028091636905</v>
      </c>
      <c r="D2146" s="6">
        <f t="shared" ref="D2146" si="4747">-2*F2144*D2144</f>
        <v>2.6091774571648814</v>
      </c>
      <c r="E2146" s="6">
        <f>0</f>
        <v>0</v>
      </c>
      <c r="F2146" s="6">
        <f t="shared" ref="F2146" si="4748">-(D2144^2)</f>
        <v>-3.7358700567866143</v>
      </c>
      <c r="G2146" s="7">
        <f t="shared" ref="G2146" si="4749">-2*C2144</f>
        <v>2.2510895668861335</v>
      </c>
    </row>
    <row r="2147" spans="1:10" x14ac:dyDescent="0.25">
      <c r="C2147" s="8">
        <f t="shared" ref="C2147" si="4750">-2*F2144*D2144</f>
        <v>2.6091774571648814</v>
      </c>
      <c r="D2147" s="1">
        <f t="shared" ref="D2147" si="4751">2-2*F2144*C2144+4*G2144</f>
        <v>0</v>
      </c>
      <c r="E2147" s="1">
        <f>0</f>
        <v>0</v>
      </c>
      <c r="F2147" s="1">
        <f t="shared" ref="F2147" si="4752">-2*C2144*D2144</f>
        <v>4.3509957203971439</v>
      </c>
      <c r="G2147" s="9">
        <f t="shared" ref="G2147" si="4753">4*D2144</f>
        <v>7.7313595769816468</v>
      </c>
    </row>
    <row r="2148" spans="1:10" x14ac:dyDescent="0.25">
      <c r="B2148" t="s">
        <v>20</v>
      </c>
      <c r="C2148" s="8">
        <f>0</f>
        <v>0</v>
      </c>
      <c r="D2148" s="1">
        <f>0</f>
        <v>0</v>
      </c>
      <c r="E2148" s="1">
        <f>4</f>
        <v>4</v>
      </c>
      <c r="F2148" s="1">
        <f>2</f>
        <v>2</v>
      </c>
      <c r="G2148" s="9">
        <f>2</f>
        <v>2</v>
      </c>
    </row>
    <row r="2149" spans="1:10" x14ac:dyDescent="0.25">
      <c r="C2149" s="8">
        <f t="shared" ref="C2149" si="4754">(D2144^2)</f>
        <v>3.7358700567866143</v>
      </c>
      <c r="D2149" s="1">
        <f t="shared" ref="D2149" si="4755">2*C2144*D2144</f>
        <v>-4.3509957203971439</v>
      </c>
      <c r="E2149" s="1">
        <f t="shared" ref="E2149:E2150" si="4756">-2</f>
        <v>-2</v>
      </c>
      <c r="F2149" s="1">
        <f>0</f>
        <v>0</v>
      </c>
      <c r="G2149" s="9">
        <f>0</f>
        <v>0</v>
      </c>
    </row>
    <row r="2150" spans="1:10" x14ac:dyDescent="0.25">
      <c r="C2150" s="10">
        <f t="shared" ref="C2150" si="4757">2*C2144</f>
        <v>-2.2510895668861335</v>
      </c>
      <c r="D2150" s="11">
        <f t="shared" ref="D2150" si="4758">-4*D2144</f>
        <v>-7.7313595769816468</v>
      </c>
      <c r="E2150" s="11">
        <f t="shared" si="4756"/>
        <v>-2</v>
      </c>
      <c r="F2150" s="11">
        <f>0</f>
        <v>0</v>
      </c>
      <c r="G2150" s="12">
        <f>0</f>
        <v>0</v>
      </c>
    </row>
    <row r="2151" spans="1:10" x14ac:dyDescent="0.25">
      <c r="B2151" t="s">
        <v>21</v>
      </c>
      <c r="C2151" s="1" cm="1">
        <f t="array" ref="C2151:G2151">-MMULT(C2145:G2145,C2146:G2150)</f>
        <v>-1.367979668476271E-15</v>
      </c>
      <c r="D2151" s="1">
        <v>-1.5932228885525532E-15</v>
      </c>
      <c r="E2151" s="1">
        <v>0</v>
      </c>
      <c r="F2151" s="1">
        <v>2.2812069247287048E-15</v>
      </c>
      <c r="G2151" s="1">
        <v>-1.3745663072077511E-15</v>
      </c>
    </row>
    <row r="2152" spans="1:10" x14ac:dyDescent="0.25">
      <c r="B2152" t="s">
        <v>13</v>
      </c>
      <c r="C2152" s="1">
        <f t="shared" ref="C2152" si="4759">J2145/SUMPRODUCT(_xlfn.ANCHORARRAY(C2151),_xlfn.ANCHORARRAY(C2151))</f>
        <v>1.6206986294211755E-2</v>
      </c>
    </row>
    <row r="2153" spans="1:10" x14ac:dyDescent="0.25">
      <c r="A2153" s="1" t="s">
        <v>4</v>
      </c>
      <c r="B2153" t="s">
        <v>18</v>
      </c>
      <c r="C2153" s="1" cm="1">
        <f t="array" ref="C2153:G2153">C2144:G2144+C2152*C2151:G2151</f>
        <v>-1.1255447834430667</v>
      </c>
      <c r="D2153" s="1">
        <v>1.9328398942454117</v>
      </c>
      <c r="E2153" s="1">
        <v>0.39755547298133398</v>
      </c>
      <c r="F2153" s="1">
        <v>-0.67495954138082259</v>
      </c>
      <c r="G2153" s="1">
        <v>-0.12015140458184531</v>
      </c>
    </row>
    <row r="2154" spans="1:10" x14ac:dyDescent="0.25">
      <c r="A2154" s="1">
        <v>240</v>
      </c>
      <c r="B2154" t="s">
        <v>19</v>
      </c>
      <c r="C2154" s="1">
        <f t="shared" ref="C2154" si="4760">2*C2153-F2153*(D2153^2)-2*G2153*C2153</f>
        <v>5.5511151231257827E-16</v>
      </c>
      <c r="D2154" s="1">
        <f t="shared" ref="D2154" si="4761">2*D2153-2*F2153*C2153*D2153+4*G2153*D2153</f>
        <v>0</v>
      </c>
      <c r="E2154" s="1">
        <f t="shared" ref="E2154" si="4762">4*E2153+2*F2153+2*G2153</f>
        <v>0</v>
      </c>
      <c r="F2154" s="1">
        <f t="shared" ref="F2154" si="4763">C2153*(D2153^2)-2*E2153+5</f>
        <v>0</v>
      </c>
      <c r="G2154" s="1">
        <f t="shared" ref="G2154" si="4764">C2153^2-2*(D2153^2)-2*E2153+7</f>
        <v>0</v>
      </c>
      <c r="J2154" s="1">
        <f t="shared" ref="J2154" si="4765">0.5*(C2154*C2154+D2154*D2154+E2154*E2154+F2154*F2154+G2154*G2154)</f>
        <v>1.5407439555097887E-31</v>
      </c>
    </row>
    <row r="2155" spans="1:10" x14ac:dyDescent="0.25">
      <c r="C2155" s="5">
        <f t="shared" ref="C2155" si="4766">2-2*G2153</f>
        <v>2.2403028091636905</v>
      </c>
      <c r="D2155" s="6">
        <f t="shared" ref="D2155" si="4767">-2*F2153*D2153</f>
        <v>2.6091774571648814</v>
      </c>
      <c r="E2155" s="6">
        <f>0</f>
        <v>0</v>
      </c>
      <c r="F2155" s="6">
        <f t="shared" ref="F2155" si="4768">-(D2153^2)</f>
        <v>-3.7358700567866143</v>
      </c>
      <c r="G2155" s="7">
        <f t="shared" ref="G2155" si="4769">-2*C2153</f>
        <v>2.2510895668861335</v>
      </c>
    </row>
    <row r="2156" spans="1:10" x14ac:dyDescent="0.25">
      <c r="C2156" s="8">
        <f t="shared" ref="C2156" si="4770">-2*F2153*D2153</f>
        <v>2.6091774571648814</v>
      </c>
      <c r="D2156" s="1">
        <f t="shared" ref="D2156" si="4771">2-2*F2153*C2153+4*G2153</f>
        <v>-4.4408920985006262E-16</v>
      </c>
      <c r="E2156" s="1">
        <f>0</f>
        <v>0</v>
      </c>
      <c r="F2156" s="1">
        <f t="shared" ref="F2156" si="4772">-2*C2153*D2153</f>
        <v>4.3509957203971439</v>
      </c>
      <c r="G2156" s="9">
        <f t="shared" ref="G2156" si="4773">4*D2153</f>
        <v>7.7313595769816468</v>
      </c>
    </row>
    <row r="2157" spans="1:10" x14ac:dyDescent="0.25">
      <c r="B2157" t="s">
        <v>20</v>
      </c>
      <c r="C2157" s="8">
        <f>0</f>
        <v>0</v>
      </c>
      <c r="D2157" s="1">
        <f>0</f>
        <v>0</v>
      </c>
      <c r="E2157" s="1">
        <f>4</f>
        <v>4</v>
      </c>
      <c r="F2157" s="1">
        <f>2</f>
        <v>2</v>
      </c>
      <c r="G2157" s="9">
        <f>2</f>
        <v>2</v>
      </c>
    </row>
    <row r="2158" spans="1:10" x14ac:dyDescent="0.25">
      <c r="C2158" s="8">
        <f t="shared" ref="C2158" si="4774">(D2153^2)</f>
        <v>3.7358700567866143</v>
      </c>
      <c r="D2158" s="1">
        <f t="shared" ref="D2158" si="4775">2*C2153*D2153</f>
        <v>-4.3509957203971439</v>
      </c>
      <c r="E2158" s="1">
        <f t="shared" ref="E2158:E2159" si="4776">-2</f>
        <v>-2</v>
      </c>
      <c r="F2158" s="1">
        <f>0</f>
        <v>0</v>
      </c>
      <c r="G2158" s="9">
        <f>0</f>
        <v>0</v>
      </c>
    </row>
    <row r="2159" spans="1:10" x14ac:dyDescent="0.25">
      <c r="C2159" s="10">
        <f t="shared" ref="C2159" si="4777">2*C2153</f>
        <v>-2.2510895668861335</v>
      </c>
      <c r="D2159" s="11">
        <f t="shared" ref="D2159" si="4778">-4*D2153</f>
        <v>-7.7313595769816468</v>
      </c>
      <c r="E2159" s="11">
        <f t="shared" si="4776"/>
        <v>-2</v>
      </c>
      <c r="F2159" s="11">
        <f>0</f>
        <v>0</v>
      </c>
      <c r="G2159" s="12">
        <f>0</f>
        <v>0</v>
      </c>
    </row>
    <row r="2160" spans="1:10" x14ac:dyDescent="0.25">
      <c r="B2160" t="s">
        <v>21</v>
      </c>
      <c r="C2160" s="1" cm="1">
        <f t="array" ref="C2160:G2160">-MMULT(C2154:G2154,C2155:G2159)</f>
        <v>-1.2436178804329737E-15</v>
      </c>
      <c r="D2160" s="1">
        <v>-1.4483844441386847E-15</v>
      </c>
      <c r="E2160" s="1">
        <v>0</v>
      </c>
      <c r="F2160" s="1">
        <v>2.0738244770260952E-15</v>
      </c>
      <c r="G2160" s="1">
        <v>-1.2496057338252283E-15</v>
      </c>
    </row>
    <row r="2161" spans="1:10" x14ac:dyDescent="0.25">
      <c r="B2161" t="s">
        <v>13</v>
      </c>
      <c r="C2161" s="1">
        <f t="shared" ref="C2161" si="4779">J2154/SUMPRODUCT(_xlfn.ANCHORARRAY(C2160),_xlfn.ANCHORARRAY(C2160))</f>
        <v>1.6206986294211755E-2</v>
      </c>
    </row>
    <row r="2162" spans="1:10" x14ac:dyDescent="0.25">
      <c r="A2162" s="1" t="s">
        <v>4</v>
      </c>
      <c r="B2162" t="s">
        <v>18</v>
      </c>
      <c r="C2162" s="1" cm="1">
        <f t="array" ref="C2162:G2162">C2153:G2153+C2161*C2160:G2160</f>
        <v>-1.1255447834430667</v>
      </c>
      <c r="D2162" s="1">
        <v>1.9328398942454117</v>
      </c>
      <c r="E2162" s="1">
        <v>0.39755547298133398</v>
      </c>
      <c r="F2162" s="1">
        <v>-0.67495954138082259</v>
      </c>
      <c r="G2162" s="1">
        <v>-0.12015140458184533</v>
      </c>
    </row>
    <row r="2163" spans="1:10" x14ac:dyDescent="0.25">
      <c r="A2163" s="1">
        <v>241</v>
      </c>
      <c r="B2163" t="s">
        <v>19</v>
      </c>
      <c r="C2163" s="1">
        <f t="shared" ref="C2163" si="4780">2*C2162-F2162*(D2162^2)-2*G2162*C2162</f>
        <v>5.5511151231257827E-16</v>
      </c>
      <c r="D2163" s="1">
        <f t="shared" ref="D2163" si="4781">2*D2162-2*F2162*C2162*D2162+4*G2162*D2162</f>
        <v>-8.8817841970012523E-16</v>
      </c>
      <c r="E2163" s="1">
        <f t="shared" ref="E2163" si="4782">4*E2162+2*F2162+2*G2162</f>
        <v>0</v>
      </c>
      <c r="F2163" s="1">
        <f t="shared" ref="F2163" si="4783">C2162*(D2162^2)-2*E2162+5</f>
        <v>0</v>
      </c>
      <c r="G2163" s="1">
        <f t="shared" ref="G2163" si="4784">C2162^2-2*(D2162^2)-2*E2162+7</f>
        <v>0</v>
      </c>
      <c r="J2163" s="1">
        <f t="shared" ref="J2163" si="4785">0.5*(C2163*C2163+D2163*D2163+E2163*E2163+F2163*F2163+G2163*G2163)</f>
        <v>5.4850484816148477E-31</v>
      </c>
    </row>
    <row r="2164" spans="1:10" x14ac:dyDescent="0.25">
      <c r="C2164" s="5">
        <f t="shared" ref="C2164" si="4786">2-2*G2162</f>
        <v>2.2403028091636905</v>
      </c>
      <c r="D2164" s="6">
        <f t="shared" ref="D2164" si="4787">-2*F2162*D2162</f>
        <v>2.6091774571648814</v>
      </c>
      <c r="E2164" s="6">
        <f>0</f>
        <v>0</v>
      </c>
      <c r="F2164" s="6">
        <f t="shared" ref="F2164" si="4788">-(D2162^2)</f>
        <v>-3.7358700567866143</v>
      </c>
      <c r="G2164" s="7">
        <f t="shared" ref="G2164" si="4789">-2*C2162</f>
        <v>2.2510895668861335</v>
      </c>
    </row>
    <row r="2165" spans="1:10" x14ac:dyDescent="0.25">
      <c r="C2165" s="8">
        <f t="shared" ref="C2165" si="4790">-2*F2162*D2162</f>
        <v>2.6091774571648814</v>
      </c>
      <c r="D2165" s="1">
        <f t="shared" ref="D2165" si="4791">2-2*F2162*C2162+4*G2162</f>
        <v>-4.9960036108132044E-16</v>
      </c>
      <c r="E2165" s="1">
        <f>0</f>
        <v>0</v>
      </c>
      <c r="F2165" s="1">
        <f t="shared" ref="F2165" si="4792">-2*C2162*D2162</f>
        <v>4.3509957203971439</v>
      </c>
      <c r="G2165" s="9">
        <f t="shared" ref="G2165" si="4793">4*D2162</f>
        <v>7.7313595769816468</v>
      </c>
    </row>
    <row r="2166" spans="1:10" x14ac:dyDescent="0.25">
      <c r="B2166" t="s">
        <v>20</v>
      </c>
      <c r="C2166" s="8">
        <f>0</f>
        <v>0</v>
      </c>
      <c r="D2166" s="1">
        <f>0</f>
        <v>0</v>
      </c>
      <c r="E2166" s="1">
        <f>4</f>
        <v>4</v>
      </c>
      <c r="F2166" s="1">
        <f>2</f>
        <v>2</v>
      </c>
      <c r="G2166" s="9">
        <f>2</f>
        <v>2</v>
      </c>
    </row>
    <row r="2167" spans="1:10" x14ac:dyDescent="0.25">
      <c r="C2167" s="8">
        <f t="shared" ref="C2167" si="4794">(D2162^2)</f>
        <v>3.7358700567866143</v>
      </c>
      <c r="D2167" s="1">
        <f t="shared" ref="D2167" si="4795">2*C2162*D2162</f>
        <v>-4.3509957203971439</v>
      </c>
      <c r="E2167" s="1">
        <f t="shared" ref="E2167:E2168" si="4796">-2</f>
        <v>-2</v>
      </c>
      <c r="F2167" s="1">
        <f>0</f>
        <v>0</v>
      </c>
      <c r="G2167" s="9">
        <f>0</f>
        <v>0</v>
      </c>
    </row>
    <row r="2168" spans="1:10" x14ac:dyDescent="0.25">
      <c r="C2168" s="10">
        <f t="shared" ref="C2168" si="4797">2*C2162</f>
        <v>-2.2510895668861335</v>
      </c>
      <c r="D2168" s="11">
        <f t="shared" ref="D2168" si="4798">-4*D2162</f>
        <v>-7.7313595769816468</v>
      </c>
      <c r="E2168" s="11">
        <f t="shared" si="4796"/>
        <v>-2</v>
      </c>
      <c r="F2168" s="11">
        <f>0</f>
        <v>0</v>
      </c>
      <c r="G2168" s="12">
        <f>0</f>
        <v>0</v>
      </c>
    </row>
    <row r="2169" spans="1:10" x14ac:dyDescent="0.25">
      <c r="B2169" t="s">
        <v>21</v>
      </c>
      <c r="C2169" s="1" cm="1">
        <f t="array" ref="C2169:G2169">-MMULT(C2163:G2163,C2164:G2168)</f>
        <v>1.0737972301889219E-15</v>
      </c>
      <c r="D2169" s="1">
        <v>-1.448384444138685E-15</v>
      </c>
      <c r="E2169" s="1">
        <v>0</v>
      </c>
      <c r="F2169" s="1">
        <v>5.9382849800904388E-15</v>
      </c>
      <c r="G2169" s="1">
        <v>5.6172209973917592E-15</v>
      </c>
    </row>
    <row r="2170" spans="1:10" x14ac:dyDescent="0.25">
      <c r="B2170" t="s">
        <v>13</v>
      </c>
      <c r="C2170" s="1">
        <f t="shared" ref="C2170" si="4799">J2163/SUMPRODUCT(_xlfn.ANCHORARRAY(C2169),_xlfn.ANCHORARRAY(C2169))</f>
        <v>7.828261901978455E-3</v>
      </c>
    </row>
    <row r="2171" spans="1:10" x14ac:dyDescent="0.25">
      <c r="A2171" s="1" t="s">
        <v>4</v>
      </c>
      <c r="B2171" t="s">
        <v>18</v>
      </c>
      <c r="C2171" s="1" cm="1">
        <f t="array" ref="C2171:G2171">C2162:G2162+C2170*C2169:G2169</f>
        <v>-1.1255447834430667</v>
      </c>
      <c r="D2171" s="1">
        <v>1.9328398942454117</v>
      </c>
      <c r="E2171" s="1">
        <v>0.39755547298133398</v>
      </c>
      <c r="F2171" s="1">
        <v>-0.67495954138082259</v>
      </c>
      <c r="G2171" s="1">
        <v>-0.12015140458184528</v>
      </c>
    </row>
    <row r="2172" spans="1:10" x14ac:dyDescent="0.25">
      <c r="A2172" s="1">
        <v>242</v>
      </c>
      <c r="B2172" t="s">
        <v>19</v>
      </c>
      <c r="C2172" s="1">
        <f t="shared" ref="C2172" si="4800">2*C2171-F2171*(D2171^2)-2*G2171*C2171</f>
        <v>6.106226635438361E-16</v>
      </c>
      <c r="D2172" s="1">
        <f t="shared" ref="D2172" si="4801">2*D2171-2*F2171*C2171*D2171+4*G2171*D2171</f>
        <v>0</v>
      </c>
      <c r="E2172" s="1">
        <f t="shared" ref="E2172" si="4802">4*E2171+2*F2171+2*G2171</f>
        <v>0</v>
      </c>
      <c r="F2172" s="1">
        <f t="shared" ref="F2172" si="4803">C2171*(D2171^2)-2*E2171+5</f>
        <v>0</v>
      </c>
      <c r="G2172" s="1">
        <f t="shared" ref="G2172" si="4804">C2171^2-2*(D2171^2)-2*E2171+7</f>
        <v>0</v>
      </c>
      <c r="J2172" s="1">
        <f t="shared" ref="J2172" si="4805">0.5*(C2172*C2172+D2172*D2172+E2172*E2172+F2172*F2172+G2172*G2172)</f>
        <v>1.8643001861668443E-31</v>
      </c>
    </row>
    <row r="2173" spans="1:10" x14ac:dyDescent="0.25">
      <c r="C2173" s="5">
        <f t="shared" ref="C2173" si="4806">2-2*G2171</f>
        <v>2.2403028091636905</v>
      </c>
      <c r="D2173" s="6">
        <f t="shared" ref="D2173" si="4807">-2*F2171*D2171</f>
        <v>2.6091774571648814</v>
      </c>
      <c r="E2173" s="6">
        <f>0</f>
        <v>0</v>
      </c>
      <c r="F2173" s="6">
        <f t="shared" ref="F2173" si="4808">-(D2171^2)</f>
        <v>-3.7358700567866143</v>
      </c>
      <c r="G2173" s="7">
        <f t="shared" ref="G2173" si="4809">-2*C2171</f>
        <v>2.2510895668861335</v>
      </c>
    </row>
    <row r="2174" spans="1:10" x14ac:dyDescent="0.25">
      <c r="C2174" s="8">
        <f t="shared" ref="C2174" si="4810">-2*F2171*D2171</f>
        <v>2.6091774571648814</v>
      </c>
      <c r="D2174" s="1">
        <f t="shared" ref="D2174" si="4811">2-2*F2171*C2171+4*G2171</f>
        <v>0</v>
      </c>
      <c r="E2174" s="1">
        <f>0</f>
        <v>0</v>
      </c>
      <c r="F2174" s="1">
        <f t="shared" ref="F2174" si="4812">-2*C2171*D2171</f>
        <v>4.3509957203971439</v>
      </c>
      <c r="G2174" s="9">
        <f t="shared" ref="G2174" si="4813">4*D2171</f>
        <v>7.7313595769816468</v>
      </c>
    </row>
    <row r="2175" spans="1:10" x14ac:dyDescent="0.25">
      <c r="B2175" t="s">
        <v>20</v>
      </c>
      <c r="C2175" s="8">
        <f>0</f>
        <v>0</v>
      </c>
      <c r="D2175" s="1">
        <f>0</f>
        <v>0</v>
      </c>
      <c r="E2175" s="1">
        <f>4</f>
        <v>4</v>
      </c>
      <c r="F2175" s="1">
        <f>2</f>
        <v>2</v>
      </c>
      <c r="G2175" s="9">
        <f>2</f>
        <v>2</v>
      </c>
    </row>
    <row r="2176" spans="1:10" x14ac:dyDescent="0.25">
      <c r="C2176" s="8">
        <f t="shared" ref="C2176" si="4814">(D2171^2)</f>
        <v>3.7358700567866143</v>
      </c>
      <c r="D2176" s="1">
        <f t="shared" ref="D2176" si="4815">2*C2171*D2171</f>
        <v>-4.3509957203971439</v>
      </c>
      <c r="E2176" s="1">
        <f t="shared" ref="E2176:E2177" si="4816">-2</f>
        <v>-2</v>
      </c>
      <c r="F2176" s="1">
        <f>0</f>
        <v>0</v>
      </c>
      <c r="G2176" s="9">
        <f>0</f>
        <v>0</v>
      </c>
    </row>
    <row r="2177" spans="1:10" x14ac:dyDescent="0.25">
      <c r="C2177" s="10">
        <f t="shared" ref="C2177" si="4817">2*C2171</f>
        <v>-2.2510895668861335</v>
      </c>
      <c r="D2177" s="11">
        <f t="shared" ref="D2177" si="4818">-4*D2171</f>
        <v>-7.7313595769816468</v>
      </c>
      <c r="E2177" s="11">
        <f t="shared" si="4816"/>
        <v>-2</v>
      </c>
      <c r="F2177" s="11">
        <f>0</f>
        <v>0</v>
      </c>
      <c r="G2177" s="12">
        <f>0</f>
        <v>0</v>
      </c>
    </row>
    <row r="2178" spans="1:10" x14ac:dyDescent="0.25">
      <c r="B2178" t="s">
        <v>21</v>
      </c>
      <c r="C2178" s="1" cm="1">
        <f t="array" ref="C2178:G2178">-MMULT(C2172:G2172,C2173:G2177)</f>
        <v>-1.367979668476271E-15</v>
      </c>
      <c r="D2178" s="1">
        <v>-1.5932228885525532E-15</v>
      </c>
      <c r="E2178" s="1">
        <v>0</v>
      </c>
      <c r="F2178" s="1">
        <v>2.2812069247287048E-15</v>
      </c>
      <c r="G2178" s="1">
        <v>-1.3745663072077511E-15</v>
      </c>
    </row>
    <row r="2179" spans="1:10" x14ac:dyDescent="0.25">
      <c r="B2179" t="s">
        <v>13</v>
      </c>
      <c r="C2179" s="1">
        <f t="shared" ref="C2179" si="4819">J2172/SUMPRODUCT(_xlfn.ANCHORARRAY(C2178),_xlfn.ANCHORARRAY(C2178))</f>
        <v>1.6206986294211755E-2</v>
      </c>
    </row>
    <row r="2180" spans="1:10" x14ac:dyDescent="0.25">
      <c r="A2180" s="1" t="s">
        <v>4</v>
      </c>
      <c r="B2180" t="s">
        <v>18</v>
      </c>
      <c r="C2180" s="1" cm="1">
        <f t="array" ref="C2180:G2180">C2171:G2171+C2179*C2178:G2178</f>
        <v>-1.1255447834430667</v>
      </c>
      <c r="D2180" s="1">
        <v>1.9328398942454117</v>
      </c>
      <c r="E2180" s="1">
        <v>0.39755547298133398</v>
      </c>
      <c r="F2180" s="1">
        <v>-0.67495954138082259</v>
      </c>
      <c r="G2180" s="1">
        <v>-0.12015140458184531</v>
      </c>
    </row>
    <row r="2181" spans="1:10" x14ac:dyDescent="0.25">
      <c r="A2181" s="1">
        <v>243</v>
      </c>
      <c r="B2181" t="s">
        <v>19</v>
      </c>
      <c r="C2181" s="1">
        <f t="shared" ref="C2181" si="4820">2*C2180-F2180*(D2180^2)-2*G2180*C2180</f>
        <v>5.5511151231257827E-16</v>
      </c>
      <c r="D2181" s="1">
        <f t="shared" ref="D2181" si="4821">2*D2180-2*F2180*C2180*D2180+4*G2180*D2180</f>
        <v>0</v>
      </c>
      <c r="E2181" s="1">
        <f t="shared" ref="E2181" si="4822">4*E2180+2*F2180+2*G2180</f>
        <v>0</v>
      </c>
      <c r="F2181" s="1">
        <f t="shared" ref="F2181" si="4823">C2180*(D2180^2)-2*E2180+5</f>
        <v>0</v>
      </c>
      <c r="G2181" s="1">
        <f t="shared" ref="G2181" si="4824">C2180^2-2*(D2180^2)-2*E2180+7</f>
        <v>0</v>
      </c>
      <c r="J2181" s="1">
        <f t="shared" ref="J2181" si="4825">0.5*(C2181*C2181+D2181*D2181+E2181*E2181+F2181*F2181+G2181*G2181)</f>
        <v>1.5407439555097887E-31</v>
      </c>
    </row>
    <row r="2182" spans="1:10" x14ac:dyDescent="0.25">
      <c r="C2182" s="5">
        <f t="shared" ref="C2182" si="4826">2-2*G2180</f>
        <v>2.2403028091636905</v>
      </c>
      <c r="D2182" s="6">
        <f t="shared" ref="D2182" si="4827">-2*F2180*D2180</f>
        <v>2.6091774571648814</v>
      </c>
      <c r="E2182" s="6">
        <f>0</f>
        <v>0</v>
      </c>
      <c r="F2182" s="6">
        <f t="shared" ref="F2182" si="4828">-(D2180^2)</f>
        <v>-3.7358700567866143</v>
      </c>
      <c r="G2182" s="7">
        <f t="shared" ref="G2182" si="4829">-2*C2180</f>
        <v>2.2510895668861335</v>
      </c>
    </row>
    <row r="2183" spans="1:10" x14ac:dyDescent="0.25">
      <c r="C2183" s="8">
        <f t="shared" ref="C2183" si="4830">-2*F2180*D2180</f>
        <v>2.6091774571648814</v>
      </c>
      <c r="D2183" s="1">
        <f t="shared" ref="D2183" si="4831">2-2*F2180*C2180+4*G2180</f>
        <v>-4.4408920985006262E-16</v>
      </c>
      <c r="E2183" s="1">
        <f>0</f>
        <v>0</v>
      </c>
      <c r="F2183" s="1">
        <f t="shared" ref="F2183" si="4832">-2*C2180*D2180</f>
        <v>4.3509957203971439</v>
      </c>
      <c r="G2183" s="9">
        <f t="shared" ref="G2183" si="4833">4*D2180</f>
        <v>7.7313595769816468</v>
      </c>
    </row>
    <row r="2184" spans="1:10" x14ac:dyDescent="0.25">
      <c r="B2184" t="s">
        <v>20</v>
      </c>
      <c r="C2184" s="8">
        <f>0</f>
        <v>0</v>
      </c>
      <c r="D2184" s="1">
        <f>0</f>
        <v>0</v>
      </c>
      <c r="E2184" s="1">
        <f>4</f>
        <v>4</v>
      </c>
      <c r="F2184" s="1">
        <f>2</f>
        <v>2</v>
      </c>
      <c r="G2184" s="9">
        <f>2</f>
        <v>2</v>
      </c>
    </row>
    <row r="2185" spans="1:10" x14ac:dyDescent="0.25">
      <c r="C2185" s="8">
        <f t="shared" ref="C2185" si="4834">(D2180^2)</f>
        <v>3.7358700567866143</v>
      </c>
      <c r="D2185" s="1">
        <f t="shared" ref="D2185" si="4835">2*C2180*D2180</f>
        <v>-4.3509957203971439</v>
      </c>
      <c r="E2185" s="1">
        <f t="shared" ref="E2185:E2186" si="4836">-2</f>
        <v>-2</v>
      </c>
      <c r="F2185" s="1">
        <f>0</f>
        <v>0</v>
      </c>
      <c r="G2185" s="9">
        <f>0</f>
        <v>0</v>
      </c>
    </row>
    <row r="2186" spans="1:10" x14ac:dyDescent="0.25">
      <c r="C2186" s="10">
        <f t="shared" ref="C2186" si="4837">2*C2180</f>
        <v>-2.2510895668861335</v>
      </c>
      <c r="D2186" s="11">
        <f t="shared" ref="D2186" si="4838">-4*D2180</f>
        <v>-7.7313595769816468</v>
      </c>
      <c r="E2186" s="11">
        <f t="shared" si="4836"/>
        <v>-2</v>
      </c>
      <c r="F2186" s="11">
        <f>0</f>
        <v>0</v>
      </c>
      <c r="G2186" s="12">
        <f>0</f>
        <v>0</v>
      </c>
    </row>
    <row r="2187" spans="1:10" x14ac:dyDescent="0.25">
      <c r="B2187" t="s">
        <v>21</v>
      </c>
      <c r="C2187" s="1" cm="1">
        <f t="array" ref="C2187:G2187">-MMULT(C2181:G2181,C2182:G2186)</f>
        <v>-1.2436178804329737E-15</v>
      </c>
      <c r="D2187" s="1">
        <v>-1.4483844441386847E-15</v>
      </c>
      <c r="E2187" s="1">
        <v>0</v>
      </c>
      <c r="F2187" s="1">
        <v>2.0738244770260952E-15</v>
      </c>
      <c r="G2187" s="1">
        <v>-1.2496057338252283E-15</v>
      </c>
    </row>
    <row r="2188" spans="1:10" x14ac:dyDescent="0.25">
      <c r="B2188" t="s">
        <v>13</v>
      </c>
      <c r="C2188" s="1">
        <f t="shared" ref="C2188" si="4839">J2181/SUMPRODUCT(_xlfn.ANCHORARRAY(C2187),_xlfn.ANCHORARRAY(C2187))</f>
        <v>1.6206986294211755E-2</v>
      </c>
    </row>
    <row r="2189" spans="1:10" x14ac:dyDescent="0.25">
      <c r="A2189" s="1" t="s">
        <v>4</v>
      </c>
      <c r="B2189" t="s">
        <v>18</v>
      </c>
      <c r="C2189" s="1" cm="1">
        <f t="array" ref="C2189:G2189">C2180:G2180+C2188*C2187:G2187</f>
        <v>-1.1255447834430667</v>
      </c>
      <c r="D2189" s="1">
        <v>1.9328398942454117</v>
      </c>
      <c r="E2189" s="1">
        <v>0.39755547298133398</v>
      </c>
      <c r="F2189" s="1">
        <v>-0.67495954138082259</v>
      </c>
      <c r="G2189" s="1">
        <v>-0.12015140458184533</v>
      </c>
    </row>
    <row r="2190" spans="1:10" x14ac:dyDescent="0.25">
      <c r="A2190" s="1">
        <v>244</v>
      </c>
      <c r="B2190" t="s">
        <v>19</v>
      </c>
      <c r="C2190" s="1">
        <f t="shared" ref="C2190" si="4840">2*C2189-F2189*(D2189^2)-2*G2189*C2189</f>
        <v>5.5511151231257827E-16</v>
      </c>
      <c r="D2190" s="1">
        <f t="shared" ref="D2190" si="4841">2*D2189-2*F2189*C2189*D2189+4*G2189*D2189</f>
        <v>-8.8817841970012523E-16</v>
      </c>
      <c r="E2190" s="1">
        <f t="shared" ref="E2190" si="4842">4*E2189+2*F2189+2*G2189</f>
        <v>0</v>
      </c>
      <c r="F2190" s="1">
        <f t="shared" ref="F2190" si="4843">C2189*(D2189^2)-2*E2189+5</f>
        <v>0</v>
      </c>
      <c r="G2190" s="1">
        <f t="shared" ref="G2190" si="4844">C2189^2-2*(D2189^2)-2*E2189+7</f>
        <v>0</v>
      </c>
      <c r="J2190" s="1">
        <f t="shared" ref="J2190" si="4845">0.5*(C2190*C2190+D2190*D2190+E2190*E2190+F2190*F2190+G2190*G2190)</f>
        <v>5.4850484816148477E-31</v>
      </c>
    </row>
    <row r="2191" spans="1:10" x14ac:dyDescent="0.25">
      <c r="C2191" s="5">
        <f t="shared" ref="C2191" si="4846">2-2*G2189</f>
        <v>2.2403028091636905</v>
      </c>
      <c r="D2191" s="6">
        <f t="shared" ref="D2191" si="4847">-2*F2189*D2189</f>
        <v>2.6091774571648814</v>
      </c>
      <c r="E2191" s="6">
        <f>0</f>
        <v>0</v>
      </c>
      <c r="F2191" s="6">
        <f t="shared" ref="F2191" si="4848">-(D2189^2)</f>
        <v>-3.7358700567866143</v>
      </c>
      <c r="G2191" s="7">
        <f t="shared" ref="G2191" si="4849">-2*C2189</f>
        <v>2.2510895668861335</v>
      </c>
    </row>
    <row r="2192" spans="1:10" x14ac:dyDescent="0.25">
      <c r="C2192" s="8">
        <f t="shared" ref="C2192" si="4850">-2*F2189*D2189</f>
        <v>2.6091774571648814</v>
      </c>
      <c r="D2192" s="1">
        <f t="shared" ref="D2192" si="4851">2-2*F2189*C2189+4*G2189</f>
        <v>-4.9960036108132044E-16</v>
      </c>
      <c r="E2192" s="1">
        <f>0</f>
        <v>0</v>
      </c>
      <c r="F2192" s="1">
        <f t="shared" ref="F2192" si="4852">-2*C2189*D2189</f>
        <v>4.3509957203971439</v>
      </c>
      <c r="G2192" s="9">
        <f t="shared" ref="G2192" si="4853">4*D2189</f>
        <v>7.7313595769816468</v>
      </c>
    </row>
    <row r="2193" spans="1:10" x14ac:dyDescent="0.25">
      <c r="B2193" t="s">
        <v>20</v>
      </c>
      <c r="C2193" s="8">
        <f>0</f>
        <v>0</v>
      </c>
      <c r="D2193" s="1">
        <f>0</f>
        <v>0</v>
      </c>
      <c r="E2193" s="1">
        <f>4</f>
        <v>4</v>
      </c>
      <c r="F2193" s="1">
        <f>2</f>
        <v>2</v>
      </c>
      <c r="G2193" s="9">
        <f>2</f>
        <v>2</v>
      </c>
    </row>
    <row r="2194" spans="1:10" x14ac:dyDescent="0.25">
      <c r="C2194" s="8">
        <f t="shared" ref="C2194" si="4854">(D2189^2)</f>
        <v>3.7358700567866143</v>
      </c>
      <c r="D2194" s="1">
        <f t="shared" ref="D2194" si="4855">2*C2189*D2189</f>
        <v>-4.3509957203971439</v>
      </c>
      <c r="E2194" s="1">
        <f t="shared" ref="E2194:E2195" si="4856">-2</f>
        <v>-2</v>
      </c>
      <c r="F2194" s="1">
        <f>0</f>
        <v>0</v>
      </c>
      <c r="G2194" s="9">
        <f>0</f>
        <v>0</v>
      </c>
    </row>
    <row r="2195" spans="1:10" x14ac:dyDescent="0.25">
      <c r="C2195" s="10">
        <f t="shared" ref="C2195" si="4857">2*C2189</f>
        <v>-2.2510895668861335</v>
      </c>
      <c r="D2195" s="11">
        <f t="shared" ref="D2195" si="4858">-4*D2189</f>
        <v>-7.7313595769816468</v>
      </c>
      <c r="E2195" s="11">
        <f t="shared" si="4856"/>
        <v>-2</v>
      </c>
      <c r="F2195" s="11">
        <f>0</f>
        <v>0</v>
      </c>
      <c r="G2195" s="12">
        <f>0</f>
        <v>0</v>
      </c>
    </row>
    <row r="2196" spans="1:10" x14ac:dyDescent="0.25">
      <c r="B2196" t="s">
        <v>21</v>
      </c>
      <c r="C2196" s="1" cm="1">
        <f t="array" ref="C2196:G2196">-MMULT(C2190:G2190,C2191:G2195)</f>
        <v>1.0737972301889219E-15</v>
      </c>
      <c r="D2196" s="1">
        <v>-1.448384444138685E-15</v>
      </c>
      <c r="E2196" s="1">
        <v>0</v>
      </c>
      <c r="F2196" s="1">
        <v>5.9382849800904388E-15</v>
      </c>
      <c r="G2196" s="1">
        <v>5.6172209973917592E-15</v>
      </c>
    </row>
    <row r="2197" spans="1:10" x14ac:dyDescent="0.25">
      <c r="B2197" t="s">
        <v>13</v>
      </c>
      <c r="C2197" s="1">
        <f t="shared" ref="C2197" si="4859">J2190/SUMPRODUCT(_xlfn.ANCHORARRAY(C2196),_xlfn.ANCHORARRAY(C2196))</f>
        <v>7.828261901978455E-3</v>
      </c>
    </row>
    <row r="2198" spans="1:10" x14ac:dyDescent="0.25">
      <c r="A2198" s="1" t="s">
        <v>4</v>
      </c>
      <c r="B2198" t="s">
        <v>18</v>
      </c>
      <c r="C2198" s="1" cm="1">
        <f t="array" ref="C2198:G2198">C2189:G2189+C2197*C2196:G2196</f>
        <v>-1.1255447834430667</v>
      </c>
      <c r="D2198" s="1">
        <v>1.9328398942454117</v>
      </c>
      <c r="E2198" s="1">
        <v>0.39755547298133398</v>
      </c>
      <c r="F2198" s="1">
        <v>-0.67495954138082259</v>
      </c>
      <c r="G2198" s="1">
        <v>-0.12015140458184528</v>
      </c>
    </row>
    <row r="2199" spans="1:10" x14ac:dyDescent="0.25">
      <c r="A2199" s="1">
        <v>245</v>
      </c>
      <c r="B2199" t="s">
        <v>19</v>
      </c>
      <c r="C2199" s="1">
        <f t="shared" ref="C2199" si="4860">2*C2198-F2198*(D2198^2)-2*G2198*C2198</f>
        <v>6.106226635438361E-16</v>
      </c>
      <c r="D2199" s="1">
        <f t="shared" ref="D2199" si="4861">2*D2198-2*F2198*C2198*D2198+4*G2198*D2198</f>
        <v>0</v>
      </c>
      <c r="E2199" s="1">
        <f t="shared" ref="E2199" si="4862">4*E2198+2*F2198+2*G2198</f>
        <v>0</v>
      </c>
      <c r="F2199" s="1">
        <f t="shared" ref="F2199" si="4863">C2198*(D2198^2)-2*E2198+5</f>
        <v>0</v>
      </c>
      <c r="G2199" s="1">
        <f t="shared" ref="G2199" si="4864">C2198^2-2*(D2198^2)-2*E2198+7</f>
        <v>0</v>
      </c>
      <c r="J2199" s="1">
        <f t="shared" ref="J2199" si="4865">0.5*(C2199*C2199+D2199*D2199+E2199*E2199+F2199*F2199+G2199*G2199)</f>
        <v>1.8643001861668443E-31</v>
      </c>
    </row>
    <row r="2200" spans="1:10" x14ac:dyDescent="0.25">
      <c r="C2200" s="5">
        <f t="shared" ref="C2200" si="4866">2-2*G2198</f>
        <v>2.2403028091636905</v>
      </c>
      <c r="D2200" s="6">
        <f t="shared" ref="D2200" si="4867">-2*F2198*D2198</f>
        <v>2.6091774571648814</v>
      </c>
      <c r="E2200" s="6">
        <f>0</f>
        <v>0</v>
      </c>
      <c r="F2200" s="6">
        <f t="shared" ref="F2200" si="4868">-(D2198^2)</f>
        <v>-3.7358700567866143</v>
      </c>
      <c r="G2200" s="7">
        <f t="shared" ref="G2200" si="4869">-2*C2198</f>
        <v>2.2510895668861335</v>
      </c>
    </row>
    <row r="2201" spans="1:10" x14ac:dyDescent="0.25">
      <c r="C2201" s="8">
        <f t="shared" ref="C2201" si="4870">-2*F2198*D2198</f>
        <v>2.6091774571648814</v>
      </c>
      <c r="D2201" s="1">
        <f t="shared" ref="D2201" si="4871">2-2*F2198*C2198+4*G2198</f>
        <v>0</v>
      </c>
      <c r="E2201" s="1">
        <f>0</f>
        <v>0</v>
      </c>
      <c r="F2201" s="1">
        <f t="shared" ref="F2201" si="4872">-2*C2198*D2198</f>
        <v>4.3509957203971439</v>
      </c>
      <c r="G2201" s="9">
        <f t="shared" ref="G2201" si="4873">4*D2198</f>
        <v>7.7313595769816468</v>
      </c>
    </row>
    <row r="2202" spans="1:10" x14ac:dyDescent="0.25">
      <c r="B2202" t="s">
        <v>20</v>
      </c>
      <c r="C2202" s="8">
        <f>0</f>
        <v>0</v>
      </c>
      <c r="D2202" s="1">
        <f>0</f>
        <v>0</v>
      </c>
      <c r="E2202" s="1">
        <f>4</f>
        <v>4</v>
      </c>
      <c r="F2202" s="1">
        <f>2</f>
        <v>2</v>
      </c>
      <c r="G2202" s="9">
        <f>2</f>
        <v>2</v>
      </c>
    </row>
    <row r="2203" spans="1:10" x14ac:dyDescent="0.25">
      <c r="C2203" s="8">
        <f t="shared" ref="C2203" si="4874">(D2198^2)</f>
        <v>3.7358700567866143</v>
      </c>
      <c r="D2203" s="1">
        <f t="shared" ref="D2203" si="4875">2*C2198*D2198</f>
        <v>-4.3509957203971439</v>
      </c>
      <c r="E2203" s="1">
        <f t="shared" ref="E2203:E2204" si="4876">-2</f>
        <v>-2</v>
      </c>
      <c r="F2203" s="1">
        <f>0</f>
        <v>0</v>
      </c>
      <c r="G2203" s="9">
        <f>0</f>
        <v>0</v>
      </c>
    </row>
    <row r="2204" spans="1:10" x14ac:dyDescent="0.25">
      <c r="C2204" s="10">
        <f t="shared" ref="C2204" si="4877">2*C2198</f>
        <v>-2.2510895668861335</v>
      </c>
      <c r="D2204" s="11">
        <f t="shared" ref="D2204" si="4878">-4*D2198</f>
        <v>-7.7313595769816468</v>
      </c>
      <c r="E2204" s="11">
        <f t="shared" si="4876"/>
        <v>-2</v>
      </c>
      <c r="F2204" s="11">
        <f>0</f>
        <v>0</v>
      </c>
      <c r="G2204" s="12">
        <f>0</f>
        <v>0</v>
      </c>
    </row>
    <row r="2205" spans="1:10" x14ac:dyDescent="0.25">
      <c r="B2205" t="s">
        <v>21</v>
      </c>
      <c r="C2205" s="1" cm="1">
        <f t="array" ref="C2205:G2205">-MMULT(C2199:G2199,C2200:G2204)</f>
        <v>-1.367979668476271E-15</v>
      </c>
      <c r="D2205" s="1">
        <v>-1.5932228885525532E-15</v>
      </c>
      <c r="E2205" s="1">
        <v>0</v>
      </c>
      <c r="F2205" s="1">
        <v>2.2812069247287048E-15</v>
      </c>
      <c r="G2205" s="1">
        <v>-1.3745663072077511E-15</v>
      </c>
    </row>
    <row r="2206" spans="1:10" x14ac:dyDescent="0.25">
      <c r="B2206" t="s">
        <v>13</v>
      </c>
      <c r="C2206" s="1">
        <f t="shared" ref="C2206" si="4879">J2199/SUMPRODUCT(_xlfn.ANCHORARRAY(C2205),_xlfn.ANCHORARRAY(C2205))</f>
        <v>1.6206986294211755E-2</v>
      </c>
    </row>
    <row r="2207" spans="1:10" x14ac:dyDescent="0.25">
      <c r="A2207" s="1" t="s">
        <v>4</v>
      </c>
      <c r="B2207" t="s">
        <v>18</v>
      </c>
      <c r="C2207" s="1" cm="1">
        <f t="array" ref="C2207:G2207">C2198:G2198+C2206*C2205:G2205</f>
        <v>-1.1255447834430667</v>
      </c>
      <c r="D2207" s="1">
        <v>1.9328398942454117</v>
      </c>
      <c r="E2207" s="1">
        <v>0.39755547298133398</v>
      </c>
      <c r="F2207" s="1">
        <v>-0.67495954138082259</v>
      </c>
      <c r="G2207" s="1">
        <v>-0.12015140458184531</v>
      </c>
    </row>
    <row r="2208" spans="1:10" x14ac:dyDescent="0.25">
      <c r="A2208" s="1">
        <v>246</v>
      </c>
      <c r="B2208" t="s">
        <v>19</v>
      </c>
      <c r="C2208" s="1">
        <f t="shared" ref="C2208" si="4880">2*C2207-F2207*(D2207^2)-2*G2207*C2207</f>
        <v>5.5511151231257827E-16</v>
      </c>
      <c r="D2208" s="1">
        <f t="shared" ref="D2208" si="4881">2*D2207-2*F2207*C2207*D2207+4*G2207*D2207</f>
        <v>0</v>
      </c>
      <c r="E2208" s="1">
        <f t="shared" ref="E2208" si="4882">4*E2207+2*F2207+2*G2207</f>
        <v>0</v>
      </c>
      <c r="F2208" s="1">
        <f t="shared" ref="F2208" si="4883">C2207*(D2207^2)-2*E2207+5</f>
        <v>0</v>
      </c>
      <c r="G2208" s="1">
        <f t="shared" ref="G2208" si="4884">C2207^2-2*(D2207^2)-2*E2207+7</f>
        <v>0</v>
      </c>
      <c r="J2208" s="1">
        <f t="shared" ref="J2208" si="4885">0.5*(C2208*C2208+D2208*D2208+E2208*E2208+F2208*F2208+G2208*G2208)</f>
        <v>1.5407439555097887E-31</v>
      </c>
    </row>
    <row r="2209" spans="1:10" x14ac:dyDescent="0.25">
      <c r="C2209" s="5">
        <f t="shared" ref="C2209" si="4886">2-2*G2207</f>
        <v>2.2403028091636905</v>
      </c>
      <c r="D2209" s="6">
        <f t="shared" ref="D2209" si="4887">-2*F2207*D2207</f>
        <v>2.6091774571648814</v>
      </c>
      <c r="E2209" s="6">
        <f>0</f>
        <v>0</v>
      </c>
      <c r="F2209" s="6">
        <f t="shared" ref="F2209" si="4888">-(D2207^2)</f>
        <v>-3.7358700567866143</v>
      </c>
      <c r="G2209" s="7">
        <f t="shared" ref="G2209" si="4889">-2*C2207</f>
        <v>2.2510895668861335</v>
      </c>
    </row>
    <row r="2210" spans="1:10" x14ac:dyDescent="0.25">
      <c r="C2210" s="8">
        <f t="shared" ref="C2210" si="4890">-2*F2207*D2207</f>
        <v>2.6091774571648814</v>
      </c>
      <c r="D2210" s="1">
        <f t="shared" ref="D2210" si="4891">2-2*F2207*C2207+4*G2207</f>
        <v>-4.4408920985006262E-16</v>
      </c>
      <c r="E2210" s="1">
        <f>0</f>
        <v>0</v>
      </c>
      <c r="F2210" s="1">
        <f t="shared" ref="F2210" si="4892">-2*C2207*D2207</f>
        <v>4.3509957203971439</v>
      </c>
      <c r="G2210" s="9">
        <f t="shared" ref="G2210" si="4893">4*D2207</f>
        <v>7.7313595769816468</v>
      </c>
    </row>
    <row r="2211" spans="1:10" x14ac:dyDescent="0.25">
      <c r="B2211" t="s">
        <v>20</v>
      </c>
      <c r="C2211" s="8">
        <f>0</f>
        <v>0</v>
      </c>
      <c r="D2211" s="1">
        <f>0</f>
        <v>0</v>
      </c>
      <c r="E2211" s="1">
        <f>4</f>
        <v>4</v>
      </c>
      <c r="F2211" s="1">
        <f>2</f>
        <v>2</v>
      </c>
      <c r="G2211" s="9">
        <f>2</f>
        <v>2</v>
      </c>
    </row>
    <row r="2212" spans="1:10" x14ac:dyDescent="0.25">
      <c r="C2212" s="8">
        <f t="shared" ref="C2212" si="4894">(D2207^2)</f>
        <v>3.7358700567866143</v>
      </c>
      <c r="D2212" s="1">
        <f t="shared" ref="D2212" si="4895">2*C2207*D2207</f>
        <v>-4.3509957203971439</v>
      </c>
      <c r="E2212" s="1">
        <f t="shared" ref="E2212:E2213" si="4896">-2</f>
        <v>-2</v>
      </c>
      <c r="F2212" s="1">
        <f>0</f>
        <v>0</v>
      </c>
      <c r="G2212" s="9">
        <f>0</f>
        <v>0</v>
      </c>
    </row>
    <row r="2213" spans="1:10" x14ac:dyDescent="0.25">
      <c r="C2213" s="10">
        <f t="shared" ref="C2213" si="4897">2*C2207</f>
        <v>-2.2510895668861335</v>
      </c>
      <c r="D2213" s="11">
        <f t="shared" ref="D2213" si="4898">-4*D2207</f>
        <v>-7.7313595769816468</v>
      </c>
      <c r="E2213" s="11">
        <f t="shared" si="4896"/>
        <v>-2</v>
      </c>
      <c r="F2213" s="11">
        <f>0</f>
        <v>0</v>
      </c>
      <c r="G2213" s="12">
        <f>0</f>
        <v>0</v>
      </c>
    </row>
    <row r="2214" spans="1:10" x14ac:dyDescent="0.25">
      <c r="B2214" t="s">
        <v>21</v>
      </c>
      <c r="C2214" s="1" cm="1">
        <f t="array" ref="C2214:G2214">-MMULT(C2208:G2208,C2209:G2213)</f>
        <v>-1.2436178804329737E-15</v>
      </c>
      <c r="D2214" s="1">
        <v>-1.4483844441386847E-15</v>
      </c>
      <c r="E2214" s="1">
        <v>0</v>
      </c>
      <c r="F2214" s="1">
        <v>2.0738244770260952E-15</v>
      </c>
      <c r="G2214" s="1">
        <v>-1.2496057338252283E-15</v>
      </c>
    </row>
    <row r="2215" spans="1:10" x14ac:dyDescent="0.25">
      <c r="B2215" t="s">
        <v>13</v>
      </c>
      <c r="C2215" s="1">
        <f t="shared" ref="C2215" si="4899">J2208/SUMPRODUCT(_xlfn.ANCHORARRAY(C2214),_xlfn.ANCHORARRAY(C2214))</f>
        <v>1.6206986294211755E-2</v>
      </c>
    </row>
    <row r="2216" spans="1:10" x14ac:dyDescent="0.25">
      <c r="A2216" s="1" t="s">
        <v>4</v>
      </c>
      <c r="B2216" t="s">
        <v>18</v>
      </c>
      <c r="C2216" s="1" cm="1">
        <f t="array" ref="C2216:G2216">C2207:G2207+C2215*C2214:G2214</f>
        <v>-1.1255447834430667</v>
      </c>
      <c r="D2216" s="1">
        <v>1.9328398942454117</v>
      </c>
      <c r="E2216" s="1">
        <v>0.39755547298133398</v>
      </c>
      <c r="F2216" s="1">
        <v>-0.67495954138082259</v>
      </c>
      <c r="G2216" s="1">
        <v>-0.12015140458184533</v>
      </c>
    </row>
    <row r="2217" spans="1:10" x14ac:dyDescent="0.25">
      <c r="A2217" s="1">
        <v>247</v>
      </c>
      <c r="B2217" t="s">
        <v>19</v>
      </c>
      <c r="C2217" s="1">
        <f t="shared" ref="C2217" si="4900">2*C2216-F2216*(D2216^2)-2*G2216*C2216</f>
        <v>5.5511151231257827E-16</v>
      </c>
      <c r="D2217" s="1">
        <f t="shared" ref="D2217" si="4901">2*D2216-2*F2216*C2216*D2216+4*G2216*D2216</f>
        <v>-8.8817841970012523E-16</v>
      </c>
      <c r="E2217" s="1">
        <f t="shared" ref="E2217" si="4902">4*E2216+2*F2216+2*G2216</f>
        <v>0</v>
      </c>
      <c r="F2217" s="1">
        <f t="shared" ref="F2217" si="4903">C2216*(D2216^2)-2*E2216+5</f>
        <v>0</v>
      </c>
      <c r="G2217" s="1">
        <f t="shared" ref="G2217" si="4904">C2216^2-2*(D2216^2)-2*E2216+7</f>
        <v>0</v>
      </c>
      <c r="J2217" s="1">
        <f t="shared" ref="J2217" si="4905">0.5*(C2217*C2217+D2217*D2217+E2217*E2217+F2217*F2217+G2217*G2217)</f>
        <v>5.4850484816148477E-31</v>
      </c>
    </row>
    <row r="2218" spans="1:10" x14ac:dyDescent="0.25">
      <c r="C2218" s="5">
        <f t="shared" ref="C2218" si="4906">2-2*G2216</f>
        <v>2.2403028091636905</v>
      </c>
      <c r="D2218" s="6">
        <f t="shared" ref="D2218" si="4907">-2*F2216*D2216</f>
        <v>2.6091774571648814</v>
      </c>
      <c r="E2218" s="6">
        <f>0</f>
        <v>0</v>
      </c>
      <c r="F2218" s="6">
        <f t="shared" ref="F2218" si="4908">-(D2216^2)</f>
        <v>-3.7358700567866143</v>
      </c>
      <c r="G2218" s="7">
        <f t="shared" ref="G2218" si="4909">-2*C2216</f>
        <v>2.2510895668861335</v>
      </c>
    </row>
    <row r="2219" spans="1:10" x14ac:dyDescent="0.25">
      <c r="C2219" s="8">
        <f t="shared" ref="C2219" si="4910">-2*F2216*D2216</f>
        <v>2.6091774571648814</v>
      </c>
      <c r="D2219" s="1">
        <f t="shared" ref="D2219" si="4911">2-2*F2216*C2216+4*G2216</f>
        <v>-4.9960036108132044E-16</v>
      </c>
      <c r="E2219" s="1">
        <f>0</f>
        <v>0</v>
      </c>
      <c r="F2219" s="1">
        <f t="shared" ref="F2219" si="4912">-2*C2216*D2216</f>
        <v>4.3509957203971439</v>
      </c>
      <c r="G2219" s="9">
        <f t="shared" ref="G2219" si="4913">4*D2216</f>
        <v>7.7313595769816468</v>
      </c>
    </row>
    <row r="2220" spans="1:10" x14ac:dyDescent="0.25">
      <c r="B2220" t="s">
        <v>20</v>
      </c>
      <c r="C2220" s="8">
        <f>0</f>
        <v>0</v>
      </c>
      <c r="D2220" s="1">
        <f>0</f>
        <v>0</v>
      </c>
      <c r="E2220" s="1">
        <f>4</f>
        <v>4</v>
      </c>
      <c r="F2220" s="1">
        <f>2</f>
        <v>2</v>
      </c>
      <c r="G2220" s="9">
        <f>2</f>
        <v>2</v>
      </c>
    </row>
    <row r="2221" spans="1:10" x14ac:dyDescent="0.25">
      <c r="C2221" s="8">
        <f t="shared" ref="C2221" si="4914">(D2216^2)</f>
        <v>3.7358700567866143</v>
      </c>
      <c r="D2221" s="1">
        <f t="shared" ref="D2221" si="4915">2*C2216*D2216</f>
        <v>-4.3509957203971439</v>
      </c>
      <c r="E2221" s="1">
        <f t="shared" ref="E2221:E2222" si="4916">-2</f>
        <v>-2</v>
      </c>
      <c r="F2221" s="1">
        <f>0</f>
        <v>0</v>
      </c>
      <c r="G2221" s="9">
        <f>0</f>
        <v>0</v>
      </c>
    </row>
    <row r="2222" spans="1:10" x14ac:dyDescent="0.25">
      <c r="C2222" s="10">
        <f t="shared" ref="C2222" si="4917">2*C2216</f>
        <v>-2.2510895668861335</v>
      </c>
      <c r="D2222" s="11">
        <f t="shared" ref="D2222" si="4918">-4*D2216</f>
        <v>-7.7313595769816468</v>
      </c>
      <c r="E2222" s="11">
        <f t="shared" si="4916"/>
        <v>-2</v>
      </c>
      <c r="F2222" s="11">
        <f>0</f>
        <v>0</v>
      </c>
      <c r="G2222" s="12">
        <f>0</f>
        <v>0</v>
      </c>
    </row>
    <row r="2223" spans="1:10" x14ac:dyDescent="0.25">
      <c r="B2223" t="s">
        <v>21</v>
      </c>
      <c r="C2223" s="1" cm="1">
        <f t="array" ref="C2223:G2223">-MMULT(C2217:G2217,C2218:G2222)</f>
        <v>1.0737972301889219E-15</v>
      </c>
      <c r="D2223" s="1">
        <v>-1.448384444138685E-15</v>
      </c>
      <c r="E2223" s="1">
        <v>0</v>
      </c>
      <c r="F2223" s="1">
        <v>5.9382849800904388E-15</v>
      </c>
      <c r="G2223" s="1">
        <v>5.6172209973917592E-15</v>
      </c>
    </row>
    <row r="2224" spans="1:10" x14ac:dyDescent="0.25">
      <c r="B2224" t="s">
        <v>13</v>
      </c>
      <c r="C2224" s="1">
        <f t="shared" ref="C2224" si="4919">J2217/SUMPRODUCT(_xlfn.ANCHORARRAY(C2223),_xlfn.ANCHORARRAY(C2223))</f>
        <v>7.828261901978455E-3</v>
      </c>
    </row>
    <row r="2225" spans="1:10" x14ac:dyDescent="0.25">
      <c r="A2225" s="1" t="s">
        <v>4</v>
      </c>
      <c r="B2225" t="s">
        <v>18</v>
      </c>
      <c r="C2225" s="1" cm="1">
        <f t="array" ref="C2225:G2225">C2216:G2216+C2224*C2223:G2223</f>
        <v>-1.1255447834430667</v>
      </c>
      <c r="D2225" s="1">
        <v>1.9328398942454117</v>
      </c>
      <c r="E2225" s="1">
        <v>0.39755547298133398</v>
      </c>
      <c r="F2225" s="1">
        <v>-0.67495954138082259</v>
      </c>
      <c r="G2225" s="1">
        <v>-0.12015140458184528</v>
      </c>
    </row>
    <row r="2226" spans="1:10" x14ac:dyDescent="0.25">
      <c r="A2226" s="1">
        <v>248</v>
      </c>
      <c r="B2226" t="s">
        <v>19</v>
      </c>
      <c r="C2226" s="1">
        <f t="shared" ref="C2226" si="4920">2*C2225-F2225*(D2225^2)-2*G2225*C2225</f>
        <v>6.106226635438361E-16</v>
      </c>
      <c r="D2226" s="1">
        <f t="shared" ref="D2226" si="4921">2*D2225-2*F2225*C2225*D2225+4*G2225*D2225</f>
        <v>0</v>
      </c>
      <c r="E2226" s="1">
        <f t="shared" ref="E2226" si="4922">4*E2225+2*F2225+2*G2225</f>
        <v>0</v>
      </c>
      <c r="F2226" s="1">
        <f t="shared" ref="F2226" si="4923">C2225*(D2225^2)-2*E2225+5</f>
        <v>0</v>
      </c>
      <c r="G2226" s="1">
        <f t="shared" ref="G2226" si="4924">C2225^2-2*(D2225^2)-2*E2225+7</f>
        <v>0</v>
      </c>
      <c r="J2226" s="1">
        <f t="shared" ref="J2226" si="4925">0.5*(C2226*C2226+D2226*D2226+E2226*E2226+F2226*F2226+G2226*G2226)</f>
        <v>1.8643001861668443E-31</v>
      </c>
    </row>
    <row r="2227" spans="1:10" x14ac:dyDescent="0.25">
      <c r="C2227" s="5">
        <f t="shared" ref="C2227" si="4926">2-2*G2225</f>
        <v>2.2403028091636905</v>
      </c>
      <c r="D2227" s="6">
        <f t="shared" ref="D2227" si="4927">-2*F2225*D2225</f>
        <v>2.6091774571648814</v>
      </c>
      <c r="E2227" s="6">
        <f>0</f>
        <v>0</v>
      </c>
      <c r="F2227" s="6">
        <f t="shared" ref="F2227" si="4928">-(D2225^2)</f>
        <v>-3.7358700567866143</v>
      </c>
      <c r="G2227" s="7">
        <f t="shared" ref="G2227" si="4929">-2*C2225</f>
        <v>2.2510895668861335</v>
      </c>
    </row>
    <row r="2228" spans="1:10" x14ac:dyDescent="0.25">
      <c r="C2228" s="8">
        <f t="shared" ref="C2228" si="4930">-2*F2225*D2225</f>
        <v>2.6091774571648814</v>
      </c>
      <c r="D2228" s="1">
        <f t="shared" ref="D2228" si="4931">2-2*F2225*C2225+4*G2225</f>
        <v>0</v>
      </c>
      <c r="E2228" s="1">
        <f>0</f>
        <v>0</v>
      </c>
      <c r="F2228" s="1">
        <f t="shared" ref="F2228" si="4932">-2*C2225*D2225</f>
        <v>4.3509957203971439</v>
      </c>
      <c r="G2228" s="9">
        <f t="shared" ref="G2228" si="4933">4*D2225</f>
        <v>7.7313595769816468</v>
      </c>
    </row>
    <row r="2229" spans="1:10" x14ac:dyDescent="0.25">
      <c r="B2229" t="s">
        <v>20</v>
      </c>
      <c r="C2229" s="8">
        <f>0</f>
        <v>0</v>
      </c>
      <c r="D2229" s="1">
        <f>0</f>
        <v>0</v>
      </c>
      <c r="E2229" s="1">
        <f>4</f>
        <v>4</v>
      </c>
      <c r="F2229" s="1">
        <f>2</f>
        <v>2</v>
      </c>
      <c r="G2229" s="9">
        <f>2</f>
        <v>2</v>
      </c>
    </row>
    <row r="2230" spans="1:10" x14ac:dyDescent="0.25">
      <c r="C2230" s="8">
        <f t="shared" ref="C2230" si="4934">(D2225^2)</f>
        <v>3.7358700567866143</v>
      </c>
      <c r="D2230" s="1">
        <f t="shared" ref="D2230" si="4935">2*C2225*D2225</f>
        <v>-4.3509957203971439</v>
      </c>
      <c r="E2230" s="1">
        <f t="shared" ref="E2230:E2231" si="4936">-2</f>
        <v>-2</v>
      </c>
      <c r="F2230" s="1">
        <f>0</f>
        <v>0</v>
      </c>
      <c r="G2230" s="9">
        <f>0</f>
        <v>0</v>
      </c>
    </row>
    <row r="2231" spans="1:10" x14ac:dyDescent="0.25">
      <c r="C2231" s="10">
        <f t="shared" ref="C2231" si="4937">2*C2225</f>
        <v>-2.2510895668861335</v>
      </c>
      <c r="D2231" s="11">
        <f t="shared" ref="D2231" si="4938">-4*D2225</f>
        <v>-7.7313595769816468</v>
      </c>
      <c r="E2231" s="11">
        <f t="shared" si="4936"/>
        <v>-2</v>
      </c>
      <c r="F2231" s="11">
        <f>0</f>
        <v>0</v>
      </c>
      <c r="G2231" s="12">
        <f>0</f>
        <v>0</v>
      </c>
    </row>
    <row r="2232" spans="1:10" x14ac:dyDescent="0.25">
      <c r="B2232" t="s">
        <v>21</v>
      </c>
      <c r="C2232" s="1" cm="1">
        <f t="array" ref="C2232:G2232">-MMULT(C2226:G2226,C2227:G2231)</f>
        <v>-1.367979668476271E-15</v>
      </c>
      <c r="D2232" s="1">
        <v>-1.5932228885525532E-15</v>
      </c>
      <c r="E2232" s="1">
        <v>0</v>
      </c>
      <c r="F2232" s="1">
        <v>2.2812069247287048E-15</v>
      </c>
      <c r="G2232" s="1">
        <v>-1.3745663072077511E-15</v>
      </c>
    </row>
    <row r="2233" spans="1:10" x14ac:dyDescent="0.25">
      <c r="B2233" t="s">
        <v>13</v>
      </c>
      <c r="C2233" s="1">
        <f t="shared" ref="C2233" si="4939">J2226/SUMPRODUCT(_xlfn.ANCHORARRAY(C2232),_xlfn.ANCHORARRAY(C2232))</f>
        <v>1.6206986294211755E-2</v>
      </c>
    </row>
    <row r="2234" spans="1:10" x14ac:dyDescent="0.25">
      <c r="A2234" s="1" t="s">
        <v>4</v>
      </c>
      <c r="B2234" t="s">
        <v>18</v>
      </c>
      <c r="C2234" s="1" cm="1">
        <f t="array" ref="C2234:G2234">C2225:G2225+C2233*C2232:G2232</f>
        <v>-1.1255447834430667</v>
      </c>
      <c r="D2234" s="1">
        <v>1.9328398942454117</v>
      </c>
      <c r="E2234" s="1">
        <v>0.39755547298133398</v>
      </c>
      <c r="F2234" s="1">
        <v>-0.67495954138082259</v>
      </c>
      <c r="G2234" s="1">
        <v>-0.12015140458184531</v>
      </c>
    </row>
    <row r="2235" spans="1:10" x14ac:dyDescent="0.25">
      <c r="A2235" s="1">
        <v>249</v>
      </c>
      <c r="B2235" t="s">
        <v>19</v>
      </c>
      <c r="C2235" s="1">
        <f t="shared" ref="C2235" si="4940">2*C2234-F2234*(D2234^2)-2*G2234*C2234</f>
        <v>5.5511151231257827E-16</v>
      </c>
      <c r="D2235" s="1">
        <f t="shared" ref="D2235" si="4941">2*D2234-2*F2234*C2234*D2234+4*G2234*D2234</f>
        <v>0</v>
      </c>
      <c r="E2235" s="1">
        <f t="shared" ref="E2235" si="4942">4*E2234+2*F2234+2*G2234</f>
        <v>0</v>
      </c>
      <c r="F2235" s="1">
        <f t="shared" ref="F2235" si="4943">C2234*(D2234^2)-2*E2234+5</f>
        <v>0</v>
      </c>
      <c r="G2235" s="1">
        <f t="shared" ref="G2235" si="4944">C2234^2-2*(D2234^2)-2*E2234+7</f>
        <v>0</v>
      </c>
      <c r="J2235" s="1">
        <f t="shared" ref="J2235" si="4945">0.5*(C2235*C2235+D2235*D2235+E2235*E2235+F2235*F2235+G2235*G2235)</f>
        <v>1.5407439555097887E-31</v>
      </c>
    </row>
    <row r="2236" spans="1:10" x14ac:dyDescent="0.25">
      <c r="C2236" s="5">
        <f t="shared" ref="C2236" si="4946">2-2*G2234</f>
        <v>2.2403028091636905</v>
      </c>
      <c r="D2236" s="6">
        <f t="shared" ref="D2236" si="4947">-2*F2234*D2234</f>
        <v>2.6091774571648814</v>
      </c>
      <c r="E2236" s="6">
        <f>0</f>
        <v>0</v>
      </c>
      <c r="F2236" s="6">
        <f t="shared" ref="F2236" si="4948">-(D2234^2)</f>
        <v>-3.7358700567866143</v>
      </c>
      <c r="G2236" s="7">
        <f t="shared" ref="G2236" si="4949">-2*C2234</f>
        <v>2.2510895668861335</v>
      </c>
    </row>
    <row r="2237" spans="1:10" x14ac:dyDescent="0.25">
      <c r="C2237" s="8">
        <f t="shared" ref="C2237" si="4950">-2*F2234*D2234</f>
        <v>2.6091774571648814</v>
      </c>
      <c r="D2237" s="1">
        <f t="shared" ref="D2237" si="4951">2-2*F2234*C2234+4*G2234</f>
        <v>-4.4408920985006262E-16</v>
      </c>
      <c r="E2237" s="1">
        <f>0</f>
        <v>0</v>
      </c>
      <c r="F2237" s="1">
        <f t="shared" ref="F2237" si="4952">-2*C2234*D2234</f>
        <v>4.3509957203971439</v>
      </c>
      <c r="G2237" s="9">
        <f t="shared" ref="G2237" si="4953">4*D2234</f>
        <v>7.7313595769816468</v>
      </c>
    </row>
    <row r="2238" spans="1:10" x14ac:dyDescent="0.25">
      <c r="B2238" t="s">
        <v>20</v>
      </c>
      <c r="C2238" s="8">
        <f>0</f>
        <v>0</v>
      </c>
      <c r="D2238" s="1">
        <f>0</f>
        <v>0</v>
      </c>
      <c r="E2238" s="1">
        <f>4</f>
        <v>4</v>
      </c>
      <c r="F2238" s="1">
        <f>2</f>
        <v>2</v>
      </c>
      <c r="G2238" s="9">
        <f>2</f>
        <v>2</v>
      </c>
    </row>
    <row r="2239" spans="1:10" x14ac:dyDescent="0.25">
      <c r="C2239" s="8">
        <f t="shared" ref="C2239" si="4954">(D2234^2)</f>
        <v>3.7358700567866143</v>
      </c>
      <c r="D2239" s="1">
        <f t="shared" ref="D2239" si="4955">2*C2234*D2234</f>
        <v>-4.3509957203971439</v>
      </c>
      <c r="E2239" s="1">
        <f t="shared" ref="E2239:E2240" si="4956">-2</f>
        <v>-2</v>
      </c>
      <c r="F2239" s="1">
        <f>0</f>
        <v>0</v>
      </c>
      <c r="G2239" s="9">
        <f>0</f>
        <v>0</v>
      </c>
    </row>
    <row r="2240" spans="1:10" x14ac:dyDescent="0.25">
      <c r="C2240" s="10">
        <f t="shared" ref="C2240" si="4957">2*C2234</f>
        <v>-2.2510895668861335</v>
      </c>
      <c r="D2240" s="11">
        <f t="shared" ref="D2240" si="4958">-4*D2234</f>
        <v>-7.7313595769816468</v>
      </c>
      <c r="E2240" s="11">
        <f t="shared" si="4956"/>
        <v>-2</v>
      </c>
      <c r="F2240" s="11">
        <f>0</f>
        <v>0</v>
      </c>
      <c r="G2240" s="12">
        <f>0</f>
        <v>0</v>
      </c>
    </row>
    <row r="2241" spans="1:10" x14ac:dyDescent="0.25">
      <c r="B2241" t="s">
        <v>21</v>
      </c>
      <c r="C2241" s="1" cm="1">
        <f t="array" ref="C2241:G2241">-MMULT(C2235:G2235,C2236:G2240)</f>
        <v>-1.2436178804329737E-15</v>
      </c>
      <c r="D2241" s="1">
        <v>-1.4483844441386847E-15</v>
      </c>
      <c r="E2241" s="1">
        <v>0</v>
      </c>
      <c r="F2241" s="1">
        <v>2.0738244770260952E-15</v>
      </c>
      <c r="G2241" s="1">
        <v>-1.2496057338252283E-15</v>
      </c>
    </row>
    <row r="2242" spans="1:10" x14ac:dyDescent="0.25">
      <c r="B2242" t="s">
        <v>13</v>
      </c>
      <c r="C2242" s="1">
        <f t="shared" ref="C2242" si="4959">J2235/SUMPRODUCT(_xlfn.ANCHORARRAY(C2241),_xlfn.ANCHORARRAY(C2241))</f>
        <v>1.6206986294211755E-2</v>
      </c>
    </row>
    <row r="2243" spans="1:10" x14ac:dyDescent="0.25">
      <c r="A2243" s="1" t="s">
        <v>4</v>
      </c>
      <c r="B2243" t="s">
        <v>18</v>
      </c>
      <c r="C2243" s="1" cm="1">
        <f t="array" ref="C2243:G2243">C2234:G2234+C2242*C2241:G2241</f>
        <v>-1.1255447834430667</v>
      </c>
      <c r="D2243" s="1">
        <v>1.9328398942454117</v>
      </c>
      <c r="E2243" s="1">
        <v>0.39755547298133398</v>
      </c>
      <c r="F2243" s="1">
        <v>-0.67495954138082259</v>
      </c>
      <c r="G2243" s="1">
        <v>-0.12015140458184533</v>
      </c>
    </row>
    <row r="2244" spans="1:10" x14ac:dyDescent="0.25">
      <c r="A2244" s="1">
        <v>250</v>
      </c>
      <c r="B2244" t="s">
        <v>19</v>
      </c>
      <c r="C2244" s="1">
        <f t="shared" ref="C2244" si="4960">2*C2243-F2243*(D2243^2)-2*G2243*C2243</f>
        <v>5.5511151231257827E-16</v>
      </c>
      <c r="D2244" s="1">
        <f t="shared" ref="D2244" si="4961">2*D2243-2*F2243*C2243*D2243+4*G2243*D2243</f>
        <v>-8.8817841970012523E-16</v>
      </c>
      <c r="E2244" s="1">
        <f t="shared" ref="E2244" si="4962">4*E2243+2*F2243+2*G2243</f>
        <v>0</v>
      </c>
      <c r="F2244" s="1">
        <f t="shared" ref="F2244" si="4963">C2243*(D2243^2)-2*E2243+5</f>
        <v>0</v>
      </c>
      <c r="G2244" s="1">
        <f t="shared" ref="G2244" si="4964">C2243^2-2*(D2243^2)-2*E2243+7</f>
        <v>0</v>
      </c>
      <c r="J2244" s="1">
        <f t="shared" ref="J2244" si="4965">0.5*(C2244*C2244+D2244*D2244+E2244*E2244+F2244*F2244+G2244*G2244)</f>
        <v>5.4850484816148477E-31</v>
      </c>
    </row>
    <row r="2245" spans="1:10" x14ac:dyDescent="0.25">
      <c r="C2245" s="5">
        <f t="shared" ref="C2245" si="4966">2-2*G2243</f>
        <v>2.2403028091636905</v>
      </c>
      <c r="D2245" s="6">
        <f t="shared" ref="D2245" si="4967">-2*F2243*D2243</f>
        <v>2.6091774571648814</v>
      </c>
      <c r="E2245" s="6">
        <f>0</f>
        <v>0</v>
      </c>
      <c r="F2245" s="6">
        <f t="shared" ref="F2245" si="4968">-(D2243^2)</f>
        <v>-3.7358700567866143</v>
      </c>
      <c r="G2245" s="7">
        <f t="shared" ref="G2245" si="4969">-2*C2243</f>
        <v>2.2510895668861335</v>
      </c>
    </row>
    <row r="2246" spans="1:10" x14ac:dyDescent="0.25">
      <c r="C2246" s="8">
        <f t="shared" ref="C2246" si="4970">-2*F2243*D2243</f>
        <v>2.6091774571648814</v>
      </c>
      <c r="D2246" s="1">
        <f t="shared" ref="D2246" si="4971">2-2*F2243*C2243+4*G2243</f>
        <v>-4.9960036108132044E-16</v>
      </c>
      <c r="E2246" s="1">
        <f>0</f>
        <v>0</v>
      </c>
      <c r="F2246" s="1">
        <f t="shared" ref="F2246" si="4972">-2*C2243*D2243</f>
        <v>4.3509957203971439</v>
      </c>
      <c r="G2246" s="9">
        <f t="shared" ref="G2246" si="4973">4*D2243</f>
        <v>7.7313595769816468</v>
      </c>
    </row>
    <row r="2247" spans="1:10" x14ac:dyDescent="0.25">
      <c r="B2247" t="s">
        <v>20</v>
      </c>
      <c r="C2247" s="8">
        <f>0</f>
        <v>0</v>
      </c>
      <c r="D2247" s="1">
        <f>0</f>
        <v>0</v>
      </c>
      <c r="E2247" s="1">
        <f>4</f>
        <v>4</v>
      </c>
      <c r="F2247" s="1">
        <f>2</f>
        <v>2</v>
      </c>
      <c r="G2247" s="9">
        <f>2</f>
        <v>2</v>
      </c>
    </row>
    <row r="2248" spans="1:10" x14ac:dyDescent="0.25">
      <c r="C2248" s="8">
        <f t="shared" ref="C2248" si="4974">(D2243^2)</f>
        <v>3.7358700567866143</v>
      </c>
      <c r="D2248" s="1">
        <f t="shared" ref="D2248" si="4975">2*C2243*D2243</f>
        <v>-4.3509957203971439</v>
      </c>
      <c r="E2248" s="1">
        <f t="shared" ref="E2248:E2249" si="4976">-2</f>
        <v>-2</v>
      </c>
      <c r="F2248" s="1">
        <f>0</f>
        <v>0</v>
      </c>
      <c r="G2248" s="9">
        <f>0</f>
        <v>0</v>
      </c>
    </row>
    <row r="2249" spans="1:10" x14ac:dyDescent="0.25">
      <c r="C2249" s="10">
        <f t="shared" ref="C2249" si="4977">2*C2243</f>
        <v>-2.2510895668861335</v>
      </c>
      <c r="D2249" s="11">
        <f t="shared" ref="D2249" si="4978">-4*D2243</f>
        <v>-7.7313595769816468</v>
      </c>
      <c r="E2249" s="11">
        <f t="shared" si="4976"/>
        <v>-2</v>
      </c>
      <c r="F2249" s="11">
        <f>0</f>
        <v>0</v>
      </c>
      <c r="G2249" s="12">
        <f>0</f>
        <v>0</v>
      </c>
    </row>
    <row r="2250" spans="1:10" x14ac:dyDescent="0.25">
      <c r="B2250" t="s">
        <v>21</v>
      </c>
      <c r="C2250" s="1" cm="1">
        <f t="array" ref="C2250:G2250">-MMULT(C2244:G2244,C2245:G2249)</f>
        <v>1.0737972301889219E-15</v>
      </c>
      <c r="D2250" s="1">
        <v>-1.448384444138685E-15</v>
      </c>
      <c r="E2250" s="1">
        <v>0</v>
      </c>
      <c r="F2250" s="1">
        <v>5.9382849800904388E-15</v>
      </c>
      <c r="G2250" s="1">
        <v>5.6172209973917592E-15</v>
      </c>
    </row>
    <row r="2251" spans="1:10" x14ac:dyDescent="0.25">
      <c r="B2251" t="s">
        <v>13</v>
      </c>
      <c r="C2251" s="1">
        <f t="shared" ref="C2251" si="4979">J2244/SUMPRODUCT(_xlfn.ANCHORARRAY(C2250),_xlfn.ANCHORARRAY(C2250))</f>
        <v>7.828261901978455E-3</v>
      </c>
    </row>
    <row r="2252" spans="1:10" x14ac:dyDescent="0.25">
      <c r="A2252" s="1" t="s">
        <v>4</v>
      </c>
      <c r="B2252" t="s">
        <v>18</v>
      </c>
      <c r="C2252" s="1" cm="1">
        <f t="array" ref="C2252:G2252">C2243:G2243+C2251*C2250:G2250</f>
        <v>-1.1255447834430667</v>
      </c>
      <c r="D2252" s="1">
        <v>1.9328398942454117</v>
      </c>
      <c r="E2252" s="1">
        <v>0.39755547298133398</v>
      </c>
      <c r="F2252" s="1">
        <v>-0.67495954138082259</v>
      </c>
      <c r="G2252" s="1">
        <v>-0.12015140458184528</v>
      </c>
    </row>
  </sheetData>
  <phoneticPr fontId="5" type="noConversion"/>
  <pageMargins left="0.75" right="0.75" top="1" bottom="1" header="0.5" footer="0.5"/>
  <drawing r:id="rId1"/>
  <legacyDrawing r:id="rId2"/>
  <oleObjects>
    <mc:AlternateContent xmlns:mc="http://schemas.openxmlformats.org/markup-compatibility/2006">
      <mc:Choice Requires="x14">
        <oleObject progId="Equation.DSMT4" shapeId="5124" r:id="rId3">
          <objectPr defaultSize="0" altText="" r:id="rId4">
            <anchor moveWithCells="1">
              <from>
                <xdr:col>10</xdr:col>
                <xdr:colOff>0</xdr:colOff>
                <xdr:row>17</xdr:row>
                <xdr:rowOff>31750</xdr:rowOff>
              </from>
              <to>
                <xdr:col>19</xdr:col>
                <xdr:colOff>57150</xdr:colOff>
                <xdr:row>27</xdr:row>
                <xdr:rowOff>88900</xdr:rowOff>
              </to>
            </anchor>
          </objectPr>
        </oleObject>
      </mc:Choice>
      <mc:Fallback>
        <oleObject progId="Equation.DSMT4" shapeId="5124" r:id="rId3"/>
      </mc:Fallback>
    </mc:AlternateContent>
    <mc:AlternateContent xmlns:mc="http://schemas.openxmlformats.org/markup-compatibility/2006">
      <mc:Choice Requires="x14">
        <oleObject progId="Equation.DSMT4" shapeId="5125" r:id="rId5">
          <objectPr defaultSize="0" altText="" r:id="rId6">
            <anchor moveWithCells="1" sizeWithCells="1">
              <from>
                <xdr:col>10</xdr:col>
                <xdr:colOff>0</xdr:colOff>
                <xdr:row>0</xdr:row>
                <xdr:rowOff>12700</xdr:rowOff>
              </from>
              <to>
                <xdr:col>16</xdr:col>
                <xdr:colOff>355600</xdr:colOff>
                <xdr:row>17</xdr:row>
                <xdr:rowOff>57150</xdr:rowOff>
              </to>
            </anchor>
          </objectPr>
        </oleObject>
      </mc:Choice>
      <mc:Fallback>
        <oleObject progId="Equation.DSMT4" shapeId="5125" r:id="rId5"/>
      </mc:Fallback>
    </mc:AlternateContent>
    <mc:AlternateContent xmlns:mc="http://schemas.openxmlformats.org/markup-compatibility/2006">
      <mc:Choice Requires="x14">
        <oleObject progId="Equation.DSMT4" shapeId="5126" r:id="rId7">
          <objectPr defaultSize="0" altText="" r:id="rId8">
            <anchor moveWithCells="1">
              <from>
                <xdr:col>10</xdr:col>
                <xdr:colOff>165100</xdr:colOff>
                <xdr:row>28</xdr:row>
                <xdr:rowOff>38100</xdr:rowOff>
              </from>
              <to>
                <xdr:col>15</xdr:col>
                <xdr:colOff>450850</xdr:colOff>
                <xdr:row>39</xdr:row>
                <xdr:rowOff>31750</xdr:rowOff>
              </to>
            </anchor>
          </objectPr>
        </oleObject>
      </mc:Choice>
      <mc:Fallback>
        <oleObject progId="Equation.DSMT4" shapeId="5126" r:id="rId7"/>
      </mc:Fallback>
    </mc:AlternateContent>
    <mc:AlternateContent xmlns:mc="http://schemas.openxmlformats.org/markup-compatibility/2006">
      <mc:Choice Requires="x14">
        <oleObject progId="Equation.DSMT4" shapeId="5127" r:id="rId9">
          <objectPr defaultSize="0" altText="" r:id="rId10">
            <anchor moveWithCells="1">
              <from>
                <xdr:col>15</xdr:col>
                <xdr:colOff>393700</xdr:colOff>
                <xdr:row>27</xdr:row>
                <xdr:rowOff>95250</xdr:rowOff>
              </from>
              <to>
                <xdr:col>21</xdr:col>
                <xdr:colOff>0</xdr:colOff>
                <xdr:row>39</xdr:row>
                <xdr:rowOff>107950</xdr:rowOff>
              </to>
            </anchor>
          </objectPr>
        </oleObject>
      </mc:Choice>
      <mc:Fallback>
        <oleObject progId="Equation.DSMT4" shapeId="5127" r:id="rId9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DB6EC-26B7-4BE9-B155-0884C57F3750}">
  <dimension ref="A1:I843"/>
  <sheetViews>
    <sheetView tabSelected="1" topLeftCell="A91" workbookViewId="0">
      <selection activeCell="C16" sqref="C16"/>
    </sheetView>
  </sheetViews>
  <sheetFormatPr defaultRowHeight="14" x14ac:dyDescent="0.25"/>
  <cols>
    <col min="1" max="1" width="8.7265625" style="1"/>
    <col min="2" max="2" width="10.453125" style="1" customWidth="1"/>
    <col min="3" max="16384" width="8.7265625" style="1"/>
  </cols>
  <sheetData>
    <row r="1" spans="1:9" x14ac:dyDescent="0.25">
      <c r="C1" s="1" t="s">
        <v>0</v>
      </c>
      <c r="D1" s="1" t="s">
        <v>1</v>
      </c>
      <c r="E1" s="1" t="s">
        <v>2</v>
      </c>
      <c r="F1" s="1" t="s">
        <v>14</v>
      </c>
      <c r="G1" s="1" t="s">
        <v>15</v>
      </c>
      <c r="I1" s="15" t="s">
        <v>3</v>
      </c>
    </row>
    <row r="2" spans="1:9" x14ac:dyDescent="0.25">
      <c r="A2" s="1" t="s">
        <v>4</v>
      </c>
      <c r="B2" s="1" t="s">
        <v>18</v>
      </c>
      <c r="C2" s="3">
        <v>1</v>
      </c>
      <c r="D2" s="3">
        <v>1</v>
      </c>
      <c r="E2" s="3">
        <v>1</v>
      </c>
      <c r="F2" s="4">
        <v>1</v>
      </c>
      <c r="G2" s="4">
        <v>1</v>
      </c>
    </row>
    <row r="3" spans="1:9" x14ac:dyDescent="0.25">
      <c r="A3" s="1">
        <v>1</v>
      </c>
      <c r="B3" s="1" t="s">
        <v>19</v>
      </c>
      <c r="C3" s="1">
        <f>2*C2-F2*(D2^2)-2*G2*C2</f>
        <v>-1</v>
      </c>
      <c r="D3" s="1">
        <f>2*D2-2*F2*C2*D2+4*G2*D2</f>
        <v>4</v>
      </c>
      <c r="E3" s="1">
        <f>4*E2+2*F2+2*G2</f>
        <v>8</v>
      </c>
      <c r="F3" s="1">
        <f>C2*(D2^2)-2*E2+5</f>
        <v>4</v>
      </c>
      <c r="G3" s="1">
        <f>C2^2-2*(D2^2)-2*E2+7</f>
        <v>4</v>
      </c>
      <c r="I3" s="1">
        <f>MAX(ABS(C3),ABS(D3),ABS(E3),ABS(F3),ABS(G3))</f>
        <v>8</v>
      </c>
    </row>
    <row r="4" spans="1:9" x14ac:dyDescent="0.25">
      <c r="C4" s="5">
        <f>2-2*G2</f>
        <v>0</v>
      </c>
      <c r="D4" s="6">
        <f>-2*F2*D2</f>
        <v>-2</v>
      </c>
      <c r="E4" s="6">
        <f>0</f>
        <v>0</v>
      </c>
      <c r="F4" s="6">
        <f>-(D2^2)</f>
        <v>-1</v>
      </c>
      <c r="G4" s="7">
        <f>-2*C2</f>
        <v>-2</v>
      </c>
    </row>
    <row r="5" spans="1:9" x14ac:dyDescent="0.25">
      <c r="C5" s="8">
        <f>-2*F2*D2</f>
        <v>-2</v>
      </c>
      <c r="D5" s="1">
        <f>2-2*F2*C2+4*G2</f>
        <v>4</v>
      </c>
      <c r="E5" s="1">
        <f>0</f>
        <v>0</v>
      </c>
      <c r="F5" s="1">
        <f>-2*C2*D2</f>
        <v>-2</v>
      </c>
      <c r="G5" s="9">
        <f>4*D2</f>
        <v>4</v>
      </c>
    </row>
    <row r="6" spans="1:9" x14ac:dyDescent="0.25">
      <c r="B6" s="1" t="s">
        <v>20</v>
      </c>
      <c r="C6" s="8">
        <f>0</f>
        <v>0</v>
      </c>
      <c r="D6" s="1">
        <f>0</f>
        <v>0</v>
      </c>
      <c r="E6" s="1">
        <f>4</f>
        <v>4</v>
      </c>
      <c r="F6" s="1">
        <f>2</f>
        <v>2</v>
      </c>
      <c r="G6" s="9">
        <f>2</f>
        <v>2</v>
      </c>
    </row>
    <row r="7" spans="1:9" x14ac:dyDescent="0.25">
      <c r="C7" s="8">
        <f>(D2^2)</f>
        <v>1</v>
      </c>
      <c r="D7" s="1">
        <f>2*C2*D2</f>
        <v>2</v>
      </c>
      <c r="E7" s="1">
        <f>-2</f>
        <v>-2</v>
      </c>
      <c r="F7" s="1">
        <f>0</f>
        <v>0</v>
      </c>
      <c r="G7" s="9">
        <f>0</f>
        <v>0</v>
      </c>
    </row>
    <row r="8" spans="1:9" x14ac:dyDescent="0.25">
      <c r="C8" s="10">
        <f>2*C2</f>
        <v>2</v>
      </c>
      <c r="D8" s="11">
        <f>-4*D2</f>
        <v>-4</v>
      </c>
      <c r="E8" s="11">
        <f>-2</f>
        <v>-2</v>
      </c>
      <c r="F8" s="11">
        <f>0</f>
        <v>0</v>
      </c>
      <c r="G8" s="12">
        <f>0</f>
        <v>0</v>
      </c>
    </row>
    <row r="10" spans="1:9" x14ac:dyDescent="0.25">
      <c r="C10" s="5" cm="1">
        <f t="array" ref="C10:G14">MINVERSE(C4:G8)</f>
        <v>0.81818181818181801</v>
      </c>
      <c r="D10" s="6">
        <v>0.13636363636363641</v>
      </c>
      <c r="E10" s="6">
        <v>0.54545454545454541</v>
      </c>
      <c r="F10" s="6">
        <v>0.90909090909090895</v>
      </c>
      <c r="G10" s="7">
        <v>0.18181818181818185</v>
      </c>
    </row>
    <row r="11" spans="1:9" x14ac:dyDescent="0.25">
      <c r="C11" s="8">
        <v>0.13636363636363635</v>
      </c>
      <c r="D11" s="36">
        <v>2.2727272727272749E-2</v>
      </c>
      <c r="E11" s="36">
        <v>9.0909090909090912E-2</v>
      </c>
      <c r="F11" s="36">
        <v>0.31818181818181818</v>
      </c>
      <c r="G11" s="9">
        <v>-0.13636363636363635</v>
      </c>
    </row>
    <row r="12" spans="1:9" x14ac:dyDescent="0.25">
      <c r="B12" s="37" t="s">
        <v>22</v>
      </c>
      <c r="C12" s="8">
        <v>0.54545454545454541</v>
      </c>
      <c r="D12" s="36">
        <v>9.0909090909090912E-2</v>
      </c>
      <c r="E12" s="36">
        <v>0.36363636363636365</v>
      </c>
      <c r="F12" s="36">
        <v>0.27272727272727271</v>
      </c>
      <c r="G12" s="9">
        <v>-4.5454545454545456E-2</v>
      </c>
    </row>
    <row r="13" spans="1:9" x14ac:dyDescent="0.25">
      <c r="C13" s="8">
        <v>-0.90909090909090906</v>
      </c>
      <c r="D13" s="36">
        <v>-0.31818181818181818</v>
      </c>
      <c r="E13" s="36">
        <v>-0.27272727272727271</v>
      </c>
      <c r="F13" s="36">
        <v>-0.45454545454545453</v>
      </c>
      <c r="G13" s="9">
        <v>-9.0909090909090912E-2</v>
      </c>
    </row>
    <row r="14" spans="1:9" x14ac:dyDescent="0.25">
      <c r="C14" s="10">
        <v>-0.18181818181818182</v>
      </c>
      <c r="D14" s="11">
        <v>0.13636363636363635</v>
      </c>
      <c r="E14" s="11">
        <v>4.5454545454545456E-2</v>
      </c>
      <c r="F14" s="11">
        <v>-9.0909090909090912E-2</v>
      </c>
      <c r="G14" s="12">
        <v>0.18181818181818182</v>
      </c>
    </row>
    <row r="15" spans="1:9" x14ac:dyDescent="0.25">
      <c r="B15" s="37" t="s">
        <v>23</v>
      </c>
      <c r="C15" s="1" cm="1">
        <f t="array" ref="C15:G15">-TRANSPOSE(MMULT(C10:G14,TRANSPOSE(C3:G3)))</f>
        <v>-8.4545454545454533</v>
      </c>
      <c r="D15" s="1">
        <v>-1.4090909090909092</v>
      </c>
      <c r="E15" s="1">
        <v>-3.6363636363636367</v>
      </c>
      <c r="F15" s="1">
        <v>4.7272727272727266</v>
      </c>
      <c r="G15" s="1">
        <v>-1.4545454545454546</v>
      </c>
    </row>
    <row r="16" spans="1:9" x14ac:dyDescent="0.25">
      <c r="A16" s="1" t="s">
        <v>4</v>
      </c>
      <c r="B16" s="1" t="s">
        <v>18</v>
      </c>
      <c r="C16" s="1" cm="1">
        <f t="array" ref="C16:G16">C2:G2+C15:G15</f>
        <v>-7.4545454545454533</v>
      </c>
      <c r="D16" s="1">
        <v>-0.40909090909090917</v>
      </c>
      <c r="E16" s="1">
        <v>-2.6363636363636367</v>
      </c>
      <c r="F16" s="1">
        <v>5.7272727272727266</v>
      </c>
      <c r="G16" s="1">
        <v>-0.45454545454545459</v>
      </c>
    </row>
    <row r="17" spans="1:9" x14ac:dyDescent="0.25">
      <c r="A17" s="1">
        <v>2</v>
      </c>
      <c r="B17" s="1" t="s">
        <v>19</v>
      </c>
      <c r="C17" s="1">
        <f t="shared" ref="C17:C80" si="0">2*C16-F16*(D16^2)-2*G16*C16</f>
        <v>-22.644440270473325</v>
      </c>
      <c r="D17" s="1">
        <f t="shared" ref="D17:D80" si="1">2*D16-2*F16*C16*D16+4*G16*D16</f>
        <v>-35.006010518407209</v>
      </c>
      <c r="E17" s="1">
        <f t="shared" ref="E17:E80" si="2">4*E16+2*F16+2*G16</f>
        <v>-2.6645352591003757E-15</v>
      </c>
      <c r="F17" s="1">
        <f t="shared" ref="F17:F80" si="3">C16*(D16^2)-2*E16+5</f>
        <v>9.0251690458302036</v>
      </c>
      <c r="G17" s="1">
        <f t="shared" ref="G17:G80" si="4">C16^2-2*(D16^2)-2*E16+7</f>
        <v>67.508264462809905</v>
      </c>
      <c r="I17" s="1">
        <f t="shared" ref="I17:I80" si="5">MAX(ABS(C17),ABS(D17),ABS(E17),ABS(F17),ABS(G17))</f>
        <v>67.508264462809905</v>
      </c>
    </row>
    <row r="18" spans="1:9" x14ac:dyDescent="0.25">
      <c r="C18" s="5">
        <f t="shared" ref="C18" si="6">2-2*G16</f>
        <v>2.9090909090909092</v>
      </c>
      <c r="D18" s="6">
        <f t="shared" ref="D18" si="7">-2*F16*D16</f>
        <v>4.6859504132231411</v>
      </c>
      <c r="E18" s="6">
        <f>0</f>
        <v>0</v>
      </c>
      <c r="F18" s="6">
        <f t="shared" ref="F18" si="8">-(D16^2)</f>
        <v>-0.1673553719008265</v>
      </c>
      <c r="G18" s="7">
        <f t="shared" ref="G18" si="9">-2*C16</f>
        <v>14.909090909090907</v>
      </c>
    </row>
    <row r="19" spans="1:9" x14ac:dyDescent="0.25">
      <c r="C19" s="8">
        <f t="shared" ref="C19" si="10">-2*F16*D16</f>
        <v>4.6859504132231411</v>
      </c>
      <c r="D19" s="1">
        <f t="shared" ref="D19" si="11">2-2*F16*C16+4*G16</f>
        <v>85.570247933884275</v>
      </c>
      <c r="E19" s="1">
        <f>0</f>
        <v>0</v>
      </c>
      <c r="F19" s="1">
        <f t="shared" ref="F19" si="12">-2*C16*D16</f>
        <v>-6.0991735537190088</v>
      </c>
      <c r="G19" s="9">
        <f t="shared" ref="G19" si="13">4*D16</f>
        <v>-1.6363636363636367</v>
      </c>
    </row>
    <row r="20" spans="1:9" x14ac:dyDescent="0.25">
      <c r="B20" s="1" t="s">
        <v>20</v>
      </c>
      <c r="C20" s="8">
        <f>0</f>
        <v>0</v>
      </c>
      <c r="D20" s="1">
        <f>0</f>
        <v>0</v>
      </c>
      <c r="E20" s="1">
        <f>4</f>
        <v>4</v>
      </c>
      <c r="F20" s="1">
        <f>2</f>
        <v>2</v>
      </c>
      <c r="G20" s="9">
        <f>2</f>
        <v>2</v>
      </c>
    </row>
    <row r="21" spans="1:9" x14ac:dyDescent="0.25">
      <c r="C21" s="8">
        <f t="shared" ref="C21" si="14">(D16^2)</f>
        <v>0.1673553719008265</v>
      </c>
      <c r="D21" s="1">
        <f t="shared" ref="D21" si="15">2*C16*D16</f>
        <v>6.0991735537190088</v>
      </c>
      <c r="E21" s="1">
        <f t="shared" ref="E21:E84" si="16">-2</f>
        <v>-2</v>
      </c>
      <c r="F21" s="1">
        <f>0</f>
        <v>0</v>
      </c>
      <c r="G21" s="9">
        <f>0</f>
        <v>0</v>
      </c>
    </row>
    <row r="22" spans="1:9" x14ac:dyDescent="0.25">
      <c r="C22" s="10">
        <f t="shared" ref="C22" si="17">2*C16</f>
        <v>-14.909090909090907</v>
      </c>
      <c r="D22" s="11">
        <f t="shared" ref="D22" si="18">-4*D16</f>
        <v>1.6363636363636367</v>
      </c>
      <c r="E22" s="11">
        <f t="shared" si="16"/>
        <v>-2</v>
      </c>
      <c r="F22" s="11">
        <f>0</f>
        <v>0</v>
      </c>
      <c r="G22" s="12">
        <f>0</f>
        <v>0</v>
      </c>
    </row>
    <row r="24" spans="1:9" x14ac:dyDescent="0.25">
      <c r="C24" s="5" cm="1">
        <f t="array" ref="C24:G28">MINVERSE(C18:G22)</f>
        <v>7.3233471515595243E-4</v>
      </c>
      <c r="D24" s="6">
        <v>-2.4740029705986031E-3</v>
      </c>
      <c r="E24" s="6">
        <v>-7.4834066707432307E-3</v>
      </c>
      <c r="F24" s="6">
        <v>5.215559632536821E-2</v>
      </c>
      <c r="G24" s="7">
        <v>-6.7122409666854677E-2</v>
      </c>
    </row>
    <row r="25" spans="1:9" x14ac:dyDescent="0.25">
      <c r="C25" s="8">
        <v>-2.4740029705986035E-3</v>
      </c>
      <c r="D25" s="36">
        <v>8.3577776279898184E-3</v>
      </c>
      <c r="E25" s="36">
        <v>2.5280749294635804E-2</v>
      </c>
      <c r="F25" s="36">
        <v>4.7879913710087145E-2</v>
      </c>
      <c r="G25" s="9">
        <v>2.6815848791844708E-3</v>
      </c>
    </row>
    <row r="26" spans="1:9" x14ac:dyDescent="0.25">
      <c r="B26" s="37" t="s">
        <v>22</v>
      </c>
      <c r="C26" s="8">
        <v>-7.4834066707432298E-3</v>
      </c>
      <c r="D26" s="36">
        <v>2.5280749294635804E-2</v>
      </c>
      <c r="E26" s="36">
        <v>7.6469644604787917E-2</v>
      </c>
      <c r="F26" s="36">
        <v>-0.34962178866267346</v>
      </c>
      <c r="G26" s="9">
        <v>2.5610778722493059E-3</v>
      </c>
    </row>
    <row r="27" spans="1:9" x14ac:dyDescent="0.25">
      <c r="C27" s="8">
        <v>-5.2155596325368203E-2</v>
      </c>
      <c r="D27" s="36">
        <v>-4.7879913710087138E-2</v>
      </c>
      <c r="E27" s="36">
        <v>0.34962178866267346</v>
      </c>
      <c r="F27" s="36">
        <v>0.71642707659316152</v>
      </c>
      <c r="G27" s="9">
        <v>-1.7183499267814581E-2</v>
      </c>
    </row>
    <row r="28" spans="1:9" x14ac:dyDescent="0.25">
      <c r="C28" s="10">
        <v>6.7122409666854663E-2</v>
      </c>
      <c r="D28" s="11">
        <v>-2.6815848791844703E-3</v>
      </c>
      <c r="E28" s="11">
        <v>-2.5610778722493068E-3</v>
      </c>
      <c r="F28" s="11">
        <v>-1.7183499267814581E-2</v>
      </c>
      <c r="G28" s="12">
        <v>1.2061343523315969E-2</v>
      </c>
    </row>
    <row r="29" spans="1:9" x14ac:dyDescent="0.25">
      <c r="B29" s="37" t="s">
        <v>23</v>
      </c>
      <c r="C29" s="1" cm="1">
        <f t="array" ref="C29:G29">-TRANSPOSE(MMULT(C24:G28,TRANSPOSE(C17:G17)))</f>
        <v>3.9905826453525624</v>
      </c>
      <c r="D29" s="1">
        <v>-0.37660341727753066</v>
      </c>
      <c r="E29" s="1">
        <v>3.6980224428224231</v>
      </c>
      <c r="F29" s="1">
        <v>-8.1629663110115569</v>
      </c>
      <c r="G29" s="1">
        <v>0.7669214253667106</v>
      </c>
    </row>
    <row r="30" spans="1:9" x14ac:dyDescent="0.25">
      <c r="A30" s="1" t="s">
        <v>4</v>
      </c>
      <c r="B30" s="1" t="s">
        <v>18</v>
      </c>
      <c r="C30" s="1" cm="1">
        <f t="array" ref="C30:G30">C16:G16+C29:G29</f>
        <v>-3.4639628091928909</v>
      </c>
      <c r="D30" s="1">
        <v>-0.78569432636843983</v>
      </c>
      <c r="E30" s="1">
        <v>1.0616588064587864</v>
      </c>
      <c r="F30" s="1">
        <v>-2.4356935837388303</v>
      </c>
      <c r="G30" s="1">
        <v>0.31237597082125601</v>
      </c>
    </row>
    <row r="31" spans="1:9" x14ac:dyDescent="0.25">
      <c r="A31" s="1">
        <v>3</v>
      </c>
      <c r="B31" s="1" t="s">
        <v>19</v>
      </c>
      <c r="C31" s="1">
        <f t="shared" ref="C31:C94" si="19">2*C30-F30*(D30^2)-2*G30*C30</f>
        <v>-3.2602165436436814</v>
      </c>
      <c r="D31" s="1">
        <f t="shared" ref="D31:D94" si="20">2*D30-2*F30*C30*D30+4*G30*D30</f>
        <v>10.70492813178913</v>
      </c>
      <c r="E31" s="1">
        <f t="shared" ref="E31:E94" si="21">4*E30+2*F30+2*G30</f>
        <v>-2.886579864025407E-15</v>
      </c>
      <c r="F31" s="1">
        <f t="shared" ref="F31:F94" si="22">C30*(D30^2)-2*E30+5</f>
        <v>0.73832419552198836</v>
      </c>
      <c r="G31" s="1">
        <f t="shared" ref="G31:G94" si="23">C30^2-2*(D30^2)-2*E30+7</f>
        <v>15.641089581578818</v>
      </c>
      <c r="I31" s="1">
        <f t="shared" ref="I31:I94" si="24">MAX(ABS(C31),ABS(D31),ABS(E31),ABS(F31),ABS(G31))</f>
        <v>15.641089581578818</v>
      </c>
    </row>
    <row r="32" spans="1:9" x14ac:dyDescent="0.25">
      <c r="C32" s="5">
        <f t="shared" ref="C32" si="25">2-2*G30</f>
        <v>1.375248058357488</v>
      </c>
      <c r="D32" s="6">
        <f t="shared" ref="D32" si="26">-2*F30*D30</f>
        <v>-3.8274212590312229</v>
      </c>
      <c r="E32" s="6">
        <f>0</f>
        <v>0</v>
      </c>
      <c r="F32" s="6">
        <f t="shared" ref="F32" si="27">-(D30^2)</f>
        <v>-0.61731557448755647</v>
      </c>
      <c r="G32" s="7">
        <f t="shared" ref="G32" si="28">-2*C30</f>
        <v>6.9279256183857818</v>
      </c>
    </row>
    <row r="33" spans="1:9" x14ac:dyDescent="0.25">
      <c r="C33" s="8">
        <f t="shared" ref="C33" si="29">-2*F30*D30</f>
        <v>-3.8274212590312229</v>
      </c>
      <c r="D33" s="1">
        <f t="shared" ref="D33" si="30">2-2*F30*C30+4*G30</f>
        <v>-13.624800094037093</v>
      </c>
      <c r="E33" s="1">
        <f>0</f>
        <v>0</v>
      </c>
      <c r="F33" s="1">
        <f t="shared" ref="F33" si="31">-2*C30*D30</f>
        <v>-5.4432318518682736</v>
      </c>
      <c r="G33" s="9">
        <f t="shared" ref="G33" si="32">4*D30</f>
        <v>-3.1427773054737593</v>
      </c>
    </row>
    <row r="34" spans="1:9" x14ac:dyDescent="0.25">
      <c r="B34" s="1" t="s">
        <v>20</v>
      </c>
      <c r="C34" s="8">
        <f>0</f>
        <v>0</v>
      </c>
      <c r="D34" s="1">
        <f>0</f>
        <v>0</v>
      </c>
      <c r="E34" s="1">
        <f>4</f>
        <v>4</v>
      </c>
      <c r="F34" s="1">
        <f>2</f>
        <v>2</v>
      </c>
      <c r="G34" s="9">
        <f>2</f>
        <v>2</v>
      </c>
    </row>
    <row r="35" spans="1:9" x14ac:dyDescent="0.25">
      <c r="C35" s="8">
        <f t="shared" ref="C35" si="33">(D30^2)</f>
        <v>0.61731557448755647</v>
      </c>
      <c r="D35" s="1">
        <f t="shared" ref="D35" si="34">2*C30*D30</f>
        <v>5.4432318518682736</v>
      </c>
      <c r="E35" s="1">
        <f t="shared" ref="E35:E98" si="35">-2</f>
        <v>-2</v>
      </c>
      <c r="F35" s="1">
        <f>0</f>
        <v>0</v>
      </c>
      <c r="G35" s="9">
        <f>0</f>
        <v>0</v>
      </c>
    </row>
    <row r="36" spans="1:9" x14ac:dyDescent="0.25">
      <c r="C36" s="10">
        <f t="shared" ref="C36" si="36">2*C30</f>
        <v>-6.9279256183857818</v>
      </c>
      <c r="D36" s="11">
        <f t="shared" ref="D36" si="37">-4*D30</f>
        <v>3.1427773054737593</v>
      </c>
      <c r="E36" s="11">
        <f t="shared" si="35"/>
        <v>-2</v>
      </c>
      <c r="F36" s="11">
        <f>0</f>
        <v>0</v>
      </c>
      <c r="G36" s="12">
        <f>0</f>
        <v>0</v>
      </c>
    </row>
    <row r="38" spans="1:9" x14ac:dyDescent="0.25">
      <c r="C38" s="5" cm="1">
        <f t="array" ref="C38:G42">MINVERSE(C32:G36)</f>
        <v>5.6501326179046784E-3</v>
      </c>
      <c r="D38" s="6">
        <v>-1.8531821652650281E-2</v>
      </c>
      <c r="E38" s="6">
        <v>-4.8692543514947756E-2</v>
      </c>
      <c r="F38" s="6">
        <v>3.2686024520413692E-2</v>
      </c>
      <c r="G38" s="7">
        <v>-0.1300711115503092</v>
      </c>
    </row>
    <row r="39" spans="1:9" x14ac:dyDescent="0.25">
      <c r="C39" s="8">
        <v>-1.8531821652650288E-2</v>
      </c>
      <c r="D39" s="36">
        <v>6.0782363351498947E-2</v>
      </c>
      <c r="E39" s="36">
        <v>0.15970625704845151</v>
      </c>
      <c r="F39" s="36">
        <v>0.32749008779072253</v>
      </c>
      <c r="G39" s="9">
        <v>-8.0775736938195584E-3</v>
      </c>
    </row>
    <row r="40" spans="1:9" x14ac:dyDescent="0.25">
      <c r="B40" s="37" t="s">
        <v>22</v>
      </c>
      <c r="C40" s="8">
        <v>-4.8692543514947742E-2</v>
      </c>
      <c r="D40" s="36">
        <v>0.15970625704845154</v>
      </c>
      <c r="E40" s="36">
        <v>0.41962975991780149</v>
      </c>
      <c r="F40" s="36">
        <v>0.40139103451906599</v>
      </c>
      <c r="G40" s="9">
        <v>-6.2131514683463035E-2</v>
      </c>
    </row>
    <row r="41" spans="1:9" x14ac:dyDescent="0.25">
      <c r="C41" s="8">
        <v>-3.268602452041372E-2</v>
      </c>
      <c r="D41" s="36">
        <v>-0.32749008779072264</v>
      </c>
      <c r="E41" s="36">
        <v>-0.40139103451906599</v>
      </c>
      <c r="F41" s="36">
        <v>-0.89726828094503253</v>
      </c>
      <c r="G41" s="9">
        <v>9.4486211906900541E-2</v>
      </c>
    </row>
    <row r="42" spans="1:9" x14ac:dyDescent="0.25">
      <c r="C42" s="10">
        <v>0.1300711115503092</v>
      </c>
      <c r="D42" s="11">
        <v>8.0775736938195602E-3</v>
      </c>
      <c r="E42" s="11">
        <v>6.2131514683463035E-2</v>
      </c>
      <c r="F42" s="11">
        <v>9.4486211906900541E-2</v>
      </c>
      <c r="G42" s="12">
        <v>2.9776817460025525E-2</v>
      </c>
    </row>
    <row r="43" spans="1:9" x14ac:dyDescent="0.25">
      <c r="B43" s="37" t="s">
        <v>23</v>
      </c>
      <c r="C43" s="1" cm="1">
        <f t="array" ref="C43:G43">-TRANSPOSE(MMULT(C38:G42,TRANSPOSE(C31:G31)))</f>
        <v>2.2271234997524996</v>
      </c>
      <c r="D43" s="1">
        <v>-0.8265403847565882</v>
      </c>
      <c r="E43" s="1">
        <v>-1.1929443654680389</v>
      </c>
      <c r="F43" s="1">
        <v>2.583801912821869</v>
      </c>
      <c r="G43" s="1">
        <v>-0.19791318188578977</v>
      </c>
    </row>
    <row r="44" spans="1:9" x14ac:dyDescent="0.25">
      <c r="A44" s="1" t="s">
        <v>4</v>
      </c>
      <c r="B44" s="1" t="s">
        <v>18</v>
      </c>
      <c r="C44" s="1" cm="1">
        <f t="array" ref="C44:G44">C30:G30+C43:G43</f>
        <v>-1.2368393094403913</v>
      </c>
      <c r="D44" s="1">
        <v>-1.6122347111250281</v>
      </c>
      <c r="E44" s="1">
        <v>-0.13128555900925254</v>
      </c>
      <c r="F44" s="1">
        <v>0.14810832908303873</v>
      </c>
      <c r="G44" s="1">
        <v>0.11446278893546624</v>
      </c>
    </row>
    <row r="45" spans="1:9" x14ac:dyDescent="0.25">
      <c r="A45" s="1">
        <v>4</v>
      </c>
      <c r="B45" s="1" t="s">
        <v>19</v>
      </c>
      <c r="C45" s="1">
        <f t="shared" ref="C45:C108" si="38">2*C44-F44*(D44^2)-2*G44*C44</f>
        <v>-2.5755125581378833</v>
      </c>
      <c r="D45" s="1">
        <f t="shared" ref="D45:D108" si="39">2*D44-2*F44*C44*D44+4*G44*D44</f>
        <v>-4.5533112597181775</v>
      </c>
      <c r="E45" s="1">
        <f t="shared" ref="E45:E108" si="40">4*E44+2*F44+2*G44</f>
        <v>-2.2204460492503131E-16</v>
      </c>
      <c r="F45" s="1">
        <f t="shared" ref="F45:F108" si="41">C44*(D44^2)-2*E44+5</f>
        <v>2.0476537563461541</v>
      </c>
      <c r="G45" s="1">
        <f t="shared" ref="G45:G108" si="42">C44^2-2*(D44^2)-2*E44+7</f>
        <v>3.5937410678826835</v>
      </c>
      <c r="I45" s="1">
        <f t="shared" ref="I45:I108" si="43">MAX(ABS(C45),ABS(D45),ABS(E45),ABS(F45),ABS(G45))</f>
        <v>4.5533112597181775</v>
      </c>
    </row>
    <row r="46" spans="1:9" x14ac:dyDescent="0.25">
      <c r="C46" s="5">
        <f t="shared" ref="C46" si="44">2-2*G44</f>
        <v>1.7710744221290675</v>
      </c>
      <c r="D46" s="6">
        <f t="shared" ref="D46" si="45">-2*F44*D44</f>
        <v>0.47757077830880706</v>
      </c>
      <c r="E46" s="6">
        <f>0</f>
        <v>0</v>
      </c>
      <c r="F46" s="6">
        <f t="shared" ref="F46" si="46">-(D44^2)</f>
        <v>-2.599300763756403</v>
      </c>
      <c r="G46" s="7">
        <f t="shared" ref="G46" si="47">-2*C44</f>
        <v>2.4736786188807827</v>
      </c>
    </row>
    <row r="47" spans="1:9" x14ac:dyDescent="0.25">
      <c r="C47" s="8">
        <f t="shared" ref="C47" si="48">-2*F44*D44</f>
        <v>0.47757077830880706</v>
      </c>
      <c r="D47" s="1">
        <f t="shared" ref="D47" si="49">2-2*F44*C44+4*G44</f>
        <v>2.8242235626727368</v>
      </c>
      <c r="E47" s="1">
        <f>0</f>
        <v>0</v>
      </c>
      <c r="F47" s="1">
        <f t="shared" ref="F47" si="50">-2*C44*D44</f>
        <v>-3.9881505335274174</v>
      </c>
      <c r="G47" s="9">
        <f t="shared" ref="G47" si="51">4*D44</f>
        <v>-6.4489388445001126</v>
      </c>
    </row>
    <row r="48" spans="1:9" x14ac:dyDescent="0.25">
      <c r="B48" s="1" t="s">
        <v>20</v>
      </c>
      <c r="C48" s="8">
        <f>0</f>
        <v>0</v>
      </c>
      <c r="D48" s="1">
        <f>0</f>
        <v>0</v>
      </c>
      <c r="E48" s="1">
        <f>4</f>
        <v>4</v>
      </c>
      <c r="F48" s="1">
        <f>2</f>
        <v>2</v>
      </c>
      <c r="G48" s="9">
        <f>2</f>
        <v>2</v>
      </c>
    </row>
    <row r="49" spans="1:9" x14ac:dyDescent="0.25">
      <c r="C49" s="8">
        <f t="shared" ref="C49" si="52">(D44^2)</f>
        <v>2.599300763756403</v>
      </c>
      <c r="D49" s="1">
        <f t="shared" ref="D49" si="53">2*C44*D44</f>
        <v>3.9881505335274174</v>
      </c>
      <c r="E49" s="1">
        <f t="shared" ref="E49:E112" si="54">-2</f>
        <v>-2</v>
      </c>
      <c r="F49" s="1">
        <f>0</f>
        <v>0</v>
      </c>
      <c r="G49" s="9">
        <f>0</f>
        <v>0</v>
      </c>
    </row>
    <row r="50" spans="1:9" x14ac:dyDescent="0.25">
      <c r="C50" s="10">
        <f t="shared" ref="C50" si="55">2*C44</f>
        <v>-2.4736786188807827</v>
      </c>
      <c r="D50" s="11">
        <f t="shared" ref="D50" si="56">-4*D44</f>
        <v>6.4489388445001126</v>
      </c>
      <c r="E50" s="11">
        <f t="shared" si="54"/>
        <v>-2</v>
      </c>
      <c r="F50" s="11">
        <f>0</f>
        <v>0</v>
      </c>
      <c r="G50" s="12">
        <f>0</f>
        <v>0</v>
      </c>
    </row>
    <row r="52" spans="1:9" x14ac:dyDescent="0.25">
      <c r="C52" s="5" cm="1">
        <f t="array" ref="C52:G56">MINVERSE(C46:G50)</f>
        <v>7.5280620557744331E-3</v>
      </c>
      <c r="D52" s="6">
        <v>1.5519296572512343E-2</v>
      </c>
      <c r="E52" s="6">
        <v>4.0730494178407704E-2</v>
      </c>
      <c r="F52" s="6">
        <v>0.23275552597637578</v>
      </c>
      <c r="G52" s="7">
        <v>-0.15129453761956038</v>
      </c>
    </row>
    <row r="53" spans="1:9" x14ac:dyDescent="0.25">
      <c r="C53" s="8">
        <v>1.5519296572512341E-2</v>
      </c>
      <c r="D53" s="36">
        <v>3.1993435272076369E-2</v>
      </c>
      <c r="E53" s="36">
        <v>8.3966977691799879E-2</v>
      </c>
      <c r="F53" s="36">
        <v>7.3457754845062742E-2</v>
      </c>
      <c r="G53" s="9">
        <v>9.4476200538537003E-2</v>
      </c>
    </row>
    <row r="54" spans="1:9" x14ac:dyDescent="0.25">
      <c r="B54" s="37" t="s">
        <v>22</v>
      </c>
      <c r="C54" s="8">
        <v>4.0730494178407697E-2</v>
      </c>
      <c r="D54" s="36">
        <v>8.3966977691799866E-2</v>
      </c>
      <c r="E54" s="36">
        <v>0.22037187575317366</v>
      </c>
      <c r="F54" s="36">
        <v>-5.1018899692009956E-2</v>
      </c>
      <c r="G54" s="9">
        <v>-8.2373488016427472E-3</v>
      </c>
    </row>
    <row r="55" spans="1:9" x14ac:dyDescent="0.25">
      <c r="C55" s="8">
        <v>-0.23275552597637578</v>
      </c>
      <c r="D55" s="36">
        <v>-7.3457754845062742E-2</v>
      </c>
      <c r="E55" s="36">
        <v>5.1018899692009963E-2</v>
      </c>
      <c r="F55" s="36">
        <v>0.13793025866986278</v>
      </c>
      <c r="G55" s="9">
        <v>-3.5892459285842893E-2</v>
      </c>
    </row>
    <row r="56" spans="1:9" x14ac:dyDescent="0.25">
      <c r="C56" s="10">
        <v>0.15129453761956038</v>
      </c>
      <c r="D56" s="11">
        <v>-9.4476200538537003E-2</v>
      </c>
      <c r="E56" s="11">
        <v>8.2373488016427542E-3</v>
      </c>
      <c r="F56" s="11">
        <v>-3.5892459285842872E-2</v>
      </c>
      <c r="G56" s="12">
        <v>5.2367156889128387E-2</v>
      </c>
    </row>
    <row r="57" spans="1:9" x14ac:dyDescent="0.25">
      <c r="B57" s="37" t="s">
        <v>23</v>
      </c>
      <c r="C57" s="1" cm="1">
        <f t="array" ref="C57:G57">-TRANSPOSE(MMULT(C52:G56,TRANSPOSE(C45:G45)))</f>
        <v>0.15716347230349959</v>
      </c>
      <c r="D57" s="1">
        <v>-0.30429283717672639</v>
      </c>
      <c r="E57" s="1">
        <v>0.62130162450215787</v>
      </c>
      <c r="F57" s="1">
        <v>-1.0873860096940862</v>
      </c>
      <c r="G57" s="1">
        <v>-0.15521723931022968</v>
      </c>
    </row>
    <row r="58" spans="1:9" x14ac:dyDescent="0.25">
      <c r="A58" s="1" t="s">
        <v>4</v>
      </c>
      <c r="B58" s="1" t="s">
        <v>18</v>
      </c>
      <c r="C58" s="1" cm="1">
        <f t="array" ref="C58:G58">C44:G44+C57:G57</f>
        <v>-1.0796758371368917</v>
      </c>
      <c r="D58" s="1">
        <v>-1.9165275483017545</v>
      </c>
      <c r="E58" s="1">
        <v>0.49001606549290533</v>
      </c>
      <c r="F58" s="1">
        <v>-0.93927768061104744</v>
      </c>
      <c r="G58" s="1">
        <v>-4.075445037476344E-2</v>
      </c>
    </row>
    <row r="59" spans="1:9" x14ac:dyDescent="0.25">
      <c r="A59" s="1">
        <v>5</v>
      </c>
      <c r="B59" s="1" t="s">
        <v>19</v>
      </c>
      <c r="C59" s="1">
        <f t="shared" ref="C59:C122" si="57">2*C58-F58*(D58^2)-2*G58*C58</f>
        <v>1.2026851725275056</v>
      </c>
      <c r="D59" s="1">
        <f t="shared" ref="D59:D122" si="58">2*D58-2*F58*C58*D58+4*G58*D58</f>
        <v>0.36653327512727008</v>
      </c>
      <c r="E59" s="1">
        <f t="shared" ref="E59:E122" si="59">4*E58+2*F58+2*G58</f>
        <v>-4.4408920985006262E-16</v>
      </c>
      <c r="F59" s="1">
        <f t="shared" ref="F59:F122" si="60">C58*(D58^2)-2*E58+5</f>
        <v>5.4234473572828179E-2</v>
      </c>
      <c r="G59" s="1">
        <f t="shared" ref="G59:G122" si="61">C58^2-2*(D58^2)-2*E58+7</f>
        <v>-0.16048790448762951</v>
      </c>
      <c r="I59" s="1">
        <f t="shared" ref="I59:I122" si="62">MAX(ABS(C59),ABS(D59),ABS(E59),ABS(F59),ABS(G59))</f>
        <v>1.2026851725275056</v>
      </c>
    </row>
    <row r="60" spans="1:9" x14ac:dyDescent="0.25">
      <c r="C60" s="5">
        <f t="shared" ref="C60" si="63">2-2*G58</f>
        <v>2.0815089007495269</v>
      </c>
      <c r="D60" s="6">
        <f t="shared" ref="D60" si="64">-2*F58*D58</f>
        <v>-3.6003031007920985</v>
      </c>
      <c r="E60" s="6">
        <f>0</f>
        <v>0</v>
      </c>
      <c r="F60" s="6">
        <f t="shared" ref="F60" si="65">-(D58^2)</f>
        <v>-3.6730778433995339</v>
      </c>
      <c r="G60" s="7">
        <f t="shared" ref="G60" si="66">-2*C58</f>
        <v>2.1593516742737835</v>
      </c>
    </row>
    <row r="61" spans="1:9" x14ac:dyDescent="0.25">
      <c r="C61" s="8">
        <f t="shared" ref="C61" si="67">-2*F58*D58</f>
        <v>-3.6003031007920985</v>
      </c>
      <c r="D61" s="1">
        <f t="shared" ref="D61" si="68">2-2*F58*C58+4*G58</f>
        <v>-0.19124863373451495</v>
      </c>
      <c r="E61" s="1">
        <f>0</f>
        <v>0</v>
      </c>
      <c r="F61" s="1">
        <f t="shared" ref="F61" si="69">-2*C58*D58</f>
        <v>-4.1384569702172227</v>
      </c>
      <c r="G61" s="9">
        <f t="shared" ref="G61" si="70">4*D58</f>
        <v>-7.6661101932070181</v>
      </c>
    </row>
    <row r="62" spans="1:9" x14ac:dyDescent="0.25">
      <c r="B62" s="1" t="s">
        <v>20</v>
      </c>
      <c r="C62" s="8">
        <f>0</f>
        <v>0</v>
      </c>
      <c r="D62" s="1">
        <f>0</f>
        <v>0</v>
      </c>
      <c r="E62" s="1">
        <f>4</f>
        <v>4</v>
      </c>
      <c r="F62" s="1">
        <f>2</f>
        <v>2</v>
      </c>
      <c r="G62" s="9">
        <f>2</f>
        <v>2</v>
      </c>
    </row>
    <row r="63" spans="1:9" x14ac:dyDescent="0.25">
      <c r="C63" s="8">
        <f t="shared" ref="C63" si="71">(D58^2)</f>
        <v>3.6730778433995339</v>
      </c>
      <c r="D63" s="1">
        <f t="shared" ref="D63" si="72">2*C58*D58</f>
        <v>4.1384569702172227</v>
      </c>
      <c r="E63" s="1">
        <f t="shared" ref="E63:E126" si="73">-2</f>
        <v>-2</v>
      </c>
      <c r="F63" s="1">
        <f>0</f>
        <v>0</v>
      </c>
      <c r="G63" s="9">
        <f>0</f>
        <v>0</v>
      </c>
    </row>
    <row r="64" spans="1:9" x14ac:dyDescent="0.25">
      <c r="C64" s="10">
        <f t="shared" ref="C64" si="74">2*C58</f>
        <v>-2.1593516742737835</v>
      </c>
      <c r="D64" s="11">
        <f t="shared" ref="D64" si="75">-4*D58</f>
        <v>7.6661101932070181</v>
      </c>
      <c r="E64" s="11">
        <f t="shared" si="73"/>
        <v>-2</v>
      </c>
      <c r="F64" s="11">
        <f>0</f>
        <v>0</v>
      </c>
      <c r="G64" s="12">
        <f>0</f>
        <v>0</v>
      </c>
    </row>
    <row r="66" spans="1:9" x14ac:dyDescent="0.25">
      <c r="C66" s="5" cm="1">
        <f t="array" ref="C66:G70">MINVERSE(C60:G64)</f>
        <v>9.9773728959052666E-3</v>
      </c>
      <c r="D66" s="6">
        <v>1.6496044397921798E-2</v>
      </c>
      <c r="E66" s="6">
        <v>5.2457918619438437E-2</v>
      </c>
      <c r="F66" s="6">
        <v>0.21692040242811672</v>
      </c>
      <c r="G66" s="7">
        <v>-0.11200456518923982</v>
      </c>
    </row>
    <row r="67" spans="1:9" x14ac:dyDescent="0.25">
      <c r="C67" s="8">
        <v>1.6496044397921791E-2</v>
      </c>
      <c r="D67" s="36">
        <v>2.727366047327803E-2</v>
      </c>
      <c r="E67" s="36">
        <v>8.673106273535848E-2</v>
      </c>
      <c r="F67" s="36">
        <v>7.5169791741201905E-2</v>
      </c>
      <c r="G67" s="9">
        <v>9.8292333729515041E-2</v>
      </c>
    </row>
    <row r="68" spans="1:9" x14ac:dyDescent="0.25">
      <c r="B68" s="37" t="s">
        <v>22</v>
      </c>
      <c r="C68" s="8">
        <v>5.2457918619438437E-2</v>
      </c>
      <c r="D68" s="36">
        <v>8.6731062735358494E-2</v>
      </c>
      <c r="E68" s="36">
        <v>0.27580739485170336</v>
      </c>
      <c r="F68" s="36">
        <v>5.3926236260590017E-2</v>
      </c>
      <c r="G68" s="9">
        <v>-2.3114465571832665E-3</v>
      </c>
    </row>
    <row r="69" spans="1:9" x14ac:dyDescent="0.25">
      <c r="C69" s="8">
        <v>-0.21692040242811669</v>
      </c>
      <c r="D69" s="36">
        <v>-7.5169791741201933E-2</v>
      </c>
      <c r="E69" s="36">
        <v>-5.3926236260589989E-2</v>
      </c>
      <c r="F69" s="36">
        <v>-8.9163020040016056E-3</v>
      </c>
      <c r="G69" s="9">
        <v>-9.8936170517178387E-2</v>
      </c>
    </row>
    <row r="70" spans="1:9" x14ac:dyDescent="0.25">
      <c r="C70" s="10">
        <v>0.11200456518923982</v>
      </c>
      <c r="D70" s="11">
        <v>-9.8292333729515055E-2</v>
      </c>
      <c r="E70" s="11">
        <v>2.3114465571832461E-3</v>
      </c>
      <c r="F70" s="11">
        <v>-9.8936170517178429E-2</v>
      </c>
      <c r="G70" s="12">
        <v>0.10355906363154492</v>
      </c>
    </row>
    <row r="71" spans="1:9" x14ac:dyDescent="0.25">
      <c r="B71" s="37" t="s">
        <v>23</v>
      </c>
      <c r="C71" s="1" cm="1">
        <f t="array" ref="C71:G71">-TRANSPOSE(MMULT(C66:G70,TRANSPOSE(C59:G59)))</f>
        <v>-4.7785929415662336E-2</v>
      </c>
      <c r="D71" s="1">
        <v>-1.8138315516930289E-2</v>
      </c>
      <c r="E71" s="1">
        <v>-9.8175801634567253E-2</v>
      </c>
      <c r="F71" s="1">
        <v>0.27304469383760366</v>
      </c>
      <c r="G71" s="1">
        <v>-7.6693090568468889E-2</v>
      </c>
    </row>
    <row r="72" spans="1:9" x14ac:dyDescent="0.25">
      <c r="A72" s="1" t="s">
        <v>4</v>
      </c>
      <c r="B72" s="1" t="s">
        <v>18</v>
      </c>
      <c r="C72" s="1" cm="1">
        <f t="array" ref="C72:G72">C58:G58+C71:G71</f>
        <v>-1.1274617665525541</v>
      </c>
      <c r="D72" s="1">
        <v>-1.9346658638186849</v>
      </c>
      <c r="E72" s="1">
        <v>0.39184026385833809</v>
      </c>
      <c r="F72" s="1">
        <v>-0.66623298677344378</v>
      </c>
      <c r="G72" s="1">
        <v>-0.11744754094323233</v>
      </c>
    </row>
    <row r="73" spans="1:9" x14ac:dyDescent="0.25">
      <c r="A73" s="1">
        <v>6</v>
      </c>
      <c r="B73" s="1" t="s">
        <v>19</v>
      </c>
      <c r="C73" s="1">
        <f t="shared" ref="C73:C136" si="76">2*C72-F72*(D72^2)-2*G72*C72</f>
        <v>-2.6093988351903075E-2</v>
      </c>
      <c r="D73" s="1">
        <f t="shared" ref="D73:D136" si="77">2*D72-2*F72*C72*D72+4*G72*D72</f>
        <v>-5.3987616710710951E-2</v>
      </c>
      <c r="E73" s="1">
        <f t="shared" ref="E73:E136" si="78">4*E72+2*F72+2*G72</f>
        <v>0</v>
      </c>
      <c r="F73" s="1">
        <f t="shared" ref="F73:F136" si="79">C72*(D72^2)-2*E72+5</f>
        <v>-3.6932577376074249E-3</v>
      </c>
      <c r="G73" s="1">
        <f t="shared" ref="G73:G136" si="80">C72^2-2*(D72^2)-2*E72+7</f>
        <v>1.625498070533915E-3</v>
      </c>
      <c r="I73" s="1">
        <f t="shared" ref="I73:I136" si="81">MAX(ABS(C73),ABS(D73),ABS(E73),ABS(F73),ABS(G73))</f>
        <v>5.3987616710710951E-2</v>
      </c>
    </row>
    <row r="74" spans="1:9" x14ac:dyDescent="0.25">
      <c r="C74" s="5">
        <f t="shared" ref="C74" si="82">2-2*G72</f>
        <v>2.2348950818864646</v>
      </c>
      <c r="D74" s="6">
        <f t="shared" ref="D74" si="83">-2*F72*D72</f>
        <v>-2.577876433721094</v>
      </c>
      <c r="E74" s="6">
        <f>0</f>
        <v>0</v>
      </c>
      <c r="F74" s="6">
        <f t="shared" ref="F74" si="84">-(D72^2)</f>
        <v>-3.7429320046252981</v>
      </c>
      <c r="G74" s="7">
        <f t="shared" ref="G74" si="85">-2*C72</f>
        <v>2.2549235331051083</v>
      </c>
    </row>
    <row r="75" spans="1:9" x14ac:dyDescent="0.25">
      <c r="C75" s="8">
        <f t="shared" ref="C75" si="86">-2*F72*D72</f>
        <v>-2.577876433721094</v>
      </c>
      <c r="D75" s="1">
        <f t="shared" ref="D75" si="87">2-2*F72*C72+4*G72</f>
        <v>2.7905395820727874E-2</v>
      </c>
      <c r="E75" s="1">
        <f>0</f>
        <v>0</v>
      </c>
      <c r="F75" s="1">
        <f t="shared" ref="F75" si="88">-2*C72*D72</f>
        <v>-4.3625235850198756</v>
      </c>
      <c r="G75" s="9">
        <f t="shared" ref="G75" si="89">4*D72</f>
        <v>-7.7386634552747395</v>
      </c>
    </row>
    <row r="76" spans="1:9" x14ac:dyDescent="0.25">
      <c r="B76" s="1" t="s">
        <v>20</v>
      </c>
      <c r="C76" s="8">
        <f>0</f>
        <v>0</v>
      </c>
      <c r="D76" s="1">
        <f>0</f>
        <v>0</v>
      </c>
      <c r="E76" s="1">
        <f>4</f>
        <v>4</v>
      </c>
      <c r="F76" s="1">
        <f>2</f>
        <v>2</v>
      </c>
      <c r="G76" s="9">
        <f>2</f>
        <v>2</v>
      </c>
    </row>
    <row r="77" spans="1:9" x14ac:dyDescent="0.25">
      <c r="C77" s="8">
        <f t="shared" ref="C77" si="90">(D72^2)</f>
        <v>3.7429320046252981</v>
      </c>
      <c r="D77" s="1">
        <f t="shared" ref="D77" si="91">2*C72*D72</f>
        <v>4.3625235850198756</v>
      </c>
      <c r="E77" s="1">
        <f t="shared" ref="E77:E140" si="92">-2</f>
        <v>-2</v>
      </c>
      <c r="F77" s="1">
        <f>0</f>
        <v>0</v>
      </c>
      <c r="G77" s="9">
        <f>0</f>
        <v>0</v>
      </c>
    </row>
    <row r="78" spans="1:9" x14ac:dyDescent="0.25">
      <c r="C78" s="10">
        <f t="shared" ref="C78" si="93">2*C72</f>
        <v>-2.2549235331051083</v>
      </c>
      <c r="D78" s="11">
        <f t="shared" ref="D78" si="94">-4*D72</f>
        <v>7.7386634552747395</v>
      </c>
      <c r="E78" s="11">
        <f t="shared" si="92"/>
        <v>-2</v>
      </c>
      <c r="F78" s="11">
        <f>0</f>
        <v>0</v>
      </c>
      <c r="G78" s="12">
        <f>0</f>
        <v>0</v>
      </c>
    </row>
    <row r="80" spans="1:9" x14ac:dyDescent="0.25">
      <c r="C80" s="5" cm="1">
        <f t="array" ref="C80:G84">MINVERSE(C74:G78)</f>
        <v>7.9836608831338335E-3</v>
      </c>
      <c r="D80" s="6">
        <v>1.4183311853027899E-2</v>
      </c>
      <c r="E80" s="6">
        <v>4.5878666153041439E-2</v>
      </c>
      <c r="F80" s="6">
        <v>0.2043440261568191</v>
      </c>
      <c r="G80" s="7">
        <v>-0.11258669385073622</v>
      </c>
    </row>
    <row r="81" spans="1:9" x14ac:dyDescent="0.25">
      <c r="C81" s="8">
        <v>1.4183311853027902E-2</v>
      </c>
      <c r="D81" s="36">
        <v>2.5197254500779566E-2</v>
      </c>
      <c r="E81" s="36">
        <v>8.1505394451839283E-2</v>
      </c>
      <c r="F81" s="36">
        <v>6.682956203167377E-2</v>
      </c>
      <c r="G81" s="9">
        <v>9.6181226872004796E-2</v>
      </c>
    </row>
    <row r="82" spans="1:9" x14ac:dyDescent="0.25">
      <c r="B82" s="37" t="s">
        <v>22</v>
      </c>
      <c r="C82" s="8">
        <v>4.5878666153041439E-2</v>
      </c>
      <c r="D82" s="36">
        <v>8.1505394451839269E-2</v>
      </c>
      <c r="E82" s="36">
        <v>0.2636449667381176</v>
      </c>
      <c r="F82" s="36">
        <v>2.8195667998036418E-2</v>
      </c>
      <c r="G82" s="9">
        <v>-9.0573452180123942E-4</v>
      </c>
    </row>
    <row r="83" spans="1:9" x14ac:dyDescent="0.25">
      <c r="C83" s="8">
        <v>-0.2043440261568191</v>
      </c>
      <c r="D83" s="36">
        <v>-6.682956203167377E-2</v>
      </c>
      <c r="E83" s="36">
        <v>-2.8195667998036418E-2</v>
      </c>
      <c r="F83" s="36">
        <v>2.6217863108474005E-2</v>
      </c>
      <c r="G83" s="9">
        <v>-8.2609199104546852E-2</v>
      </c>
    </row>
    <row r="84" spans="1:9" x14ac:dyDescent="0.25">
      <c r="C84" s="10">
        <v>0.11258669385073622</v>
      </c>
      <c r="D84" s="11">
        <v>-9.6181226872004782E-2</v>
      </c>
      <c r="E84" s="11">
        <v>9.0573452180124712E-4</v>
      </c>
      <c r="F84" s="11">
        <v>-8.2609199104546838E-2</v>
      </c>
      <c r="G84" s="12">
        <v>8.442066814814933E-2</v>
      </c>
    </row>
    <row r="85" spans="1:9" x14ac:dyDescent="0.25">
      <c r="B85" s="37" t="s">
        <v>23</v>
      </c>
      <c r="C85" s="1" cm="1">
        <f t="array" ref="C85:G85">-TRANSPOSE(MMULT(C80:G84,TRANSPOSE(C73:G73)))</f>
        <v>1.9117533674594827E-3</v>
      </c>
      <c r="D85" s="1">
        <v>1.8209152908070087E-3</v>
      </c>
      <c r="E85" s="1">
        <v>5.7030455144378798E-3</v>
      </c>
      <c r="F85" s="1">
        <v>-8.7090089986860009E-3</v>
      </c>
      <c r="G85" s="1">
        <v>-2.6970820301897582E-3</v>
      </c>
    </row>
    <row r="86" spans="1:9" x14ac:dyDescent="0.25">
      <c r="A86" s="1" t="s">
        <v>4</v>
      </c>
      <c r="B86" s="1" t="s">
        <v>18</v>
      </c>
      <c r="C86" s="1" cm="1">
        <f t="array" ref="C86:G86">C72:G72+C85:G85</f>
        <v>-1.1255500131850946</v>
      </c>
      <c r="D86" s="1">
        <v>-1.9328449485278778</v>
      </c>
      <c r="E86" s="1">
        <v>0.39754330937277599</v>
      </c>
      <c r="F86" s="1">
        <v>-0.67494199577212977</v>
      </c>
      <c r="G86" s="1">
        <v>-0.12014462297342209</v>
      </c>
    </row>
    <row r="87" spans="1:9" x14ac:dyDescent="0.25">
      <c r="A87" s="1">
        <v>7</v>
      </c>
      <c r="B87" s="1" t="s">
        <v>19</v>
      </c>
      <c r="C87" s="1">
        <f t="shared" ref="C87:C150" si="95">2*C86-F86*(D86^2)-2*G86*C86</f>
        <v>-4.8811046694408056E-5</v>
      </c>
      <c r="D87" s="1">
        <f t="shared" ref="D87:D150" si="96">2*D86-2*F86*C86*D86+4*G86*D86</f>
        <v>-1.1512725231999088E-4</v>
      </c>
      <c r="E87" s="1">
        <f t="shared" ref="E87:E150" si="97">4*E86+2*F86+2*G86</f>
        <v>2.4980018054066022E-16</v>
      </c>
      <c r="F87" s="1">
        <f t="shared" ref="F87:F150" si="98">C86*(D86^2)-2*E86+5</f>
        <v>-1.7201711838943368E-5</v>
      </c>
      <c r="G87" s="1">
        <f t="shared" ref="G87:G150" si="99">C86^2-2*(D86^2)-2*E86+7</f>
        <v>-2.9766640547990164E-6</v>
      </c>
      <c r="I87" s="1">
        <f t="shared" ref="I87:I150" si="100">MAX(ABS(C87),ABS(D87),ABS(E87),ABS(F87),ABS(G87))</f>
        <v>1.1512725231999088E-4</v>
      </c>
    </row>
    <row r="88" spans="1:9" x14ac:dyDescent="0.25">
      <c r="C88" s="5">
        <f t="shared" ref="C88" si="101">2-2*G86</f>
        <v>2.240289245946844</v>
      </c>
      <c r="D88" s="6">
        <f t="shared" ref="D88" si="102">-2*F86*D86</f>
        <v>-2.6091164541549707</v>
      </c>
      <c r="E88" s="6">
        <f>0</f>
        <v>0</v>
      </c>
      <c r="F88" s="6">
        <f t="shared" ref="F88" si="103">-(D86^2)</f>
        <v>-3.7358895950497346</v>
      </c>
      <c r="G88" s="7">
        <f t="shared" ref="G88" si="104">-2*C86</f>
        <v>2.2511000263701892</v>
      </c>
    </row>
    <row r="89" spans="1:9" x14ac:dyDescent="0.25">
      <c r="C89" s="8">
        <f t="shared" ref="C89" si="105">-2*F86*D86</f>
        <v>-2.6091164541549707</v>
      </c>
      <c r="D89" s="1">
        <f t="shared" ref="D89" si="106">2-2*F86*C86+4*G86</f>
        <v>5.9563625322278657E-5</v>
      </c>
      <c r="E89" s="1">
        <f>0</f>
        <v>0</v>
      </c>
      <c r="F89" s="1">
        <f t="shared" ref="F89" si="107">-2*C86*D86</f>
        <v>-4.3510273146005929</v>
      </c>
      <c r="G89" s="9">
        <f t="shared" ref="G89" si="108">4*D86</f>
        <v>-7.7313797941115112</v>
      </c>
    </row>
    <row r="90" spans="1:9" x14ac:dyDescent="0.25">
      <c r="B90" s="1" t="s">
        <v>20</v>
      </c>
      <c r="C90" s="8">
        <f>0</f>
        <v>0</v>
      </c>
      <c r="D90" s="1">
        <f>0</f>
        <v>0</v>
      </c>
      <c r="E90" s="1">
        <f>4</f>
        <v>4</v>
      </c>
      <c r="F90" s="1">
        <f>2</f>
        <v>2</v>
      </c>
      <c r="G90" s="9">
        <f>2</f>
        <v>2</v>
      </c>
    </row>
    <row r="91" spans="1:9" x14ac:dyDescent="0.25">
      <c r="C91" s="8">
        <f t="shared" ref="C91" si="109">(D86^2)</f>
        <v>3.7358895950497346</v>
      </c>
      <c r="D91" s="1">
        <f t="shared" ref="D91" si="110">2*C86*D86</f>
        <v>4.3510273146005929</v>
      </c>
      <c r="E91" s="1">
        <f t="shared" ref="E91:E154" si="111">-2</f>
        <v>-2</v>
      </c>
      <c r="F91" s="1">
        <f>0</f>
        <v>0</v>
      </c>
      <c r="G91" s="9">
        <f>0</f>
        <v>0</v>
      </c>
    </row>
    <row r="92" spans="1:9" x14ac:dyDescent="0.25">
      <c r="C92" s="10">
        <f t="shared" ref="C92" si="112">2*C86</f>
        <v>-2.2511000263701892</v>
      </c>
      <c r="D92" s="11">
        <f t="shared" ref="D92" si="113">-4*D86</f>
        <v>7.7313797941115112</v>
      </c>
      <c r="E92" s="11">
        <f t="shared" si="111"/>
        <v>-2</v>
      </c>
      <c r="F92" s="11">
        <f>0</f>
        <v>0</v>
      </c>
      <c r="G92" s="12">
        <f>0</f>
        <v>0</v>
      </c>
    </row>
    <row r="94" spans="1:9" x14ac:dyDescent="0.25">
      <c r="C94" s="5" cm="1">
        <f t="array" ref="C94:G98">MINVERSE(C88:G92)</f>
        <v>8.0697866370045591E-3</v>
      </c>
      <c r="D94" s="6">
        <v>1.4292512137612847E-2</v>
      </c>
      <c r="E94" s="6">
        <v>4.6167471318235363E-2</v>
      </c>
      <c r="F94" s="6">
        <v>0.20495565246734404</v>
      </c>
      <c r="G94" s="7">
        <v>-0.11262070983087333</v>
      </c>
    </row>
    <row r="95" spans="1:9" x14ac:dyDescent="0.25">
      <c r="C95" s="8">
        <v>1.4292512137612843E-2</v>
      </c>
      <c r="D95" s="36">
        <v>2.5313668426757332E-2</v>
      </c>
      <c r="E95" s="36">
        <v>8.1767855069796808E-2</v>
      </c>
      <c r="F95" s="36">
        <v>6.7172688513888495E-2</v>
      </c>
      <c r="G95" s="9">
        <v>9.636302162570512E-2</v>
      </c>
    </row>
    <row r="96" spans="1:9" x14ac:dyDescent="0.25">
      <c r="B96" s="37" t="s">
        <v>22</v>
      </c>
      <c r="C96" s="8">
        <v>4.6167471318235356E-2</v>
      </c>
      <c r="D96" s="36">
        <v>8.1767855069796821E-2</v>
      </c>
      <c r="E96" s="36">
        <v>0.2641253732962705</v>
      </c>
      <c r="F96" s="36">
        <v>2.8980946009233215E-2</v>
      </c>
      <c r="G96" s="9">
        <v>-7.301994166922024E-4</v>
      </c>
    </row>
    <row r="97" spans="1:9" x14ac:dyDescent="0.25">
      <c r="C97" s="8">
        <v>-0.20495565246734404</v>
      </c>
      <c r="D97" s="36">
        <v>-6.7172688513888509E-2</v>
      </c>
      <c r="E97" s="36">
        <v>-2.8980946009233195E-2</v>
      </c>
      <c r="F97" s="36">
        <v>2.5625660022369344E-2</v>
      </c>
      <c r="G97" s="9">
        <v>-8.3587552040835719E-2</v>
      </c>
    </row>
    <row r="98" spans="1:9" x14ac:dyDescent="0.25">
      <c r="C98" s="10">
        <v>0.11262070983087333</v>
      </c>
      <c r="D98" s="11">
        <v>-9.6363021625705134E-2</v>
      </c>
      <c r="E98" s="11">
        <v>7.3019941669217789E-4</v>
      </c>
      <c r="F98" s="11">
        <v>-8.3587552040835775E-2</v>
      </c>
      <c r="G98" s="12">
        <v>8.5047950874220124E-2</v>
      </c>
    </row>
    <row r="99" spans="1:9" x14ac:dyDescent="0.25">
      <c r="B99" s="37" t="s">
        <v>23</v>
      </c>
      <c r="C99" s="1" cm="1">
        <f t="array" ref="C99:G99">-TRANSPOSE(MMULT(C94:G98,TRANSPOSE(C87:G87)))</f>
        <v>5.2297064382210569E-6</v>
      </c>
      <c r="D99" s="1">
        <v>5.054251143368934E-6</v>
      </c>
      <c r="E99" s="1">
        <v>1.2163539404210397E-5</v>
      </c>
      <c r="F99" s="1">
        <v>-1.7545513824610825E-5</v>
      </c>
      <c r="G99" s="1">
        <v>-6.7815649839348729E-6</v>
      </c>
    </row>
    <row r="100" spans="1:9" x14ac:dyDescent="0.25">
      <c r="A100" s="1" t="s">
        <v>4</v>
      </c>
      <c r="B100" s="1" t="s">
        <v>18</v>
      </c>
      <c r="C100" s="1" cm="1">
        <f t="array" ref="C100:G100">C86:G86+C99:G99</f>
        <v>-1.1255447834786565</v>
      </c>
      <c r="D100" s="1">
        <v>-1.9328398942767344</v>
      </c>
      <c r="E100" s="1">
        <v>0.39755547291218019</v>
      </c>
      <c r="F100" s="1">
        <v>-0.67495954128595437</v>
      </c>
      <c r="G100" s="1">
        <v>-0.12015140453840602</v>
      </c>
    </row>
    <row r="101" spans="1:9" x14ac:dyDescent="0.25">
      <c r="A101" s="1">
        <v>8</v>
      </c>
      <c r="B101" s="1" t="s">
        <v>19</v>
      </c>
      <c r="C101" s="1">
        <f t="shared" ref="C101:C164" si="114">2*C100-F100*(D100^2)-2*G100*C100</f>
        <v>-2.5463448016793677E-10</v>
      </c>
      <c r="D101" s="1">
        <f t="shared" ref="D101:D164" si="115">2*D100-2*F100*C100*D100+4*G100*D100</f>
        <v>-6.5575511687399057E-10</v>
      </c>
      <c r="E101" s="1">
        <f t="shared" ref="E101:E164" si="116">4*E100+2*F100+2*G100</f>
        <v>0</v>
      </c>
      <c r="F101" s="1">
        <f t="shared" ref="F101:F164" si="117">C100*(D100^2)-2*E100+5</f>
        <v>-1.3093170991851366E-10</v>
      </c>
      <c r="G101" s="1">
        <f t="shared" ref="G101:G164" si="118">C100^2-2*(D100^2)-2*E100+7</f>
        <v>-2.3741009158584347E-11</v>
      </c>
      <c r="I101" s="1">
        <f t="shared" ref="I101:I164" si="119">MAX(ABS(C101),ABS(D101),ABS(E101),ABS(F101),ABS(G101))</f>
        <v>6.5575511687399057E-10</v>
      </c>
    </row>
    <row r="102" spans="1:9" x14ac:dyDescent="0.25">
      <c r="C102" s="5">
        <f t="shared" ref="C102" si="120">2-2*G100</f>
        <v>2.240302809076812</v>
      </c>
      <c r="D102" s="6">
        <f t="shared" ref="D102" si="121">-2*F100*D100</f>
        <v>-2.6091774568404342</v>
      </c>
      <c r="E102" s="6">
        <f>0</f>
        <v>0</v>
      </c>
      <c r="F102" s="6">
        <f t="shared" ref="F102" si="122">-(D100^2)</f>
        <v>-3.7358700569076979</v>
      </c>
      <c r="G102" s="7">
        <f t="shared" ref="G102" si="123">-2*C100</f>
        <v>2.251089566957313</v>
      </c>
    </row>
    <row r="103" spans="1:9" x14ac:dyDescent="0.25">
      <c r="C103" s="8">
        <f t="shared" ref="C103" si="124">-2*F100*D100</f>
        <v>-2.6091774568404342</v>
      </c>
      <c r="D103" s="1">
        <f t="shared" ref="D103" si="125">2-2*F100*C100+4*G100</f>
        <v>3.3927033404879126E-10</v>
      </c>
      <c r="E103" s="1">
        <f>0</f>
        <v>0</v>
      </c>
      <c r="F103" s="1">
        <f t="shared" ref="F103" si="126">-2*C100*D100</f>
        <v>-4.3509957206052325</v>
      </c>
      <c r="G103" s="9">
        <f t="shared" ref="G103" si="127">4*D100</f>
        <v>-7.7313595771069377</v>
      </c>
    </row>
    <row r="104" spans="1:9" x14ac:dyDescent="0.25">
      <c r="B104" s="1" t="s">
        <v>20</v>
      </c>
      <c r="C104" s="8">
        <f>0</f>
        <v>0</v>
      </c>
      <c r="D104" s="1">
        <f>0</f>
        <v>0</v>
      </c>
      <c r="E104" s="1">
        <f>4</f>
        <v>4</v>
      </c>
      <c r="F104" s="1">
        <f>2</f>
        <v>2</v>
      </c>
      <c r="G104" s="9">
        <f>2</f>
        <v>2</v>
      </c>
    </row>
    <row r="105" spans="1:9" x14ac:dyDescent="0.25">
      <c r="C105" s="8">
        <f t="shared" ref="C105" si="128">(D100^2)</f>
        <v>3.7358700569076979</v>
      </c>
      <c r="D105" s="1">
        <f t="shared" ref="D105" si="129">2*C100*D100</f>
        <v>4.3509957206052325</v>
      </c>
      <c r="E105" s="1">
        <f t="shared" ref="E105:E168" si="130">-2</f>
        <v>-2</v>
      </c>
      <c r="F105" s="1">
        <f>0</f>
        <v>0</v>
      </c>
      <c r="G105" s="9">
        <f>0</f>
        <v>0</v>
      </c>
    </row>
    <row r="106" spans="1:9" x14ac:dyDescent="0.25">
      <c r="C106" s="10">
        <f t="shared" ref="C106" si="131">2*C100</f>
        <v>-2.251089566957313</v>
      </c>
      <c r="D106" s="11">
        <f t="shared" ref="D106" si="132">-4*D100</f>
        <v>7.7313595771069377</v>
      </c>
      <c r="E106" s="11">
        <f t="shared" si="130"/>
        <v>-2</v>
      </c>
      <c r="F106" s="11">
        <f>0</f>
        <v>0</v>
      </c>
      <c r="G106" s="12">
        <f>0</f>
        <v>0</v>
      </c>
    </row>
    <row r="108" spans="1:9" x14ac:dyDescent="0.25">
      <c r="C108" s="5" cm="1">
        <f t="array" ref="C108:G112">MINVERSE(C102:G106)</f>
        <v>8.0700156531407861E-3</v>
      </c>
      <c r="D108" s="6">
        <v>1.4292798033083021E-2</v>
      </c>
      <c r="E108" s="6">
        <v>4.6168216457382109E-2</v>
      </c>
      <c r="F108" s="6">
        <v>0.20495724467211054</v>
      </c>
      <c r="G108" s="7">
        <v>-0.11262081175734634</v>
      </c>
    </row>
    <row r="109" spans="1:9" x14ac:dyDescent="0.25">
      <c r="C109" s="8">
        <v>1.4292798033083021E-2</v>
      </c>
      <c r="D109" s="36">
        <v>2.5313962747395183E-2</v>
      </c>
      <c r="E109" s="36">
        <v>8.1768489893350421E-2</v>
      </c>
      <c r="F109" s="36">
        <v>6.7173463600317979E-2</v>
      </c>
      <c r="G109" s="9">
        <v>9.6363516186382822E-2</v>
      </c>
    </row>
    <row r="110" spans="1:9" x14ac:dyDescent="0.25">
      <c r="B110" s="37" t="s">
        <v>22</v>
      </c>
      <c r="C110" s="8">
        <v>4.6168216457382096E-2</v>
      </c>
      <c r="D110" s="36">
        <v>8.1768489893350407E-2</v>
      </c>
      <c r="E110" s="36">
        <v>0.26412640352514344</v>
      </c>
      <c r="F110" s="36">
        <v>2.898254299002874E-2</v>
      </c>
      <c r="G110" s="9">
        <v>-7.2973593974193923E-4</v>
      </c>
    </row>
    <row r="111" spans="1:9" x14ac:dyDescent="0.25">
      <c r="C111" s="8">
        <v>-0.20495724467211054</v>
      </c>
      <c r="D111" s="36">
        <v>-6.7173463600317992E-2</v>
      </c>
      <c r="E111" s="36">
        <v>-2.8982542990028743E-2</v>
      </c>
      <c r="F111" s="36">
        <v>2.562472663866083E-2</v>
      </c>
      <c r="G111" s="9">
        <v>-8.3589812618718312E-2</v>
      </c>
    </row>
    <row r="112" spans="1:9" x14ac:dyDescent="0.25">
      <c r="C112" s="10">
        <v>0.11262081175734635</v>
      </c>
      <c r="D112" s="11">
        <v>-9.6363516186382822E-2</v>
      </c>
      <c r="E112" s="11">
        <v>7.2973593974194043E-4</v>
      </c>
      <c r="F112" s="11">
        <v>-8.3589812618718312E-2</v>
      </c>
      <c r="G112" s="12">
        <v>8.5049284498202191E-2</v>
      </c>
    </row>
    <row r="113" spans="1:9" x14ac:dyDescent="0.25">
      <c r="B113" s="37" t="s">
        <v>23</v>
      </c>
      <c r="C113" s="1" cm="1">
        <f t="array" ref="C113:G113">-TRANSPOSE(MMULT(C108:G112,TRANSPOSE(C101:G101)))</f>
        <v>3.5589150467153557E-11</v>
      </c>
      <c r="D113" s="1">
        <v>3.1322103367934351E-11</v>
      </c>
      <c r="E113" s="1">
        <v>6.9153534688372506E-11</v>
      </c>
      <c r="F113" s="1">
        <v>-9.4867941159743748E-11</v>
      </c>
      <c r="G113" s="1">
        <v>-4.3439128217001277E-11</v>
      </c>
    </row>
    <row r="114" spans="1:9" x14ac:dyDescent="0.25">
      <c r="A114" s="1" t="s">
        <v>4</v>
      </c>
      <c r="B114" s="1" t="s">
        <v>18</v>
      </c>
      <c r="C114" s="1" cm="1">
        <f t="array" ref="C114:G114">C100:G100+C113:G113</f>
        <v>-1.1255447834430674</v>
      </c>
      <c r="D114" s="1">
        <v>-1.9328398942454124</v>
      </c>
      <c r="E114" s="1">
        <v>0.3975554729813337</v>
      </c>
      <c r="F114" s="1">
        <v>-0.67495954138082226</v>
      </c>
      <c r="G114" s="1">
        <v>-0.12015140458184514</v>
      </c>
    </row>
    <row r="115" spans="1:9" x14ac:dyDescent="0.25">
      <c r="A115" s="1">
        <v>9</v>
      </c>
      <c r="B115" s="1" t="s">
        <v>19</v>
      </c>
      <c r="C115" s="1">
        <f t="shared" ref="C115:C178" si="133">2*C114-F114*(D114^2)-2*G114*C114</f>
        <v>0</v>
      </c>
      <c r="D115" s="1">
        <f t="shared" ref="D115:D178" si="134">2*D114-2*F114*C114*D114+4*G114*D114</f>
        <v>0</v>
      </c>
      <c r="E115" s="1">
        <f t="shared" ref="E115:E178" si="135">4*E114+2*F114+2*G114</f>
        <v>0</v>
      </c>
      <c r="F115" s="1">
        <f t="shared" ref="F115:F178" si="136">C114*(D114^2)-2*E114+5</f>
        <v>0</v>
      </c>
      <c r="G115" s="1">
        <f t="shared" ref="G115:G178" si="137">C114^2-2*(D114^2)-2*E114+7</f>
        <v>0</v>
      </c>
      <c r="I115" s="1">
        <f t="shared" ref="I115:I178" si="138">MAX(ABS(C115),ABS(D115),ABS(E115),ABS(F115),ABS(G115))</f>
        <v>0</v>
      </c>
    </row>
    <row r="116" spans="1:9" x14ac:dyDescent="0.25">
      <c r="C116" s="5">
        <f t="shared" ref="C116" si="139">2-2*G114</f>
        <v>2.2403028091636905</v>
      </c>
      <c r="D116" s="6">
        <f t="shared" ref="D116" si="140">-2*F114*D114</f>
        <v>-2.6091774571648809</v>
      </c>
      <c r="E116" s="6">
        <f>0</f>
        <v>0</v>
      </c>
      <c r="F116" s="6">
        <f t="shared" ref="F116" si="141">-(D114^2)</f>
        <v>-3.735870056786617</v>
      </c>
      <c r="G116" s="7">
        <f t="shared" ref="G116" si="142">-2*C114</f>
        <v>2.2510895668861348</v>
      </c>
    </row>
    <row r="117" spans="1:9" x14ac:dyDescent="0.25">
      <c r="C117" s="8">
        <f t="shared" ref="C117" si="143">-2*F114*D114</f>
        <v>-2.6091774571648809</v>
      </c>
      <c r="D117" s="1">
        <f t="shared" ref="D117" si="144">2-2*F114*C114+4*G114</f>
        <v>0</v>
      </c>
      <c r="E117" s="1">
        <f>0</f>
        <v>0</v>
      </c>
      <c r="F117" s="1">
        <f t="shared" ref="F117" si="145">-2*C114*D114</f>
        <v>-4.3509957203971483</v>
      </c>
      <c r="G117" s="9">
        <f t="shared" ref="G117" si="146">4*D114</f>
        <v>-7.7313595769816494</v>
      </c>
    </row>
    <row r="118" spans="1:9" x14ac:dyDescent="0.25">
      <c r="B118" s="1" t="s">
        <v>20</v>
      </c>
      <c r="C118" s="8">
        <f>0</f>
        <v>0</v>
      </c>
      <c r="D118" s="1">
        <f>0</f>
        <v>0</v>
      </c>
      <c r="E118" s="1">
        <f>4</f>
        <v>4</v>
      </c>
      <c r="F118" s="1">
        <f>2</f>
        <v>2</v>
      </c>
      <c r="G118" s="9">
        <f>2</f>
        <v>2</v>
      </c>
    </row>
    <row r="119" spans="1:9" x14ac:dyDescent="0.25">
      <c r="C119" s="8">
        <f t="shared" ref="C119" si="147">(D114^2)</f>
        <v>3.735870056786617</v>
      </c>
      <c r="D119" s="1">
        <f t="shared" ref="D119" si="148">2*C114*D114</f>
        <v>4.3509957203971483</v>
      </c>
      <c r="E119" s="1">
        <f t="shared" ref="E119:E182" si="149">-2</f>
        <v>-2</v>
      </c>
      <c r="F119" s="1">
        <f>0</f>
        <v>0</v>
      </c>
      <c r="G119" s="9">
        <f>0</f>
        <v>0</v>
      </c>
    </row>
    <row r="120" spans="1:9" x14ac:dyDescent="0.25">
      <c r="C120" s="10">
        <f t="shared" ref="C120" si="150">2*C114</f>
        <v>-2.2510895668861348</v>
      </c>
      <c r="D120" s="11">
        <f t="shared" ref="D120" si="151">-4*D114</f>
        <v>7.7313595769816494</v>
      </c>
      <c r="E120" s="11">
        <f t="shared" si="149"/>
        <v>-2</v>
      </c>
      <c r="F120" s="11">
        <f>0</f>
        <v>0</v>
      </c>
      <c r="G120" s="12">
        <f>0</f>
        <v>0</v>
      </c>
    </row>
    <row r="122" spans="1:9" x14ac:dyDescent="0.25">
      <c r="C122" s="5" cm="1">
        <f t="array" ref="C122:G126">MINVERSE(C116:G120)</f>
        <v>8.0700156546249843E-3</v>
      </c>
      <c r="D122" s="6">
        <v>1.4292798034902623E-2</v>
      </c>
      <c r="E122" s="6">
        <v>4.616821646213741E-2</v>
      </c>
      <c r="F122" s="6">
        <v>0.20495724468206558</v>
      </c>
      <c r="G122" s="7">
        <v>-0.11262081175779078</v>
      </c>
    </row>
    <row r="123" spans="1:9" x14ac:dyDescent="0.25">
      <c r="C123" s="8">
        <v>1.4292798034902625E-2</v>
      </c>
      <c r="D123" s="36">
        <v>2.5313962749184949E-2</v>
      </c>
      <c r="E123" s="36">
        <v>8.1768489897143928E-2</v>
      </c>
      <c r="F123" s="36">
        <v>6.7173463604647099E-2</v>
      </c>
      <c r="G123" s="9">
        <v>9.6363516189640744E-2</v>
      </c>
    </row>
    <row r="124" spans="1:9" x14ac:dyDescent="0.25">
      <c r="B124" s="37" t="s">
        <v>22</v>
      </c>
      <c r="C124" s="8">
        <v>4.616821646213741E-2</v>
      </c>
      <c r="D124" s="36">
        <v>8.1768489897143928E-2</v>
      </c>
      <c r="E124" s="36">
        <v>0.26412640353097638</v>
      </c>
      <c r="F124" s="36">
        <v>2.8982542998645042E-2</v>
      </c>
      <c r="G124" s="9">
        <v>-7.2973593669227454E-4</v>
      </c>
    </row>
    <row r="125" spans="1:9" x14ac:dyDescent="0.25">
      <c r="C125" s="8">
        <v>-0.20495724468206561</v>
      </c>
      <c r="D125" s="36">
        <v>-6.7173463604647099E-2</v>
      </c>
      <c r="E125" s="36">
        <v>-2.8982542998645028E-2</v>
      </c>
      <c r="F125" s="36">
        <v>2.562472663486581E-2</v>
      </c>
      <c r="G125" s="9">
        <v>-8.3589812632155883E-2</v>
      </c>
    </row>
    <row r="126" spans="1:9" x14ac:dyDescent="0.25">
      <c r="C126" s="10">
        <v>0.11262081175779079</v>
      </c>
      <c r="D126" s="11">
        <v>-9.6363516189640758E-2</v>
      </c>
      <c r="E126" s="11">
        <v>7.2973593669226132E-4</v>
      </c>
      <c r="F126" s="11">
        <v>-8.3589812632155897E-2</v>
      </c>
      <c r="G126" s="12">
        <v>8.5049284505540432E-2</v>
      </c>
    </row>
    <row r="127" spans="1:9" x14ac:dyDescent="0.25">
      <c r="B127" s="37" t="s">
        <v>23</v>
      </c>
      <c r="C127" s="1" cm="1">
        <f t="array" ref="C127:G127">-TRANSPOSE(MMULT(C122:G126,TRANSPOSE(C115:G115)))</f>
        <v>0</v>
      </c>
      <c r="D127" s="1">
        <v>0</v>
      </c>
      <c r="E127" s="1">
        <v>0</v>
      </c>
      <c r="F127" s="1">
        <v>0</v>
      </c>
      <c r="G127" s="1">
        <v>0</v>
      </c>
    </row>
    <row r="128" spans="1:9" x14ac:dyDescent="0.25">
      <c r="A128" s="1" t="s">
        <v>4</v>
      </c>
      <c r="B128" s="1" t="s">
        <v>18</v>
      </c>
      <c r="C128" s="1" cm="1">
        <f t="array" ref="C128:G128">C114:G114+C127:G127</f>
        <v>-1.1255447834430674</v>
      </c>
      <c r="D128" s="1">
        <v>-1.9328398942454124</v>
      </c>
      <c r="E128" s="1">
        <v>0.3975554729813337</v>
      </c>
      <c r="F128" s="1">
        <v>-0.67495954138082226</v>
      </c>
      <c r="G128" s="1">
        <v>-0.12015140458184514</v>
      </c>
    </row>
    <row r="129" spans="1:9" x14ac:dyDescent="0.25">
      <c r="A129" s="1">
        <v>10</v>
      </c>
      <c r="B129" s="1" t="s">
        <v>19</v>
      </c>
      <c r="C129" s="1">
        <f t="shared" ref="C129:C192" si="152">2*C128-F128*(D128^2)-2*G128*C128</f>
        <v>0</v>
      </c>
      <c r="D129" s="1">
        <f t="shared" ref="D129:D192" si="153">2*D128-2*F128*C128*D128+4*G128*D128</f>
        <v>0</v>
      </c>
      <c r="E129" s="1">
        <f t="shared" ref="E129:E192" si="154">4*E128+2*F128+2*G128</f>
        <v>0</v>
      </c>
      <c r="F129" s="1">
        <f t="shared" ref="F129:F192" si="155">C128*(D128^2)-2*E128+5</f>
        <v>0</v>
      </c>
      <c r="G129" s="1">
        <f t="shared" ref="G129:G192" si="156">C128^2-2*(D128^2)-2*E128+7</f>
        <v>0</v>
      </c>
      <c r="I129" s="1">
        <f t="shared" ref="I129:I192" si="157">MAX(ABS(C129),ABS(D129),ABS(E129),ABS(F129),ABS(G129))</f>
        <v>0</v>
      </c>
    </row>
    <row r="130" spans="1:9" x14ac:dyDescent="0.25">
      <c r="C130" s="5">
        <f t="shared" ref="C130" si="158">2-2*G128</f>
        <v>2.2403028091636905</v>
      </c>
      <c r="D130" s="6">
        <f t="shared" ref="D130" si="159">-2*F128*D128</f>
        <v>-2.6091774571648809</v>
      </c>
      <c r="E130" s="6">
        <f>0</f>
        <v>0</v>
      </c>
      <c r="F130" s="6">
        <f t="shared" ref="F130" si="160">-(D128^2)</f>
        <v>-3.735870056786617</v>
      </c>
      <c r="G130" s="7">
        <f t="shared" ref="G130" si="161">-2*C128</f>
        <v>2.2510895668861348</v>
      </c>
    </row>
    <row r="131" spans="1:9" x14ac:dyDescent="0.25">
      <c r="C131" s="8">
        <f t="shared" ref="C131" si="162">-2*F128*D128</f>
        <v>-2.6091774571648809</v>
      </c>
      <c r="D131" s="1">
        <f t="shared" ref="D131" si="163">2-2*F128*C128+4*G128</f>
        <v>0</v>
      </c>
      <c r="E131" s="1">
        <f>0</f>
        <v>0</v>
      </c>
      <c r="F131" s="1">
        <f t="shared" ref="F131" si="164">-2*C128*D128</f>
        <v>-4.3509957203971483</v>
      </c>
      <c r="G131" s="9">
        <f t="shared" ref="G131" si="165">4*D128</f>
        <v>-7.7313595769816494</v>
      </c>
    </row>
    <row r="132" spans="1:9" x14ac:dyDescent="0.25">
      <c r="B132" s="1" t="s">
        <v>20</v>
      </c>
      <c r="C132" s="8">
        <f>0</f>
        <v>0</v>
      </c>
      <c r="D132" s="1">
        <f>0</f>
        <v>0</v>
      </c>
      <c r="E132" s="1">
        <f>4</f>
        <v>4</v>
      </c>
      <c r="F132" s="1">
        <f>2</f>
        <v>2</v>
      </c>
      <c r="G132" s="9">
        <f>2</f>
        <v>2</v>
      </c>
    </row>
    <row r="133" spans="1:9" x14ac:dyDescent="0.25">
      <c r="C133" s="8">
        <f t="shared" ref="C133" si="166">(D128^2)</f>
        <v>3.735870056786617</v>
      </c>
      <c r="D133" s="1">
        <f t="shared" ref="D133" si="167">2*C128*D128</f>
        <v>4.3509957203971483</v>
      </c>
      <c r="E133" s="1">
        <f t="shared" ref="E133:E196" si="168">-2</f>
        <v>-2</v>
      </c>
      <c r="F133" s="1">
        <f>0</f>
        <v>0</v>
      </c>
      <c r="G133" s="9">
        <f>0</f>
        <v>0</v>
      </c>
    </row>
    <row r="134" spans="1:9" x14ac:dyDescent="0.25">
      <c r="C134" s="10">
        <f t="shared" ref="C134" si="169">2*C128</f>
        <v>-2.2510895668861348</v>
      </c>
      <c r="D134" s="11">
        <f t="shared" ref="D134" si="170">-4*D128</f>
        <v>7.7313595769816494</v>
      </c>
      <c r="E134" s="11">
        <f t="shared" si="168"/>
        <v>-2</v>
      </c>
      <c r="F134" s="11">
        <f>0</f>
        <v>0</v>
      </c>
      <c r="G134" s="12">
        <f>0</f>
        <v>0</v>
      </c>
    </row>
    <row r="136" spans="1:9" x14ac:dyDescent="0.25">
      <c r="C136" s="5" cm="1">
        <f t="array" ref="C136:G140">MINVERSE(C130:G134)</f>
        <v>8.0700156546249843E-3</v>
      </c>
      <c r="D136" s="6">
        <v>1.4292798034902623E-2</v>
      </c>
      <c r="E136" s="6">
        <v>4.616821646213741E-2</v>
      </c>
      <c r="F136" s="6">
        <v>0.20495724468206558</v>
      </c>
      <c r="G136" s="7">
        <v>-0.11262081175779078</v>
      </c>
    </row>
    <row r="137" spans="1:9" x14ac:dyDescent="0.25">
      <c r="C137" s="8">
        <v>1.4292798034902625E-2</v>
      </c>
      <c r="D137" s="36">
        <v>2.5313962749184949E-2</v>
      </c>
      <c r="E137" s="36">
        <v>8.1768489897143928E-2</v>
      </c>
      <c r="F137" s="36">
        <v>6.7173463604647099E-2</v>
      </c>
      <c r="G137" s="9">
        <v>9.6363516189640744E-2</v>
      </c>
    </row>
    <row r="138" spans="1:9" x14ac:dyDescent="0.25">
      <c r="B138" s="37" t="s">
        <v>22</v>
      </c>
      <c r="C138" s="8">
        <v>4.616821646213741E-2</v>
      </c>
      <c r="D138" s="36">
        <v>8.1768489897143928E-2</v>
      </c>
      <c r="E138" s="36">
        <v>0.26412640353097638</v>
      </c>
      <c r="F138" s="36">
        <v>2.8982542998645042E-2</v>
      </c>
      <c r="G138" s="9">
        <v>-7.2973593669227454E-4</v>
      </c>
    </row>
    <row r="139" spans="1:9" x14ac:dyDescent="0.25">
      <c r="C139" s="8">
        <v>-0.20495724468206561</v>
      </c>
      <c r="D139" s="36">
        <v>-6.7173463604647099E-2</v>
      </c>
      <c r="E139" s="36">
        <v>-2.8982542998645028E-2</v>
      </c>
      <c r="F139" s="36">
        <v>2.562472663486581E-2</v>
      </c>
      <c r="G139" s="9">
        <v>-8.3589812632155883E-2</v>
      </c>
    </row>
    <row r="140" spans="1:9" x14ac:dyDescent="0.25">
      <c r="C140" s="10">
        <v>0.11262081175779079</v>
      </c>
      <c r="D140" s="11">
        <v>-9.6363516189640758E-2</v>
      </c>
      <c r="E140" s="11">
        <v>7.2973593669226132E-4</v>
      </c>
      <c r="F140" s="11">
        <v>-8.3589812632155897E-2</v>
      </c>
      <c r="G140" s="12">
        <v>8.5049284505540432E-2</v>
      </c>
    </row>
    <row r="141" spans="1:9" x14ac:dyDescent="0.25">
      <c r="B141" s="37" t="s">
        <v>23</v>
      </c>
      <c r="C141" s="1" cm="1">
        <f t="array" ref="C141:G141">-TRANSPOSE(MMULT(C136:G140,TRANSPOSE(C129:G129)))</f>
        <v>0</v>
      </c>
      <c r="D141" s="1">
        <v>0</v>
      </c>
      <c r="E141" s="1">
        <v>0</v>
      </c>
      <c r="F141" s="1">
        <v>0</v>
      </c>
      <c r="G141" s="1">
        <v>0</v>
      </c>
    </row>
    <row r="142" spans="1:9" x14ac:dyDescent="0.25">
      <c r="A142" s="1" t="s">
        <v>4</v>
      </c>
      <c r="B142" s="1" t="s">
        <v>18</v>
      </c>
      <c r="C142" s="1" cm="1">
        <f t="array" ref="C142:G142">C128:G128+C141:G141</f>
        <v>-1.1255447834430674</v>
      </c>
      <c r="D142" s="1">
        <v>-1.9328398942454124</v>
      </c>
      <c r="E142" s="1">
        <v>0.3975554729813337</v>
      </c>
      <c r="F142" s="1">
        <v>-0.67495954138082226</v>
      </c>
      <c r="G142" s="1">
        <v>-0.12015140458184514</v>
      </c>
    </row>
    <row r="143" spans="1:9" x14ac:dyDescent="0.25">
      <c r="A143" s="1">
        <v>11</v>
      </c>
      <c r="B143" s="1" t="s">
        <v>19</v>
      </c>
      <c r="C143" s="1">
        <f t="shared" ref="C143:C206" si="171">2*C142-F142*(D142^2)-2*G142*C142</f>
        <v>0</v>
      </c>
      <c r="D143" s="1">
        <f t="shared" ref="D143:D206" si="172">2*D142-2*F142*C142*D142+4*G142*D142</f>
        <v>0</v>
      </c>
      <c r="E143" s="1">
        <f t="shared" ref="E143:E206" si="173">4*E142+2*F142+2*G142</f>
        <v>0</v>
      </c>
      <c r="F143" s="1">
        <f t="shared" ref="F143:F206" si="174">C142*(D142^2)-2*E142+5</f>
        <v>0</v>
      </c>
      <c r="G143" s="1">
        <f t="shared" ref="G143:G206" si="175">C142^2-2*(D142^2)-2*E142+7</f>
        <v>0</v>
      </c>
      <c r="I143" s="1">
        <f t="shared" ref="I143:I206" si="176">MAX(ABS(C143),ABS(D143),ABS(E143),ABS(F143),ABS(G143))</f>
        <v>0</v>
      </c>
    </row>
    <row r="144" spans="1:9" x14ac:dyDescent="0.25">
      <c r="C144" s="5">
        <f t="shared" ref="C144" si="177">2-2*G142</f>
        <v>2.2403028091636905</v>
      </c>
      <c r="D144" s="6">
        <f t="shared" ref="D144" si="178">-2*F142*D142</f>
        <v>-2.6091774571648809</v>
      </c>
      <c r="E144" s="6">
        <f>0</f>
        <v>0</v>
      </c>
      <c r="F144" s="6">
        <f t="shared" ref="F144" si="179">-(D142^2)</f>
        <v>-3.735870056786617</v>
      </c>
      <c r="G144" s="7">
        <f t="shared" ref="G144" si="180">-2*C142</f>
        <v>2.2510895668861348</v>
      </c>
    </row>
    <row r="145" spans="1:9" x14ac:dyDescent="0.25">
      <c r="C145" s="8">
        <f t="shared" ref="C145" si="181">-2*F142*D142</f>
        <v>-2.6091774571648809</v>
      </c>
      <c r="D145" s="1">
        <f t="shared" ref="D145" si="182">2-2*F142*C142+4*G142</f>
        <v>0</v>
      </c>
      <c r="E145" s="1">
        <f>0</f>
        <v>0</v>
      </c>
      <c r="F145" s="1">
        <f t="shared" ref="F145" si="183">-2*C142*D142</f>
        <v>-4.3509957203971483</v>
      </c>
      <c r="G145" s="9">
        <f t="shared" ref="G145" si="184">4*D142</f>
        <v>-7.7313595769816494</v>
      </c>
    </row>
    <row r="146" spans="1:9" x14ac:dyDescent="0.25">
      <c r="B146" s="1" t="s">
        <v>20</v>
      </c>
      <c r="C146" s="8">
        <f>0</f>
        <v>0</v>
      </c>
      <c r="D146" s="1">
        <f>0</f>
        <v>0</v>
      </c>
      <c r="E146" s="1">
        <f>4</f>
        <v>4</v>
      </c>
      <c r="F146" s="1">
        <f>2</f>
        <v>2</v>
      </c>
      <c r="G146" s="9">
        <f>2</f>
        <v>2</v>
      </c>
    </row>
    <row r="147" spans="1:9" x14ac:dyDescent="0.25">
      <c r="C147" s="8">
        <f t="shared" ref="C147" si="185">(D142^2)</f>
        <v>3.735870056786617</v>
      </c>
      <c r="D147" s="1">
        <f t="shared" ref="D147" si="186">2*C142*D142</f>
        <v>4.3509957203971483</v>
      </c>
      <c r="E147" s="1">
        <f t="shared" ref="E147:E210" si="187">-2</f>
        <v>-2</v>
      </c>
      <c r="F147" s="1">
        <f>0</f>
        <v>0</v>
      </c>
      <c r="G147" s="9">
        <f>0</f>
        <v>0</v>
      </c>
    </row>
    <row r="148" spans="1:9" x14ac:dyDescent="0.25">
      <c r="C148" s="10">
        <f t="shared" ref="C148" si="188">2*C142</f>
        <v>-2.2510895668861348</v>
      </c>
      <c r="D148" s="11">
        <f t="shared" ref="D148" si="189">-4*D142</f>
        <v>7.7313595769816494</v>
      </c>
      <c r="E148" s="11">
        <f t="shared" si="187"/>
        <v>-2</v>
      </c>
      <c r="F148" s="11">
        <f>0</f>
        <v>0</v>
      </c>
      <c r="G148" s="12">
        <f>0</f>
        <v>0</v>
      </c>
    </row>
    <row r="150" spans="1:9" x14ac:dyDescent="0.25">
      <c r="C150" s="5" cm="1">
        <f t="array" ref="C150:G154">MINVERSE(C144:G148)</f>
        <v>8.0700156546249843E-3</v>
      </c>
      <c r="D150" s="6">
        <v>1.4292798034902623E-2</v>
      </c>
      <c r="E150" s="6">
        <v>4.616821646213741E-2</v>
      </c>
      <c r="F150" s="6">
        <v>0.20495724468206558</v>
      </c>
      <c r="G150" s="7">
        <v>-0.11262081175779078</v>
      </c>
    </row>
    <row r="151" spans="1:9" x14ac:dyDescent="0.25">
      <c r="C151" s="8">
        <v>1.4292798034902625E-2</v>
      </c>
      <c r="D151" s="36">
        <v>2.5313962749184949E-2</v>
      </c>
      <c r="E151" s="36">
        <v>8.1768489897143928E-2</v>
      </c>
      <c r="F151" s="36">
        <v>6.7173463604647099E-2</v>
      </c>
      <c r="G151" s="9">
        <v>9.6363516189640744E-2</v>
      </c>
    </row>
    <row r="152" spans="1:9" x14ac:dyDescent="0.25">
      <c r="B152" s="37" t="s">
        <v>22</v>
      </c>
      <c r="C152" s="8">
        <v>4.616821646213741E-2</v>
      </c>
      <c r="D152" s="36">
        <v>8.1768489897143928E-2</v>
      </c>
      <c r="E152" s="36">
        <v>0.26412640353097638</v>
      </c>
      <c r="F152" s="36">
        <v>2.8982542998645042E-2</v>
      </c>
      <c r="G152" s="9">
        <v>-7.2973593669227454E-4</v>
      </c>
    </row>
    <row r="153" spans="1:9" x14ac:dyDescent="0.25">
      <c r="C153" s="8">
        <v>-0.20495724468206561</v>
      </c>
      <c r="D153" s="36">
        <v>-6.7173463604647099E-2</v>
      </c>
      <c r="E153" s="36">
        <v>-2.8982542998645028E-2</v>
      </c>
      <c r="F153" s="36">
        <v>2.562472663486581E-2</v>
      </c>
      <c r="G153" s="9">
        <v>-8.3589812632155883E-2</v>
      </c>
    </row>
    <row r="154" spans="1:9" x14ac:dyDescent="0.25">
      <c r="C154" s="10">
        <v>0.11262081175779079</v>
      </c>
      <c r="D154" s="11">
        <v>-9.6363516189640758E-2</v>
      </c>
      <c r="E154" s="11">
        <v>7.2973593669226132E-4</v>
      </c>
      <c r="F154" s="11">
        <v>-8.3589812632155897E-2</v>
      </c>
      <c r="G154" s="12">
        <v>8.5049284505540432E-2</v>
      </c>
    </row>
    <row r="155" spans="1:9" x14ac:dyDescent="0.25">
      <c r="B155" s="37" t="s">
        <v>23</v>
      </c>
      <c r="C155" s="1" cm="1">
        <f t="array" ref="C155:G155">-TRANSPOSE(MMULT(C150:G154,TRANSPOSE(C143:G143)))</f>
        <v>0</v>
      </c>
      <c r="D155" s="1">
        <v>0</v>
      </c>
      <c r="E155" s="1">
        <v>0</v>
      </c>
      <c r="F155" s="1">
        <v>0</v>
      </c>
      <c r="G155" s="1">
        <v>0</v>
      </c>
    </row>
    <row r="156" spans="1:9" x14ac:dyDescent="0.25">
      <c r="A156" s="1" t="s">
        <v>4</v>
      </c>
      <c r="B156" s="1" t="s">
        <v>18</v>
      </c>
      <c r="C156" s="1" cm="1">
        <f t="array" ref="C156:G156">C142:G142+C155:G155</f>
        <v>-1.1255447834430674</v>
      </c>
      <c r="D156" s="1">
        <v>-1.9328398942454124</v>
      </c>
      <c r="E156" s="1">
        <v>0.3975554729813337</v>
      </c>
      <c r="F156" s="1">
        <v>-0.67495954138082226</v>
      </c>
      <c r="G156" s="1">
        <v>-0.12015140458184514</v>
      </c>
    </row>
    <row r="157" spans="1:9" x14ac:dyDescent="0.25">
      <c r="A157" s="1">
        <v>12</v>
      </c>
      <c r="B157" s="1" t="s">
        <v>19</v>
      </c>
      <c r="C157" s="1">
        <f t="shared" ref="C157:C220" si="190">2*C156-F156*(D156^2)-2*G156*C156</f>
        <v>0</v>
      </c>
      <c r="D157" s="1">
        <f t="shared" ref="D157:D220" si="191">2*D156-2*F156*C156*D156+4*G156*D156</f>
        <v>0</v>
      </c>
      <c r="E157" s="1">
        <f t="shared" ref="E157:E220" si="192">4*E156+2*F156+2*G156</f>
        <v>0</v>
      </c>
      <c r="F157" s="1">
        <f t="shared" ref="F157:F220" si="193">C156*(D156^2)-2*E156+5</f>
        <v>0</v>
      </c>
      <c r="G157" s="1">
        <f t="shared" ref="G157:G220" si="194">C156^2-2*(D156^2)-2*E156+7</f>
        <v>0</v>
      </c>
      <c r="I157" s="1">
        <f t="shared" ref="I157:I220" si="195">MAX(ABS(C157),ABS(D157),ABS(E157),ABS(F157),ABS(G157))</f>
        <v>0</v>
      </c>
    </row>
    <row r="158" spans="1:9" x14ac:dyDescent="0.25">
      <c r="C158" s="5">
        <f t="shared" ref="C158" si="196">2-2*G156</f>
        <v>2.2403028091636905</v>
      </c>
      <c r="D158" s="6">
        <f t="shared" ref="D158" si="197">-2*F156*D156</f>
        <v>-2.6091774571648809</v>
      </c>
      <c r="E158" s="6">
        <f>0</f>
        <v>0</v>
      </c>
      <c r="F158" s="6">
        <f t="shared" ref="F158" si="198">-(D156^2)</f>
        <v>-3.735870056786617</v>
      </c>
      <c r="G158" s="7">
        <f t="shared" ref="G158" si="199">-2*C156</f>
        <v>2.2510895668861348</v>
      </c>
    </row>
    <row r="159" spans="1:9" x14ac:dyDescent="0.25">
      <c r="C159" s="8">
        <f t="shared" ref="C159" si="200">-2*F156*D156</f>
        <v>-2.6091774571648809</v>
      </c>
      <c r="D159" s="1">
        <f t="shared" ref="D159" si="201">2-2*F156*C156+4*G156</f>
        <v>0</v>
      </c>
      <c r="E159" s="1">
        <f>0</f>
        <v>0</v>
      </c>
      <c r="F159" s="1">
        <f t="shared" ref="F159" si="202">-2*C156*D156</f>
        <v>-4.3509957203971483</v>
      </c>
      <c r="G159" s="9">
        <f t="shared" ref="G159" si="203">4*D156</f>
        <v>-7.7313595769816494</v>
      </c>
    </row>
    <row r="160" spans="1:9" x14ac:dyDescent="0.25">
      <c r="B160" s="1" t="s">
        <v>20</v>
      </c>
      <c r="C160" s="8">
        <f>0</f>
        <v>0</v>
      </c>
      <c r="D160" s="1">
        <f>0</f>
        <v>0</v>
      </c>
      <c r="E160" s="1">
        <f>4</f>
        <v>4</v>
      </c>
      <c r="F160" s="1">
        <f>2</f>
        <v>2</v>
      </c>
      <c r="G160" s="9">
        <f>2</f>
        <v>2</v>
      </c>
    </row>
    <row r="161" spans="1:9" x14ac:dyDescent="0.25">
      <c r="C161" s="8">
        <f t="shared" ref="C161" si="204">(D156^2)</f>
        <v>3.735870056786617</v>
      </c>
      <c r="D161" s="1">
        <f t="shared" ref="D161" si="205">2*C156*D156</f>
        <v>4.3509957203971483</v>
      </c>
      <c r="E161" s="1">
        <f t="shared" ref="E161:E224" si="206">-2</f>
        <v>-2</v>
      </c>
      <c r="F161" s="1">
        <f>0</f>
        <v>0</v>
      </c>
      <c r="G161" s="9">
        <f>0</f>
        <v>0</v>
      </c>
    </row>
    <row r="162" spans="1:9" x14ac:dyDescent="0.25">
      <c r="C162" s="10">
        <f t="shared" ref="C162" si="207">2*C156</f>
        <v>-2.2510895668861348</v>
      </c>
      <c r="D162" s="11">
        <f t="shared" ref="D162" si="208">-4*D156</f>
        <v>7.7313595769816494</v>
      </c>
      <c r="E162" s="11">
        <f t="shared" si="206"/>
        <v>-2</v>
      </c>
      <c r="F162" s="11">
        <f>0</f>
        <v>0</v>
      </c>
      <c r="G162" s="12">
        <f>0</f>
        <v>0</v>
      </c>
    </row>
    <row r="164" spans="1:9" x14ac:dyDescent="0.25">
      <c r="C164" s="5" cm="1">
        <f t="array" ref="C164:G168">MINVERSE(C158:G162)</f>
        <v>8.0700156546249843E-3</v>
      </c>
      <c r="D164" s="6">
        <v>1.4292798034902623E-2</v>
      </c>
      <c r="E164" s="6">
        <v>4.616821646213741E-2</v>
      </c>
      <c r="F164" s="6">
        <v>0.20495724468206558</v>
      </c>
      <c r="G164" s="7">
        <v>-0.11262081175779078</v>
      </c>
    </row>
    <row r="165" spans="1:9" x14ac:dyDescent="0.25">
      <c r="C165" s="8">
        <v>1.4292798034902625E-2</v>
      </c>
      <c r="D165" s="36">
        <v>2.5313962749184949E-2</v>
      </c>
      <c r="E165" s="36">
        <v>8.1768489897143928E-2</v>
      </c>
      <c r="F165" s="36">
        <v>6.7173463604647099E-2</v>
      </c>
      <c r="G165" s="9">
        <v>9.6363516189640744E-2</v>
      </c>
    </row>
    <row r="166" spans="1:9" x14ac:dyDescent="0.25">
      <c r="B166" s="37" t="s">
        <v>22</v>
      </c>
      <c r="C166" s="8">
        <v>4.616821646213741E-2</v>
      </c>
      <c r="D166" s="36">
        <v>8.1768489897143928E-2</v>
      </c>
      <c r="E166" s="36">
        <v>0.26412640353097638</v>
      </c>
      <c r="F166" s="36">
        <v>2.8982542998645042E-2</v>
      </c>
      <c r="G166" s="9">
        <v>-7.2973593669227454E-4</v>
      </c>
    </row>
    <row r="167" spans="1:9" x14ac:dyDescent="0.25">
      <c r="C167" s="8">
        <v>-0.20495724468206561</v>
      </c>
      <c r="D167" s="36">
        <v>-6.7173463604647099E-2</v>
      </c>
      <c r="E167" s="36">
        <v>-2.8982542998645028E-2</v>
      </c>
      <c r="F167" s="36">
        <v>2.562472663486581E-2</v>
      </c>
      <c r="G167" s="9">
        <v>-8.3589812632155883E-2</v>
      </c>
    </row>
    <row r="168" spans="1:9" x14ac:dyDescent="0.25">
      <c r="C168" s="10">
        <v>0.11262081175779079</v>
      </c>
      <c r="D168" s="11">
        <v>-9.6363516189640758E-2</v>
      </c>
      <c r="E168" s="11">
        <v>7.2973593669226132E-4</v>
      </c>
      <c r="F168" s="11">
        <v>-8.3589812632155897E-2</v>
      </c>
      <c r="G168" s="12">
        <v>8.5049284505540432E-2</v>
      </c>
    </row>
    <row r="169" spans="1:9" x14ac:dyDescent="0.25">
      <c r="B169" s="37" t="s">
        <v>23</v>
      </c>
      <c r="C169" s="1" cm="1">
        <f t="array" ref="C169:G169">-TRANSPOSE(MMULT(C164:G168,TRANSPOSE(C157:G157)))</f>
        <v>0</v>
      </c>
      <c r="D169" s="1">
        <v>0</v>
      </c>
      <c r="E169" s="1">
        <v>0</v>
      </c>
      <c r="F169" s="1">
        <v>0</v>
      </c>
      <c r="G169" s="1">
        <v>0</v>
      </c>
    </row>
    <row r="170" spans="1:9" x14ac:dyDescent="0.25">
      <c r="A170" s="1" t="s">
        <v>4</v>
      </c>
      <c r="B170" s="1" t="s">
        <v>18</v>
      </c>
      <c r="C170" s="1" cm="1">
        <f t="array" ref="C170:G170">C156:G156+C169:G169</f>
        <v>-1.1255447834430674</v>
      </c>
      <c r="D170" s="1">
        <v>-1.9328398942454124</v>
      </c>
      <c r="E170" s="1">
        <v>0.3975554729813337</v>
      </c>
      <c r="F170" s="1">
        <v>-0.67495954138082226</v>
      </c>
      <c r="G170" s="1">
        <v>-0.12015140458184514</v>
      </c>
    </row>
    <row r="171" spans="1:9" x14ac:dyDescent="0.25">
      <c r="A171" s="1">
        <v>13</v>
      </c>
      <c r="B171" s="1" t="s">
        <v>19</v>
      </c>
      <c r="C171" s="1">
        <f t="shared" ref="C171:C234" si="209">2*C170-F170*(D170^2)-2*G170*C170</f>
        <v>0</v>
      </c>
      <c r="D171" s="1">
        <f t="shared" ref="D171:D234" si="210">2*D170-2*F170*C170*D170+4*G170*D170</f>
        <v>0</v>
      </c>
      <c r="E171" s="1">
        <f t="shared" ref="E171:E234" si="211">4*E170+2*F170+2*G170</f>
        <v>0</v>
      </c>
      <c r="F171" s="1">
        <f t="shared" ref="F171:F234" si="212">C170*(D170^2)-2*E170+5</f>
        <v>0</v>
      </c>
      <c r="G171" s="1">
        <f t="shared" ref="G171:G234" si="213">C170^2-2*(D170^2)-2*E170+7</f>
        <v>0</v>
      </c>
      <c r="I171" s="1">
        <f t="shared" ref="I171:I234" si="214">MAX(ABS(C171),ABS(D171),ABS(E171),ABS(F171),ABS(G171))</f>
        <v>0</v>
      </c>
    </row>
    <row r="172" spans="1:9" x14ac:dyDescent="0.25">
      <c r="C172" s="5">
        <f t="shared" ref="C172" si="215">2-2*G170</f>
        <v>2.2403028091636905</v>
      </c>
      <c r="D172" s="6">
        <f t="shared" ref="D172" si="216">-2*F170*D170</f>
        <v>-2.6091774571648809</v>
      </c>
      <c r="E172" s="6">
        <f>0</f>
        <v>0</v>
      </c>
      <c r="F172" s="6">
        <f t="shared" ref="F172" si="217">-(D170^2)</f>
        <v>-3.735870056786617</v>
      </c>
      <c r="G172" s="7">
        <f t="shared" ref="G172" si="218">-2*C170</f>
        <v>2.2510895668861348</v>
      </c>
    </row>
    <row r="173" spans="1:9" x14ac:dyDescent="0.25">
      <c r="C173" s="8">
        <f t="shared" ref="C173" si="219">-2*F170*D170</f>
        <v>-2.6091774571648809</v>
      </c>
      <c r="D173" s="1">
        <f t="shared" ref="D173" si="220">2-2*F170*C170+4*G170</f>
        <v>0</v>
      </c>
      <c r="E173" s="1">
        <f>0</f>
        <v>0</v>
      </c>
      <c r="F173" s="1">
        <f t="shared" ref="F173" si="221">-2*C170*D170</f>
        <v>-4.3509957203971483</v>
      </c>
      <c r="G173" s="9">
        <f t="shared" ref="G173" si="222">4*D170</f>
        <v>-7.7313595769816494</v>
      </c>
    </row>
    <row r="174" spans="1:9" x14ac:dyDescent="0.25">
      <c r="B174" s="1" t="s">
        <v>20</v>
      </c>
      <c r="C174" s="8">
        <f>0</f>
        <v>0</v>
      </c>
      <c r="D174" s="1">
        <f>0</f>
        <v>0</v>
      </c>
      <c r="E174" s="1">
        <f>4</f>
        <v>4</v>
      </c>
      <c r="F174" s="1">
        <f>2</f>
        <v>2</v>
      </c>
      <c r="G174" s="9">
        <f>2</f>
        <v>2</v>
      </c>
    </row>
    <row r="175" spans="1:9" x14ac:dyDescent="0.25">
      <c r="C175" s="8">
        <f t="shared" ref="C175" si="223">(D170^2)</f>
        <v>3.735870056786617</v>
      </c>
      <c r="D175" s="1">
        <f t="shared" ref="D175" si="224">2*C170*D170</f>
        <v>4.3509957203971483</v>
      </c>
      <c r="E175" s="1">
        <f t="shared" ref="E175:E238" si="225">-2</f>
        <v>-2</v>
      </c>
      <c r="F175" s="1">
        <f>0</f>
        <v>0</v>
      </c>
      <c r="G175" s="9">
        <f>0</f>
        <v>0</v>
      </c>
    </row>
    <row r="176" spans="1:9" x14ac:dyDescent="0.25">
      <c r="C176" s="10">
        <f t="shared" ref="C176" si="226">2*C170</f>
        <v>-2.2510895668861348</v>
      </c>
      <c r="D176" s="11">
        <f t="shared" ref="D176" si="227">-4*D170</f>
        <v>7.7313595769816494</v>
      </c>
      <c r="E176" s="11">
        <f t="shared" si="225"/>
        <v>-2</v>
      </c>
      <c r="F176" s="11">
        <f>0</f>
        <v>0</v>
      </c>
      <c r="G176" s="12">
        <f>0</f>
        <v>0</v>
      </c>
    </row>
    <row r="178" spans="1:9" x14ac:dyDescent="0.25">
      <c r="C178" s="5" cm="1">
        <f t="array" ref="C178:G182">MINVERSE(C172:G176)</f>
        <v>8.0700156546249843E-3</v>
      </c>
      <c r="D178" s="6">
        <v>1.4292798034902623E-2</v>
      </c>
      <c r="E178" s="6">
        <v>4.616821646213741E-2</v>
      </c>
      <c r="F178" s="6">
        <v>0.20495724468206558</v>
      </c>
      <c r="G178" s="7">
        <v>-0.11262081175779078</v>
      </c>
    </row>
    <row r="179" spans="1:9" x14ac:dyDescent="0.25">
      <c r="C179" s="8">
        <v>1.4292798034902625E-2</v>
      </c>
      <c r="D179" s="36">
        <v>2.5313962749184949E-2</v>
      </c>
      <c r="E179" s="36">
        <v>8.1768489897143928E-2</v>
      </c>
      <c r="F179" s="36">
        <v>6.7173463604647099E-2</v>
      </c>
      <c r="G179" s="9">
        <v>9.6363516189640744E-2</v>
      </c>
    </row>
    <row r="180" spans="1:9" x14ac:dyDescent="0.25">
      <c r="B180" s="37" t="s">
        <v>22</v>
      </c>
      <c r="C180" s="8">
        <v>4.616821646213741E-2</v>
      </c>
      <c r="D180" s="36">
        <v>8.1768489897143928E-2</v>
      </c>
      <c r="E180" s="36">
        <v>0.26412640353097638</v>
      </c>
      <c r="F180" s="36">
        <v>2.8982542998645042E-2</v>
      </c>
      <c r="G180" s="9">
        <v>-7.2973593669227454E-4</v>
      </c>
    </row>
    <row r="181" spans="1:9" x14ac:dyDescent="0.25">
      <c r="C181" s="8">
        <v>-0.20495724468206561</v>
      </c>
      <c r="D181" s="36">
        <v>-6.7173463604647099E-2</v>
      </c>
      <c r="E181" s="36">
        <v>-2.8982542998645028E-2</v>
      </c>
      <c r="F181" s="36">
        <v>2.562472663486581E-2</v>
      </c>
      <c r="G181" s="9">
        <v>-8.3589812632155883E-2</v>
      </c>
    </row>
    <row r="182" spans="1:9" x14ac:dyDescent="0.25">
      <c r="C182" s="10">
        <v>0.11262081175779079</v>
      </c>
      <c r="D182" s="11">
        <v>-9.6363516189640758E-2</v>
      </c>
      <c r="E182" s="11">
        <v>7.2973593669226132E-4</v>
      </c>
      <c r="F182" s="11">
        <v>-8.3589812632155897E-2</v>
      </c>
      <c r="G182" s="12">
        <v>8.5049284505540432E-2</v>
      </c>
    </row>
    <row r="183" spans="1:9" x14ac:dyDescent="0.25">
      <c r="B183" s="37" t="s">
        <v>23</v>
      </c>
      <c r="C183" s="1" cm="1">
        <f t="array" ref="C183:G183">-TRANSPOSE(MMULT(C178:G182,TRANSPOSE(C171:G171)))</f>
        <v>0</v>
      </c>
      <c r="D183" s="1">
        <v>0</v>
      </c>
      <c r="E183" s="1">
        <v>0</v>
      </c>
      <c r="F183" s="1">
        <v>0</v>
      </c>
      <c r="G183" s="1">
        <v>0</v>
      </c>
    </row>
    <row r="184" spans="1:9" x14ac:dyDescent="0.25">
      <c r="A184" s="1" t="s">
        <v>4</v>
      </c>
      <c r="B184" s="1" t="s">
        <v>18</v>
      </c>
      <c r="C184" s="1" cm="1">
        <f t="array" ref="C184:G184">C170:G170+C183:G183</f>
        <v>-1.1255447834430674</v>
      </c>
      <c r="D184" s="1">
        <v>-1.9328398942454124</v>
      </c>
      <c r="E184" s="1">
        <v>0.3975554729813337</v>
      </c>
      <c r="F184" s="1">
        <v>-0.67495954138082226</v>
      </c>
      <c r="G184" s="1">
        <v>-0.12015140458184514</v>
      </c>
    </row>
    <row r="185" spans="1:9" x14ac:dyDescent="0.25">
      <c r="A185" s="1">
        <v>14</v>
      </c>
      <c r="B185" s="1" t="s">
        <v>19</v>
      </c>
      <c r="C185" s="1">
        <f t="shared" ref="C185:C248" si="228">2*C184-F184*(D184^2)-2*G184*C184</f>
        <v>0</v>
      </c>
      <c r="D185" s="1">
        <f t="shared" ref="D185:D248" si="229">2*D184-2*F184*C184*D184+4*G184*D184</f>
        <v>0</v>
      </c>
      <c r="E185" s="1">
        <f t="shared" ref="E185:E248" si="230">4*E184+2*F184+2*G184</f>
        <v>0</v>
      </c>
      <c r="F185" s="1">
        <f t="shared" ref="F185:F248" si="231">C184*(D184^2)-2*E184+5</f>
        <v>0</v>
      </c>
      <c r="G185" s="1">
        <f t="shared" ref="G185:G248" si="232">C184^2-2*(D184^2)-2*E184+7</f>
        <v>0</v>
      </c>
      <c r="I185" s="1">
        <f t="shared" ref="I185:I248" si="233">MAX(ABS(C185),ABS(D185),ABS(E185),ABS(F185),ABS(G185))</f>
        <v>0</v>
      </c>
    </row>
    <row r="186" spans="1:9" x14ac:dyDescent="0.25">
      <c r="C186" s="5">
        <f t="shared" ref="C186" si="234">2-2*G184</f>
        <v>2.2403028091636905</v>
      </c>
      <c r="D186" s="6">
        <f t="shared" ref="D186" si="235">-2*F184*D184</f>
        <v>-2.6091774571648809</v>
      </c>
      <c r="E186" s="6">
        <f>0</f>
        <v>0</v>
      </c>
      <c r="F186" s="6">
        <f t="shared" ref="F186" si="236">-(D184^2)</f>
        <v>-3.735870056786617</v>
      </c>
      <c r="G186" s="7">
        <f t="shared" ref="G186" si="237">-2*C184</f>
        <v>2.2510895668861348</v>
      </c>
    </row>
    <row r="187" spans="1:9" x14ac:dyDescent="0.25">
      <c r="C187" s="8">
        <f t="shared" ref="C187" si="238">-2*F184*D184</f>
        <v>-2.6091774571648809</v>
      </c>
      <c r="D187" s="1">
        <f t="shared" ref="D187" si="239">2-2*F184*C184+4*G184</f>
        <v>0</v>
      </c>
      <c r="E187" s="1">
        <f>0</f>
        <v>0</v>
      </c>
      <c r="F187" s="1">
        <f t="shared" ref="F187" si="240">-2*C184*D184</f>
        <v>-4.3509957203971483</v>
      </c>
      <c r="G187" s="9">
        <f t="shared" ref="G187" si="241">4*D184</f>
        <v>-7.7313595769816494</v>
      </c>
    </row>
    <row r="188" spans="1:9" x14ac:dyDescent="0.25">
      <c r="B188" s="1" t="s">
        <v>20</v>
      </c>
      <c r="C188" s="8">
        <f>0</f>
        <v>0</v>
      </c>
      <c r="D188" s="1">
        <f>0</f>
        <v>0</v>
      </c>
      <c r="E188" s="1">
        <f>4</f>
        <v>4</v>
      </c>
      <c r="F188" s="1">
        <f>2</f>
        <v>2</v>
      </c>
      <c r="G188" s="9">
        <f>2</f>
        <v>2</v>
      </c>
    </row>
    <row r="189" spans="1:9" x14ac:dyDescent="0.25">
      <c r="C189" s="8">
        <f t="shared" ref="C189" si="242">(D184^2)</f>
        <v>3.735870056786617</v>
      </c>
      <c r="D189" s="1">
        <f t="shared" ref="D189" si="243">2*C184*D184</f>
        <v>4.3509957203971483</v>
      </c>
      <c r="E189" s="1">
        <f t="shared" ref="E189:E252" si="244">-2</f>
        <v>-2</v>
      </c>
      <c r="F189" s="1">
        <f>0</f>
        <v>0</v>
      </c>
      <c r="G189" s="9">
        <f>0</f>
        <v>0</v>
      </c>
    </row>
    <row r="190" spans="1:9" x14ac:dyDescent="0.25">
      <c r="C190" s="10">
        <f t="shared" ref="C190" si="245">2*C184</f>
        <v>-2.2510895668861348</v>
      </c>
      <c r="D190" s="11">
        <f t="shared" ref="D190" si="246">-4*D184</f>
        <v>7.7313595769816494</v>
      </c>
      <c r="E190" s="11">
        <f t="shared" si="244"/>
        <v>-2</v>
      </c>
      <c r="F190" s="11">
        <f>0</f>
        <v>0</v>
      </c>
      <c r="G190" s="12">
        <f>0</f>
        <v>0</v>
      </c>
    </row>
    <row r="192" spans="1:9" x14ac:dyDescent="0.25">
      <c r="C192" s="5" cm="1">
        <f t="array" ref="C192:G196">MINVERSE(C186:G190)</f>
        <v>8.0700156546249843E-3</v>
      </c>
      <c r="D192" s="6">
        <v>1.4292798034902623E-2</v>
      </c>
      <c r="E192" s="6">
        <v>4.616821646213741E-2</v>
      </c>
      <c r="F192" s="6">
        <v>0.20495724468206558</v>
      </c>
      <c r="G192" s="7">
        <v>-0.11262081175779078</v>
      </c>
    </row>
    <row r="193" spans="1:9" x14ac:dyDescent="0.25">
      <c r="C193" s="8">
        <v>1.4292798034902625E-2</v>
      </c>
      <c r="D193" s="36">
        <v>2.5313962749184949E-2</v>
      </c>
      <c r="E193" s="36">
        <v>8.1768489897143928E-2</v>
      </c>
      <c r="F193" s="36">
        <v>6.7173463604647099E-2</v>
      </c>
      <c r="G193" s="9">
        <v>9.6363516189640744E-2</v>
      </c>
    </row>
    <row r="194" spans="1:9" x14ac:dyDescent="0.25">
      <c r="B194" s="37" t="s">
        <v>22</v>
      </c>
      <c r="C194" s="8">
        <v>4.616821646213741E-2</v>
      </c>
      <c r="D194" s="36">
        <v>8.1768489897143928E-2</v>
      </c>
      <c r="E194" s="36">
        <v>0.26412640353097638</v>
      </c>
      <c r="F194" s="36">
        <v>2.8982542998645042E-2</v>
      </c>
      <c r="G194" s="9">
        <v>-7.2973593669227454E-4</v>
      </c>
    </row>
    <row r="195" spans="1:9" x14ac:dyDescent="0.25">
      <c r="C195" s="8">
        <v>-0.20495724468206561</v>
      </c>
      <c r="D195" s="36">
        <v>-6.7173463604647099E-2</v>
      </c>
      <c r="E195" s="36">
        <v>-2.8982542998645028E-2</v>
      </c>
      <c r="F195" s="36">
        <v>2.562472663486581E-2</v>
      </c>
      <c r="G195" s="9">
        <v>-8.3589812632155883E-2</v>
      </c>
    </row>
    <row r="196" spans="1:9" x14ac:dyDescent="0.25">
      <c r="C196" s="10">
        <v>0.11262081175779079</v>
      </c>
      <c r="D196" s="11">
        <v>-9.6363516189640758E-2</v>
      </c>
      <c r="E196" s="11">
        <v>7.2973593669226132E-4</v>
      </c>
      <c r="F196" s="11">
        <v>-8.3589812632155897E-2</v>
      </c>
      <c r="G196" s="12">
        <v>8.5049284505540432E-2</v>
      </c>
    </row>
    <row r="197" spans="1:9" x14ac:dyDescent="0.25">
      <c r="B197" s="37" t="s">
        <v>23</v>
      </c>
      <c r="C197" s="1" cm="1">
        <f t="array" ref="C197:G197">-TRANSPOSE(MMULT(C192:G196,TRANSPOSE(C185:G185)))</f>
        <v>0</v>
      </c>
      <c r="D197" s="1">
        <v>0</v>
      </c>
      <c r="E197" s="1">
        <v>0</v>
      </c>
      <c r="F197" s="1">
        <v>0</v>
      </c>
      <c r="G197" s="1">
        <v>0</v>
      </c>
    </row>
    <row r="198" spans="1:9" x14ac:dyDescent="0.25">
      <c r="A198" s="1" t="s">
        <v>4</v>
      </c>
      <c r="B198" s="1" t="s">
        <v>18</v>
      </c>
      <c r="C198" s="1" cm="1">
        <f t="array" ref="C198:G198">C184:G184+C197:G197</f>
        <v>-1.1255447834430674</v>
      </c>
      <c r="D198" s="1">
        <v>-1.9328398942454124</v>
      </c>
      <c r="E198" s="1">
        <v>0.3975554729813337</v>
      </c>
      <c r="F198" s="1">
        <v>-0.67495954138082226</v>
      </c>
      <c r="G198" s="1">
        <v>-0.12015140458184514</v>
      </c>
    </row>
    <row r="199" spans="1:9" x14ac:dyDescent="0.25">
      <c r="A199" s="1">
        <v>15</v>
      </c>
      <c r="B199" s="1" t="s">
        <v>19</v>
      </c>
      <c r="C199" s="1">
        <f t="shared" ref="C199:C262" si="247">2*C198-F198*(D198^2)-2*G198*C198</f>
        <v>0</v>
      </c>
      <c r="D199" s="1">
        <f t="shared" ref="D199:D262" si="248">2*D198-2*F198*C198*D198+4*G198*D198</f>
        <v>0</v>
      </c>
      <c r="E199" s="1">
        <f t="shared" ref="E199:E262" si="249">4*E198+2*F198+2*G198</f>
        <v>0</v>
      </c>
      <c r="F199" s="1">
        <f t="shared" ref="F199:F262" si="250">C198*(D198^2)-2*E198+5</f>
        <v>0</v>
      </c>
      <c r="G199" s="1">
        <f t="shared" ref="G199:G262" si="251">C198^2-2*(D198^2)-2*E198+7</f>
        <v>0</v>
      </c>
      <c r="I199" s="1">
        <f t="shared" ref="I199:I262" si="252">MAX(ABS(C199),ABS(D199),ABS(E199),ABS(F199),ABS(G199))</f>
        <v>0</v>
      </c>
    </row>
    <row r="200" spans="1:9" x14ac:dyDescent="0.25">
      <c r="C200" s="5">
        <f t="shared" ref="C200" si="253">2-2*G198</f>
        <v>2.2403028091636905</v>
      </c>
      <c r="D200" s="6">
        <f t="shared" ref="D200" si="254">-2*F198*D198</f>
        <v>-2.6091774571648809</v>
      </c>
      <c r="E200" s="6">
        <f>0</f>
        <v>0</v>
      </c>
      <c r="F200" s="6">
        <f t="shared" ref="F200" si="255">-(D198^2)</f>
        <v>-3.735870056786617</v>
      </c>
      <c r="G200" s="7">
        <f t="shared" ref="G200" si="256">-2*C198</f>
        <v>2.2510895668861348</v>
      </c>
    </row>
    <row r="201" spans="1:9" x14ac:dyDescent="0.25">
      <c r="C201" s="8">
        <f t="shared" ref="C201" si="257">-2*F198*D198</f>
        <v>-2.6091774571648809</v>
      </c>
      <c r="D201" s="1">
        <f t="shared" ref="D201" si="258">2-2*F198*C198+4*G198</f>
        <v>0</v>
      </c>
      <c r="E201" s="1">
        <f>0</f>
        <v>0</v>
      </c>
      <c r="F201" s="1">
        <f t="shared" ref="F201" si="259">-2*C198*D198</f>
        <v>-4.3509957203971483</v>
      </c>
      <c r="G201" s="9">
        <f t="shared" ref="G201" si="260">4*D198</f>
        <v>-7.7313595769816494</v>
      </c>
    </row>
    <row r="202" spans="1:9" x14ac:dyDescent="0.25">
      <c r="B202" s="1" t="s">
        <v>20</v>
      </c>
      <c r="C202" s="8">
        <f>0</f>
        <v>0</v>
      </c>
      <c r="D202" s="1">
        <f>0</f>
        <v>0</v>
      </c>
      <c r="E202" s="1">
        <f>4</f>
        <v>4</v>
      </c>
      <c r="F202" s="1">
        <f>2</f>
        <v>2</v>
      </c>
      <c r="G202" s="9">
        <f>2</f>
        <v>2</v>
      </c>
    </row>
    <row r="203" spans="1:9" x14ac:dyDescent="0.25">
      <c r="C203" s="8">
        <f t="shared" ref="C203" si="261">(D198^2)</f>
        <v>3.735870056786617</v>
      </c>
      <c r="D203" s="1">
        <f t="shared" ref="D203" si="262">2*C198*D198</f>
        <v>4.3509957203971483</v>
      </c>
      <c r="E203" s="1">
        <f t="shared" ref="E203:E266" si="263">-2</f>
        <v>-2</v>
      </c>
      <c r="F203" s="1">
        <f>0</f>
        <v>0</v>
      </c>
      <c r="G203" s="9">
        <f>0</f>
        <v>0</v>
      </c>
    </row>
    <row r="204" spans="1:9" x14ac:dyDescent="0.25">
      <c r="C204" s="10">
        <f t="shared" ref="C204" si="264">2*C198</f>
        <v>-2.2510895668861348</v>
      </c>
      <c r="D204" s="11">
        <f t="shared" ref="D204" si="265">-4*D198</f>
        <v>7.7313595769816494</v>
      </c>
      <c r="E204" s="11">
        <f t="shared" si="263"/>
        <v>-2</v>
      </c>
      <c r="F204" s="11">
        <f>0</f>
        <v>0</v>
      </c>
      <c r="G204" s="12">
        <f>0</f>
        <v>0</v>
      </c>
    </row>
    <row r="206" spans="1:9" x14ac:dyDescent="0.25">
      <c r="C206" s="5" cm="1">
        <f t="array" ref="C206:G210">MINVERSE(C200:G204)</f>
        <v>8.0700156546249843E-3</v>
      </c>
      <c r="D206" s="6">
        <v>1.4292798034902623E-2</v>
      </c>
      <c r="E206" s="6">
        <v>4.616821646213741E-2</v>
      </c>
      <c r="F206" s="6">
        <v>0.20495724468206558</v>
      </c>
      <c r="G206" s="7">
        <v>-0.11262081175779078</v>
      </c>
    </row>
    <row r="207" spans="1:9" x14ac:dyDescent="0.25">
      <c r="C207" s="8">
        <v>1.4292798034902625E-2</v>
      </c>
      <c r="D207" s="36">
        <v>2.5313962749184949E-2</v>
      </c>
      <c r="E207" s="36">
        <v>8.1768489897143928E-2</v>
      </c>
      <c r="F207" s="36">
        <v>6.7173463604647099E-2</v>
      </c>
      <c r="G207" s="9">
        <v>9.6363516189640744E-2</v>
      </c>
    </row>
    <row r="208" spans="1:9" x14ac:dyDescent="0.25">
      <c r="B208" s="37" t="s">
        <v>22</v>
      </c>
      <c r="C208" s="8">
        <v>4.616821646213741E-2</v>
      </c>
      <c r="D208" s="36">
        <v>8.1768489897143928E-2</v>
      </c>
      <c r="E208" s="36">
        <v>0.26412640353097638</v>
      </c>
      <c r="F208" s="36">
        <v>2.8982542998645042E-2</v>
      </c>
      <c r="G208" s="9">
        <v>-7.2973593669227454E-4</v>
      </c>
    </row>
    <row r="209" spans="1:9" x14ac:dyDescent="0.25">
      <c r="C209" s="8">
        <v>-0.20495724468206561</v>
      </c>
      <c r="D209" s="36">
        <v>-6.7173463604647099E-2</v>
      </c>
      <c r="E209" s="36">
        <v>-2.8982542998645028E-2</v>
      </c>
      <c r="F209" s="36">
        <v>2.562472663486581E-2</v>
      </c>
      <c r="G209" s="9">
        <v>-8.3589812632155883E-2</v>
      </c>
    </row>
    <row r="210" spans="1:9" x14ac:dyDescent="0.25">
      <c r="C210" s="10">
        <v>0.11262081175779079</v>
      </c>
      <c r="D210" s="11">
        <v>-9.6363516189640758E-2</v>
      </c>
      <c r="E210" s="11">
        <v>7.2973593669226132E-4</v>
      </c>
      <c r="F210" s="11">
        <v>-8.3589812632155897E-2</v>
      </c>
      <c r="G210" s="12">
        <v>8.5049284505540432E-2</v>
      </c>
    </row>
    <row r="211" spans="1:9" x14ac:dyDescent="0.25">
      <c r="B211" s="37" t="s">
        <v>23</v>
      </c>
      <c r="C211" s="1" cm="1">
        <f t="array" ref="C211:G211">-TRANSPOSE(MMULT(C206:G210,TRANSPOSE(C199:G199)))</f>
        <v>0</v>
      </c>
      <c r="D211" s="1">
        <v>0</v>
      </c>
      <c r="E211" s="1">
        <v>0</v>
      </c>
      <c r="F211" s="1">
        <v>0</v>
      </c>
      <c r="G211" s="1">
        <v>0</v>
      </c>
    </row>
    <row r="212" spans="1:9" x14ac:dyDescent="0.25">
      <c r="A212" s="1" t="s">
        <v>4</v>
      </c>
      <c r="B212" s="1" t="s">
        <v>18</v>
      </c>
      <c r="C212" s="1" cm="1">
        <f t="array" ref="C212:G212">C198:G198+C211:G211</f>
        <v>-1.1255447834430674</v>
      </c>
      <c r="D212" s="1">
        <v>-1.9328398942454124</v>
      </c>
      <c r="E212" s="1">
        <v>0.3975554729813337</v>
      </c>
      <c r="F212" s="1">
        <v>-0.67495954138082226</v>
      </c>
      <c r="G212" s="1">
        <v>-0.12015140458184514</v>
      </c>
    </row>
    <row r="213" spans="1:9" x14ac:dyDescent="0.25">
      <c r="A213" s="1">
        <v>16</v>
      </c>
      <c r="B213" s="1" t="s">
        <v>19</v>
      </c>
      <c r="C213" s="1">
        <f t="shared" ref="C213:C276" si="266">2*C212-F212*(D212^2)-2*G212*C212</f>
        <v>0</v>
      </c>
      <c r="D213" s="1">
        <f t="shared" ref="D213:D276" si="267">2*D212-2*F212*C212*D212+4*G212*D212</f>
        <v>0</v>
      </c>
      <c r="E213" s="1">
        <f t="shared" ref="E213:E276" si="268">4*E212+2*F212+2*G212</f>
        <v>0</v>
      </c>
      <c r="F213" s="1">
        <f t="shared" ref="F213:F276" si="269">C212*(D212^2)-2*E212+5</f>
        <v>0</v>
      </c>
      <c r="G213" s="1">
        <f t="shared" ref="G213:G276" si="270">C212^2-2*(D212^2)-2*E212+7</f>
        <v>0</v>
      </c>
      <c r="I213" s="1">
        <f t="shared" ref="I213:I276" si="271">MAX(ABS(C213),ABS(D213),ABS(E213),ABS(F213),ABS(G213))</f>
        <v>0</v>
      </c>
    </row>
    <row r="214" spans="1:9" x14ac:dyDescent="0.25">
      <c r="C214" s="5">
        <f t="shared" ref="C214" si="272">2-2*G212</f>
        <v>2.2403028091636905</v>
      </c>
      <c r="D214" s="6">
        <f t="shared" ref="D214" si="273">-2*F212*D212</f>
        <v>-2.6091774571648809</v>
      </c>
      <c r="E214" s="6">
        <f>0</f>
        <v>0</v>
      </c>
      <c r="F214" s="6">
        <f t="shared" ref="F214" si="274">-(D212^2)</f>
        <v>-3.735870056786617</v>
      </c>
      <c r="G214" s="7">
        <f t="shared" ref="G214" si="275">-2*C212</f>
        <v>2.2510895668861348</v>
      </c>
    </row>
    <row r="215" spans="1:9" x14ac:dyDescent="0.25">
      <c r="C215" s="8">
        <f t="shared" ref="C215" si="276">-2*F212*D212</f>
        <v>-2.6091774571648809</v>
      </c>
      <c r="D215" s="1">
        <f t="shared" ref="D215" si="277">2-2*F212*C212+4*G212</f>
        <v>0</v>
      </c>
      <c r="E215" s="1">
        <f>0</f>
        <v>0</v>
      </c>
      <c r="F215" s="1">
        <f t="shared" ref="F215" si="278">-2*C212*D212</f>
        <v>-4.3509957203971483</v>
      </c>
      <c r="G215" s="9">
        <f t="shared" ref="G215" si="279">4*D212</f>
        <v>-7.7313595769816494</v>
      </c>
    </row>
    <row r="216" spans="1:9" x14ac:dyDescent="0.25">
      <c r="B216" s="1" t="s">
        <v>20</v>
      </c>
      <c r="C216" s="8">
        <f>0</f>
        <v>0</v>
      </c>
      <c r="D216" s="1">
        <f>0</f>
        <v>0</v>
      </c>
      <c r="E216" s="1">
        <f>4</f>
        <v>4</v>
      </c>
      <c r="F216" s="1">
        <f>2</f>
        <v>2</v>
      </c>
      <c r="G216" s="9">
        <f>2</f>
        <v>2</v>
      </c>
    </row>
    <row r="217" spans="1:9" x14ac:dyDescent="0.25">
      <c r="C217" s="8">
        <f t="shared" ref="C217" si="280">(D212^2)</f>
        <v>3.735870056786617</v>
      </c>
      <c r="D217" s="1">
        <f t="shared" ref="D217" si="281">2*C212*D212</f>
        <v>4.3509957203971483</v>
      </c>
      <c r="E217" s="1">
        <f t="shared" ref="E217:E280" si="282">-2</f>
        <v>-2</v>
      </c>
      <c r="F217" s="1">
        <f>0</f>
        <v>0</v>
      </c>
      <c r="G217" s="9">
        <f>0</f>
        <v>0</v>
      </c>
    </row>
    <row r="218" spans="1:9" x14ac:dyDescent="0.25">
      <c r="C218" s="10">
        <f t="shared" ref="C218" si="283">2*C212</f>
        <v>-2.2510895668861348</v>
      </c>
      <c r="D218" s="11">
        <f t="shared" ref="D218" si="284">-4*D212</f>
        <v>7.7313595769816494</v>
      </c>
      <c r="E218" s="11">
        <f t="shared" si="282"/>
        <v>-2</v>
      </c>
      <c r="F218" s="11">
        <f>0</f>
        <v>0</v>
      </c>
      <c r="G218" s="12">
        <f>0</f>
        <v>0</v>
      </c>
    </row>
    <row r="220" spans="1:9" x14ac:dyDescent="0.25">
      <c r="C220" s="5" cm="1">
        <f t="array" ref="C220:G224">MINVERSE(C214:G218)</f>
        <v>8.0700156546249843E-3</v>
      </c>
      <c r="D220" s="6">
        <v>1.4292798034902623E-2</v>
      </c>
      <c r="E220" s="6">
        <v>4.616821646213741E-2</v>
      </c>
      <c r="F220" s="6">
        <v>0.20495724468206558</v>
      </c>
      <c r="G220" s="7">
        <v>-0.11262081175779078</v>
      </c>
    </row>
    <row r="221" spans="1:9" x14ac:dyDescent="0.25">
      <c r="C221" s="8">
        <v>1.4292798034902625E-2</v>
      </c>
      <c r="D221" s="36">
        <v>2.5313962749184949E-2</v>
      </c>
      <c r="E221" s="36">
        <v>8.1768489897143928E-2</v>
      </c>
      <c r="F221" s="36">
        <v>6.7173463604647099E-2</v>
      </c>
      <c r="G221" s="9">
        <v>9.6363516189640744E-2</v>
      </c>
    </row>
    <row r="222" spans="1:9" x14ac:dyDescent="0.25">
      <c r="B222" s="37" t="s">
        <v>22</v>
      </c>
      <c r="C222" s="8">
        <v>4.616821646213741E-2</v>
      </c>
      <c r="D222" s="36">
        <v>8.1768489897143928E-2</v>
      </c>
      <c r="E222" s="36">
        <v>0.26412640353097638</v>
      </c>
      <c r="F222" s="36">
        <v>2.8982542998645042E-2</v>
      </c>
      <c r="G222" s="9">
        <v>-7.2973593669227454E-4</v>
      </c>
    </row>
    <row r="223" spans="1:9" x14ac:dyDescent="0.25">
      <c r="C223" s="8">
        <v>-0.20495724468206561</v>
      </c>
      <c r="D223" s="36">
        <v>-6.7173463604647099E-2</v>
      </c>
      <c r="E223" s="36">
        <v>-2.8982542998645028E-2</v>
      </c>
      <c r="F223" s="36">
        <v>2.562472663486581E-2</v>
      </c>
      <c r="G223" s="9">
        <v>-8.3589812632155883E-2</v>
      </c>
    </row>
    <row r="224" spans="1:9" x14ac:dyDescent="0.25">
      <c r="C224" s="10">
        <v>0.11262081175779079</v>
      </c>
      <c r="D224" s="11">
        <v>-9.6363516189640758E-2</v>
      </c>
      <c r="E224" s="11">
        <v>7.2973593669226132E-4</v>
      </c>
      <c r="F224" s="11">
        <v>-8.3589812632155897E-2</v>
      </c>
      <c r="G224" s="12">
        <v>8.5049284505540432E-2</v>
      </c>
    </row>
    <row r="225" spans="1:9" x14ac:dyDescent="0.25">
      <c r="B225" s="37" t="s">
        <v>23</v>
      </c>
      <c r="C225" s="1" cm="1">
        <f t="array" ref="C225:G225">-TRANSPOSE(MMULT(C220:G224,TRANSPOSE(C213:G213)))</f>
        <v>0</v>
      </c>
      <c r="D225" s="1">
        <v>0</v>
      </c>
      <c r="E225" s="1">
        <v>0</v>
      </c>
      <c r="F225" s="1">
        <v>0</v>
      </c>
      <c r="G225" s="1">
        <v>0</v>
      </c>
    </row>
    <row r="226" spans="1:9" x14ac:dyDescent="0.25">
      <c r="A226" s="1" t="s">
        <v>4</v>
      </c>
      <c r="B226" s="1" t="s">
        <v>18</v>
      </c>
      <c r="C226" s="1" cm="1">
        <f t="array" ref="C226:G226">C212:G212+C225:G225</f>
        <v>-1.1255447834430674</v>
      </c>
      <c r="D226" s="1">
        <v>-1.9328398942454124</v>
      </c>
      <c r="E226" s="1">
        <v>0.3975554729813337</v>
      </c>
      <c r="F226" s="1">
        <v>-0.67495954138082226</v>
      </c>
      <c r="G226" s="1">
        <v>-0.12015140458184514</v>
      </c>
    </row>
    <row r="227" spans="1:9" x14ac:dyDescent="0.25">
      <c r="A227" s="1">
        <v>17</v>
      </c>
      <c r="B227" s="1" t="s">
        <v>19</v>
      </c>
      <c r="C227" s="1">
        <f t="shared" ref="C227:C290" si="285">2*C226-F226*(D226^2)-2*G226*C226</f>
        <v>0</v>
      </c>
      <c r="D227" s="1">
        <f t="shared" ref="D227:D290" si="286">2*D226-2*F226*C226*D226+4*G226*D226</f>
        <v>0</v>
      </c>
      <c r="E227" s="1">
        <f t="shared" ref="E227:E290" si="287">4*E226+2*F226+2*G226</f>
        <v>0</v>
      </c>
      <c r="F227" s="1">
        <f t="shared" ref="F227:F290" si="288">C226*(D226^2)-2*E226+5</f>
        <v>0</v>
      </c>
      <c r="G227" s="1">
        <f t="shared" ref="G227:G290" si="289">C226^2-2*(D226^2)-2*E226+7</f>
        <v>0</v>
      </c>
      <c r="I227" s="1">
        <f t="shared" ref="I227:I290" si="290">MAX(ABS(C227),ABS(D227),ABS(E227),ABS(F227),ABS(G227))</f>
        <v>0</v>
      </c>
    </row>
    <row r="228" spans="1:9" x14ac:dyDescent="0.25">
      <c r="C228" s="5">
        <f t="shared" ref="C228" si="291">2-2*G226</f>
        <v>2.2403028091636905</v>
      </c>
      <c r="D228" s="6">
        <f t="shared" ref="D228" si="292">-2*F226*D226</f>
        <v>-2.6091774571648809</v>
      </c>
      <c r="E228" s="6">
        <f>0</f>
        <v>0</v>
      </c>
      <c r="F228" s="6">
        <f t="shared" ref="F228" si="293">-(D226^2)</f>
        <v>-3.735870056786617</v>
      </c>
      <c r="G228" s="7">
        <f t="shared" ref="G228" si="294">-2*C226</f>
        <v>2.2510895668861348</v>
      </c>
    </row>
    <row r="229" spans="1:9" x14ac:dyDescent="0.25">
      <c r="C229" s="8">
        <f t="shared" ref="C229" si="295">-2*F226*D226</f>
        <v>-2.6091774571648809</v>
      </c>
      <c r="D229" s="1">
        <f t="shared" ref="D229" si="296">2-2*F226*C226+4*G226</f>
        <v>0</v>
      </c>
      <c r="E229" s="1">
        <f>0</f>
        <v>0</v>
      </c>
      <c r="F229" s="1">
        <f t="shared" ref="F229" si="297">-2*C226*D226</f>
        <v>-4.3509957203971483</v>
      </c>
      <c r="G229" s="9">
        <f t="shared" ref="G229" si="298">4*D226</f>
        <v>-7.7313595769816494</v>
      </c>
    </row>
    <row r="230" spans="1:9" x14ac:dyDescent="0.25">
      <c r="B230" s="1" t="s">
        <v>20</v>
      </c>
      <c r="C230" s="8">
        <f>0</f>
        <v>0</v>
      </c>
      <c r="D230" s="1">
        <f>0</f>
        <v>0</v>
      </c>
      <c r="E230" s="1">
        <f>4</f>
        <v>4</v>
      </c>
      <c r="F230" s="1">
        <f>2</f>
        <v>2</v>
      </c>
      <c r="G230" s="9">
        <f>2</f>
        <v>2</v>
      </c>
    </row>
    <row r="231" spans="1:9" x14ac:dyDescent="0.25">
      <c r="C231" s="8">
        <f t="shared" ref="C231" si="299">(D226^2)</f>
        <v>3.735870056786617</v>
      </c>
      <c r="D231" s="1">
        <f t="shared" ref="D231" si="300">2*C226*D226</f>
        <v>4.3509957203971483</v>
      </c>
      <c r="E231" s="1">
        <f t="shared" ref="E231:E294" si="301">-2</f>
        <v>-2</v>
      </c>
      <c r="F231" s="1">
        <f>0</f>
        <v>0</v>
      </c>
      <c r="G231" s="9">
        <f>0</f>
        <v>0</v>
      </c>
    </row>
    <row r="232" spans="1:9" x14ac:dyDescent="0.25">
      <c r="C232" s="10">
        <f t="shared" ref="C232" si="302">2*C226</f>
        <v>-2.2510895668861348</v>
      </c>
      <c r="D232" s="11">
        <f t="shared" ref="D232" si="303">-4*D226</f>
        <v>7.7313595769816494</v>
      </c>
      <c r="E232" s="11">
        <f t="shared" si="301"/>
        <v>-2</v>
      </c>
      <c r="F232" s="11">
        <f>0</f>
        <v>0</v>
      </c>
      <c r="G232" s="12">
        <f>0</f>
        <v>0</v>
      </c>
    </row>
    <row r="234" spans="1:9" x14ac:dyDescent="0.25">
      <c r="C234" s="5" cm="1">
        <f t="array" ref="C234:G238">MINVERSE(C228:G232)</f>
        <v>8.0700156546249843E-3</v>
      </c>
      <c r="D234" s="6">
        <v>1.4292798034902623E-2</v>
      </c>
      <c r="E234" s="6">
        <v>4.616821646213741E-2</v>
      </c>
      <c r="F234" s="6">
        <v>0.20495724468206558</v>
      </c>
      <c r="G234" s="7">
        <v>-0.11262081175779078</v>
      </c>
    </row>
    <row r="235" spans="1:9" x14ac:dyDescent="0.25">
      <c r="C235" s="8">
        <v>1.4292798034902625E-2</v>
      </c>
      <c r="D235" s="36">
        <v>2.5313962749184949E-2</v>
      </c>
      <c r="E235" s="36">
        <v>8.1768489897143928E-2</v>
      </c>
      <c r="F235" s="36">
        <v>6.7173463604647099E-2</v>
      </c>
      <c r="G235" s="9">
        <v>9.6363516189640744E-2</v>
      </c>
    </row>
    <row r="236" spans="1:9" x14ac:dyDescent="0.25">
      <c r="B236" s="37" t="s">
        <v>22</v>
      </c>
      <c r="C236" s="8">
        <v>4.616821646213741E-2</v>
      </c>
      <c r="D236" s="36">
        <v>8.1768489897143928E-2</v>
      </c>
      <c r="E236" s="36">
        <v>0.26412640353097638</v>
      </c>
      <c r="F236" s="36">
        <v>2.8982542998645042E-2</v>
      </c>
      <c r="G236" s="9">
        <v>-7.2973593669227454E-4</v>
      </c>
    </row>
    <row r="237" spans="1:9" x14ac:dyDescent="0.25">
      <c r="C237" s="8">
        <v>-0.20495724468206561</v>
      </c>
      <c r="D237" s="36">
        <v>-6.7173463604647099E-2</v>
      </c>
      <c r="E237" s="36">
        <v>-2.8982542998645028E-2</v>
      </c>
      <c r="F237" s="36">
        <v>2.562472663486581E-2</v>
      </c>
      <c r="G237" s="9">
        <v>-8.3589812632155883E-2</v>
      </c>
    </row>
    <row r="238" spans="1:9" x14ac:dyDescent="0.25">
      <c r="C238" s="10">
        <v>0.11262081175779079</v>
      </c>
      <c r="D238" s="11">
        <v>-9.6363516189640758E-2</v>
      </c>
      <c r="E238" s="11">
        <v>7.2973593669226132E-4</v>
      </c>
      <c r="F238" s="11">
        <v>-8.3589812632155897E-2</v>
      </c>
      <c r="G238" s="12">
        <v>8.5049284505540432E-2</v>
      </c>
    </row>
    <row r="239" spans="1:9" x14ac:dyDescent="0.25">
      <c r="B239" s="37" t="s">
        <v>23</v>
      </c>
      <c r="C239" s="1" cm="1">
        <f t="array" ref="C239:G239">-TRANSPOSE(MMULT(C234:G238,TRANSPOSE(C227:G227)))</f>
        <v>0</v>
      </c>
      <c r="D239" s="1">
        <v>0</v>
      </c>
      <c r="E239" s="1">
        <v>0</v>
      </c>
      <c r="F239" s="1">
        <v>0</v>
      </c>
      <c r="G239" s="1">
        <v>0</v>
      </c>
    </row>
    <row r="240" spans="1:9" x14ac:dyDescent="0.25">
      <c r="A240" s="1" t="s">
        <v>4</v>
      </c>
      <c r="B240" s="1" t="s">
        <v>18</v>
      </c>
      <c r="C240" s="1" cm="1">
        <f t="array" ref="C240:G240">C226:G226+C239:G239</f>
        <v>-1.1255447834430674</v>
      </c>
      <c r="D240" s="1">
        <v>-1.9328398942454124</v>
      </c>
      <c r="E240" s="1">
        <v>0.3975554729813337</v>
      </c>
      <c r="F240" s="1">
        <v>-0.67495954138082226</v>
      </c>
      <c r="G240" s="1">
        <v>-0.12015140458184514</v>
      </c>
    </row>
    <row r="241" spans="1:9" x14ac:dyDescent="0.25">
      <c r="A241" s="1">
        <v>18</v>
      </c>
      <c r="B241" s="1" t="s">
        <v>19</v>
      </c>
      <c r="C241" s="1">
        <f t="shared" ref="C241:C304" si="304">2*C240-F240*(D240^2)-2*G240*C240</f>
        <v>0</v>
      </c>
      <c r="D241" s="1">
        <f t="shared" ref="D241:D304" si="305">2*D240-2*F240*C240*D240+4*G240*D240</f>
        <v>0</v>
      </c>
      <c r="E241" s="1">
        <f t="shared" ref="E241:E304" si="306">4*E240+2*F240+2*G240</f>
        <v>0</v>
      </c>
      <c r="F241" s="1">
        <f t="shared" ref="F241:F304" si="307">C240*(D240^2)-2*E240+5</f>
        <v>0</v>
      </c>
      <c r="G241" s="1">
        <f t="shared" ref="G241:G304" si="308">C240^2-2*(D240^2)-2*E240+7</f>
        <v>0</v>
      </c>
      <c r="I241" s="1">
        <f t="shared" ref="I241:I304" si="309">MAX(ABS(C241),ABS(D241),ABS(E241),ABS(F241),ABS(G241))</f>
        <v>0</v>
      </c>
    </row>
    <row r="242" spans="1:9" x14ac:dyDescent="0.25">
      <c r="C242" s="5">
        <f t="shared" ref="C242" si="310">2-2*G240</f>
        <v>2.2403028091636905</v>
      </c>
      <c r="D242" s="6">
        <f t="shared" ref="D242" si="311">-2*F240*D240</f>
        <v>-2.6091774571648809</v>
      </c>
      <c r="E242" s="6">
        <f>0</f>
        <v>0</v>
      </c>
      <c r="F242" s="6">
        <f t="shared" ref="F242" si="312">-(D240^2)</f>
        <v>-3.735870056786617</v>
      </c>
      <c r="G242" s="7">
        <f t="shared" ref="G242" si="313">-2*C240</f>
        <v>2.2510895668861348</v>
      </c>
    </row>
    <row r="243" spans="1:9" x14ac:dyDescent="0.25">
      <c r="C243" s="8">
        <f t="shared" ref="C243" si="314">-2*F240*D240</f>
        <v>-2.6091774571648809</v>
      </c>
      <c r="D243" s="1">
        <f t="shared" ref="D243" si="315">2-2*F240*C240+4*G240</f>
        <v>0</v>
      </c>
      <c r="E243" s="1">
        <f>0</f>
        <v>0</v>
      </c>
      <c r="F243" s="1">
        <f t="shared" ref="F243" si="316">-2*C240*D240</f>
        <v>-4.3509957203971483</v>
      </c>
      <c r="G243" s="9">
        <f t="shared" ref="G243" si="317">4*D240</f>
        <v>-7.7313595769816494</v>
      </c>
    </row>
    <row r="244" spans="1:9" x14ac:dyDescent="0.25">
      <c r="B244" s="1" t="s">
        <v>20</v>
      </c>
      <c r="C244" s="8">
        <f>0</f>
        <v>0</v>
      </c>
      <c r="D244" s="1">
        <f>0</f>
        <v>0</v>
      </c>
      <c r="E244" s="1">
        <f>4</f>
        <v>4</v>
      </c>
      <c r="F244" s="1">
        <f>2</f>
        <v>2</v>
      </c>
      <c r="G244" s="9">
        <f>2</f>
        <v>2</v>
      </c>
    </row>
    <row r="245" spans="1:9" x14ac:dyDescent="0.25">
      <c r="C245" s="8">
        <f t="shared" ref="C245" si="318">(D240^2)</f>
        <v>3.735870056786617</v>
      </c>
      <c r="D245" s="1">
        <f t="shared" ref="D245" si="319">2*C240*D240</f>
        <v>4.3509957203971483</v>
      </c>
      <c r="E245" s="1">
        <f t="shared" ref="E245:E308" si="320">-2</f>
        <v>-2</v>
      </c>
      <c r="F245" s="1">
        <f>0</f>
        <v>0</v>
      </c>
      <c r="G245" s="9">
        <f>0</f>
        <v>0</v>
      </c>
    </row>
    <row r="246" spans="1:9" x14ac:dyDescent="0.25">
      <c r="C246" s="10">
        <f t="shared" ref="C246" si="321">2*C240</f>
        <v>-2.2510895668861348</v>
      </c>
      <c r="D246" s="11">
        <f t="shared" ref="D246" si="322">-4*D240</f>
        <v>7.7313595769816494</v>
      </c>
      <c r="E246" s="11">
        <f t="shared" si="320"/>
        <v>-2</v>
      </c>
      <c r="F246" s="11">
        <f>0</f>
        <v>0</v>
      </c>
      <c r="G246" s="12">
        <f>0</f>
        <v>0</v>
      </c>
    </row>
    <row r="248" spans="1:9" x14ac:dyDescent="0.25">
      <c r="C248" s="5" cm="1">
        <f t="array" ref="C248:G252">MINVERSE(C242:G246)</f>
        <v>8.0700156546249843E-3</v>
      </c>
      <c r="D248" s="6">
        <v>1.4292798034902623E-2</v>
      </c>
      <c r="E248" s="6">
        <v>4.616821646213741E-2</v>
      </c>
      <c r="F248" s="6">
        <v>0.20495724468206558</v>
      </c>
      <c r="G248" s="7">
        <v>-0.11262081175779078</v>
      </c>
    </row>
    <row r="249" spans="1:9" x14ac:dyDescent="0.25">
      <c r="C249" s="8">
        <v>1.4292798034902625E-2</v>
      </c>
      <c r="D249" s="36">
        <v>2.5313962749184949E-2</v>
      </c>
      <c r="E249" s="36">
        <v>8.1768489897143928E-2</v>
      </c>
      <c r="F249" s="36">
        <v>6.7173463604647099E-2</v>
      </c>
      <c r="G249" s="9">
        <v>9.6363516189640744E-2</v>
      </c>
    </row>
    <row r="250" spans="1:9" x14ac:dyDescent="0.25">
      <c r="B250" s="37" t="s">
        <v>22</v>
      </c>
      <c r="C250" s="8">
        <v>4.616821646213741E-2</v>
      </c>
      <c r="D250" s="36">
        <v>8.1768489897143928E-2</v>
      </c>
      <c r="E250" s="36">
        <v>0.26412640353097638</v>
      </c>
      <c r="F250" s="36">
        <v>2.8982542998645042E-2</v>
      </c>
      <c r="G250" s="9">
        <v>-7.2973593669227454E-4</v>
      </c>
    </row>
    <row r="251" spans="1:9" x14ac:dyDescent="0.25">
      <c r="C251" s="8">
        <v>-0.20495724468206561</v>
      </c>
      <c r="D251" s="36">
        <v>-6.7173463604647099E-2</v>
      </c>
      <c r="E251" s="36">
        <v>-2.8982542998645028E-2</v>
      </c>
      <c r="F251" s="36">
        <v>2.562472663486581E-2</v>
      </c>
      <c r="G251" s="9">
        <v>-8.3589812632155883E-2</v>
      </c>
    </row>
    <row r="252" spans="1:9" x14ac:dyDescent="0.25">
      <c r="C252" s="10">
        <v>0.11262081175779079</v>
      </c>
      <c r="D252" s="11">
        <v>-9.6363516189640758E-2</v>
      </c>
      <c r="E252" s="11">
        <v>7.2973593669226132E-4</v>
      </c>
      <c r="F252" s="11">
        <v>-8.3589812632155897E-2</v>
      </c>
      <c r="G252" s="12">
        <v>8.5049284505540432E-2</v>
      </c>
    </row>
    <row r="253" spans="1:9" x14ac:dyDescent="0.25">
      <c r="B253" s="37" t="s">
        <v>23</v>
      </c>
      <c r="C253" s="1" cm="1">
        <f t="array" ref="C253:G253">-TRANSPOSE(MMULT(C248:G252,TRANSPOSE(C241:G241)))</f>
        <v>0</v>
      </c>
      <c r="D253" s="1">
        <v>0</v>
      </c>
      <c r="E253" s="1">
        <v>0</v>
      </c>
      <c r="F253" s="1">
        <v>0</v>
      </c>
      <c r="G253" s="1">
        <v>0</v>
      </c>
    </row>
    <row r="254" spans="1:9" x14ac:dyDescent="0.25">
      <c r="A254" s="1" t="s">
        <v>4</v>
      </c>
      <c r="B254" s="1" t="s">
        <v>18</v>
      </c>
      <c r="C254" s="1" cm="1">
        <f t="array" ref="C254:G254">C240:G240+C253:G253</f>
        <v>-1.1255447834430674</v>
      </c>
      <c r="D254" s="1">
        <v>-1.9328398942454124</v>
      </c>
      <c r="E254" s="1">
        <v>0.3975554729813337</v>
      </c>
      <c r="F254" s="1">
        <v>-0.67495954138082226</v>
      </c>
      <c r="G254" s="1">
        <v>-0.12015140458184514</v>
      </c>
    </row>
    <row r="255" spans="1:9" x14ac:dyDescent="0.25">
      <c r="A255" s="1">
        <v>19</v>
      </c>
      <c r="B255" s="1" t="s">
        <v>19</v>
      </c>
      <c r="C255" s="1">
        <f t="shared" ref="C255:C318" si="323">2*C254-F254*(D254^2)-2*G254*C254</f>
        <v>0</v>
      </c>
      <c r="D255" s="1">
        <f t="shared" ref="D255:D318" si="324">2*D254-2*F254*C254*D254+4*G254*D254</f>
        <v>0</v>
      </c>
      <c r="E255" s="1">
        <f t="shared" ref="E255:E318" si="325">4*E254+2*F254+2*G254</f>
        <v>0</v>
      </c>
      <c r="F255" s="1">
        <f t="shared" ref="F255:F318" si="326">C254*(D254^2)-2*E254+5</f>
        <v>0</v>
      </c>
      <c r="G255" s="1">
        <f t="shared" ref="G255:G318" si="327">C254^2-2*(D254^2)-2*E254+7</f>
        <v>0</v>
      </c>
      <c r="I255" s="1">
        <f t="shared" ref="I255:I318" si="328">MAX(ABS(C255),ABS(D255),ABS(E255),ABS(F255),ABS(G255))</f>
        <v>0</v>
      </c>
    </row>
    <row r="256" spans="1:9" x14ac:dyDescent="0.25">
      <c r="C256" s="5">
        <f t="shared" ref="C256" si="329">2-2*G254</f>
        <v>2.2403028091636905</v>
      </c>
      <c r="D256" s="6">
        <f t="shared" ref="D256" si="330">-2*F254*D254</f>
        <v>-2.6091774571648809</v>
      </c>
      <c r="E256" s="6">
        <f>0</f>
        <v>0</v>
      </c>
      <c r="F256" s="6">
        <f t="shared" ref="F256" si="331">-(D254^2)</f>
        <v>-3.735870056786617</v>
      </c>
      <c r="G256" s="7">
        <f t="shared" ref="G256" si="332">-2*C254</f>
        <v>2.2510895668861348</v>
      </c>
    </row>
    <row r="257" spans="1:9" x14ac:dyDescent="0.25">
      <c r="C257" s="8">
        <f t="shared" ref="C257" si="333">-2*F254*D254</f>
        <v>-2.6091774571648809</v>
      </c>
      <c r="D257" s="1">
        <f t="shared" ref="D257" si="334">2-2*F254*C254+4*G254</f>
        <v>0</v>
      </c>
      <c r="E257" s="1">
        <f>0</f>
        <v>0</v>
      </c>
      <c r="F257" s="1">
        <f t="shared" ref="F257" si="335">-2*C254*D254</f>
        <v>-4.3509957203971483</v>
      </c>
      <c r="G257" s="9">
        <f t="shared" ref="G257" si="336">4*D254</f>
        <v>-7.7313595769816494</v>
      </c>
    </row>
    <row r="258" spans="1:9" x14ac:dyDescent="0.25">
      <c r="B258" s="1" t="s">
        <v>20</v>
      </c>
      <c r="C258" s="8">
        <f>0</f>
        <v>0</v>
      </c>
      <c r="D258" s="1">
        <f>0</f>
        <v>0</v>
      </c>
      <c r="E258" s="1">
        <f>4</f>
        <v>4</v>
      </c>
      <c r="F258" s="1">
        <f>2</f>
        <v>2</v>
      </c>
      <c r="G258" s="9">
        <f>2</f>
        <v>2</v>
      </c>
    </row>
    <row r="259" spans="1:9" x14ac:dyDescent="0.25">
      <c r="C259" s="8">
        <f t="shared" ref="C259" si="337">(D254^2)</f>
        <v>3.735870056786617</v>
      </c>
      <c r="D259" s="1">
        <f t="shared" ref="D259" si="338">2*C254*D254</f>
        <v>4.3509957203971483</v>
      </c>
      <c r="E259" s="1">
        <f t="shared" ref="E259:E322" si="339">-2</f>
        <v>-2</v>
      </c>
      <c r="F259" s="1">
        <f>0</f>
        <v>0</v>
      </c>
      <c r="G259" s="9">
        <f>0</f>
        <v>0</v>
      </c>
    </row>
    <row r="260" spans="1:9" x14ac:dyDescent="0.25">
      <c r="C260" s="10">
        <f t="shared" ref="C260" si="340">2*C254</f>
        <v>-2.2510895668861348</v>
      </c>
      <c r="D260" s="11">
        <f t="shared" ref="D260" si="341">-4*D254</f>
        <v>7.7313595769816494</v>
      </c>
      <c r="E260" s="11">
        <f t="shared" si="339"/>
        <v>-2</v>
      </c>
      <c r="F260" s="11">
        <f>0</f>
        <v>0</v>
      </c>
      <c r="G260" s="12">
        <f>0</f>
        <v>0</v>
      </c>
    </row>
    <row r="262" spans="1:9" x14ac:dyDescent="0.25">
      <c r="C262" s="5" cm="1">
        <f t="array" ref="C262:G266">MINVERSE(C256:G260)</f>
        <v>8.0700156546249843E-3</v>
      </c>
      <c r="D262" s="6">
        <v>1.4292798034902623E-2</v>
      </c>
      <c r="E262" s="6">
        <v>4.616821646213741E-2</v>
      </c>
      <c r="F262" s="6">
        <v>0.20495724468206558</v>
      </c>
      <c r="G262" s="7">
        <v>-0.11262081175779078</v>
      </c>
    </row>
    <row r="263" spans="1:9" x14ac:dyDescent="0.25">
      <c r="C263" s="8">
        <v>1.4292798034902625E-2</v>
      </c>
      <c r="D263" s="36">
        <v>2.5313962749184949E-2</v>
      </c>
      <c r="E263" s="36">
        <v>8.1768489897143928E-2</v>
      </c>
      <c r="F263" s="36">
        <v>6.7173463604647099E-2</v>
      </c>
      <c r="G263" s="9">
        <v>9.6363516189640744E-2</v>
      </c>
    </row>
    <row r="264" spans="1:9" x14ac:dyDescent="0.25">
      <c r="B264" s="37" t="s">
        <v>22</v>
      </c>
      <c r="C264" s="8">
        <v>4.616821646213741E-2</v>
      </c>
      <c r="D264" s="36">
        <v>8.1768489897143928E-2</v>
      </c>
      <c r="E264" s="36">
        <v>0.26412640353097638</v>
      </c>
      <c r="F264" s="36">
        <v>2.8982542998645042E-2</v>
      </c>
      <c r="G264" s="9">
        <v>-7.2973593669227454E-4</v>
      </c>
    </row>
    <row r="265" spans="1:9" x14ac:dyDescent="0.25">
      <c r="C265" s="8">
        <v>-0.20495724468206561</v>
      </c>
      <c r="D265" s="36">
        <v>-6.7173463604647099E-2</v>
      </c>
      <c r="E265" s="36">
        <v>-2.8982542998645028E-2</v>
      </c>
      <c r="F265" s="36">
        <v>2.562472663486581E-2</v>
      </c>
      <c r="G265" s="9">
        <v>-8.3589812632155883E-2</v>
      </c>
    </row>
    <row r="266" spans="1:9" x14ac:dyDescent="0.25">
      <c r="C266" s="10">
        <v>0.11262081175779079</v>
      </c>
      <c r="D266" s="11">
        <v>-9.6363516189640758E-2</v>
      </c>
      <c r="E266" s="11">
        <v>7.2973593669226132E-4</v>
      </c>
      <c r="F266" s="11">
        <v>-8.3589812632155897E-2</v>
      </c>
      <c r="G266" s="12">
        <v>8.5049284505540432E-2</v>
      </c>
    </row>
    <row r="267" spans="1:9" x14ac:dyDescent="0.25">
      <c r="B267" s="37" t="s">
        <v>23</v>
      </c>
      <c r="C267" s="1" cm="1">
        <f t="array" ref="C267:G267">-TRANSPOSE(MMULT(C262:G266,TRANSPOSE(C255:G255)))</f>
        <v>0</v>
      </c>
      <c r="D267" s="1">
        <v>0</v>
      </c>
      <c r="E267" s="1">
        <v>0</v>
      </c>
      <c r="F267" s="1">
        <v>0</v>
      </c>
      <c r="G267" s="1">
        <v>0</v>
      </c>
    </row>
    <row r="268" spans="1:9" x14ac:dyDescent="0.25">
      <c r="A268" s="1" t="s">
        <v>4</v>
      </c>
      <c r="B268" s="1" t="s">
        <v>18</v>
      </c>
      <c r="C268" s="1" cm="1">
        <f t="array" ref="C268:G268">C254:G254+C267:G267</f>
        <v>-1.1255447834430674</v>
      </c>
      <c r="D268" s="1">
        <v>-1.9328398942454124</v>
      </c>
      <c r="E268" s="1">
        <v>0.3975554729813337</v>
      </c>
      <c r="F268" s="1">
        <v>-0.67495954138082226</v>
      </c>
      <c r="G268" s="1">
        <v>-0.12015140458184514</v>
      </c>
    </row>
    <row r="269" spans="1:9" x14ac:dyDescent="0.25">
      <c r="A269" s="1">
        <v>20</v>
      </c>
      <c r="B269" s="1" t="s">
        <v>19</v>
      </c>
      <c r="C269" s="1">
        <f t="shared" ref="C269:C332" si="342">2*C268-F268*(D268^2)-2*G268*C268</f>
        <v>0</v>
      </c>
      <c r="D269" s="1">
        <f t="shared" ref="D269:D332" si="343">2*D268-2*F268*C268*D268+4*G268*D268</f>
        <v>0</v>
      </c>
      <c r="E269" s="1">
        <f t="shared" ref="E269:E332" si="344">4*E268+2*F268+2*G268</f>
        <v>0</v>
      </c>
      <c r="F269" s="1">
        <f t="shared" ref="F269:F332" si="345">C268*(D268^2)-2*E268+5</f>
        <v>0</v>
      </c>
      <c r="G269" s="1">
        <f t="shared" ref="G269:G332" si="346">C268^2-2*(D268^2)-2*E268+7</f>
        <v>0</v>
      </c>
      <c r="I269" s="1">
        <f t="shared" ref="I269:I332" si="347">MAX(ABS(C269),ABS(D269),ABS(E269),ABS(F269),ABS(G269))</f>
        <v>0</v>
      </c>
    </row>
    <row r="270" spans="1:9" x14ac:dyDescent="0.25">
      <c r="C270" s="5">
        <f t="shared" ref="C270" si="348">2-2*G268</f>
        <v>2.2403028091636905</v>
      </c>
      <c r="D270" s="6">
        <f t="shared" ref="D270" si="349">-2*F268*D268</f>
        <v>-2.6091774571648809</v>
      </c>
      <c r="E270" s="6">
        <f>0</f>
        <v>0</v>
      </c>
      <c r="F270" s="6">
        <f t="shared" ref="F270" si="350">-(D268^2)</f>
        <v>-3.735870056786617</v>
      </c>
      <c r="G270" s="7">
        <f t="shared" ref="G270" si="351">-2*C268</f>
        <v>2.2510895668861348</v>
      </c>
    </row>
    <row r="271" spans="1:9" x14ac:dyDescent="0.25">
      <c r="C271" s="8">
        <f t="shared" ref="C271" si="352">-2*F268*D268</f>
        <v>-2.6091774571648809</v>
      </c>
      <c r="D271" s="1">
        <f t="shared" ref="D271" si="353">2-2*F268*C268+4*G268</f>
        <v>0</v>
      </c>
      <c r="E271" s="1">
        <f>0</f>
        <v>0</v>
      </c>
      <c r="F271" s="1">
        <f t="shared" ref="F271" si="354">-2*C268*D268</f>
        <v>-4.3509957203971483</v>
      </c>
      <c r="G271" s="9">
        <f t="shared" ref="G271" si="355">4*D268</f>
        <v>-7.7313595769816494</v>
      </c>
    </row>
    <row r="272" spans="1:9" x14ac:dyDescent="0.25">
      <c r="B272" s="1" t="s">
        <v>20</v>
      </c>
      <c r="C272" s="8">
        <f>0</f>
        <v>0</v>
      </c>
      <c r="D272" s="1">
        <f>0</f>
        <v>0</v>
      </c>
      <c r="E272" s="1">
        <f>4</f>
        <v>4</v>
      </c>
      <c r="F272" s="1">
        <f>2</f>
        <v>2</v>
      </c>
      <c r="G272" s="9">
        <f>2</f>
        <v>2</v>
      </c>
    </row>
    <row r="273" spans="1:9" x14ac:dyDescent="0.25">
      <c r="C273" s="8">
        <f t="shared" ref="C273" si="356">(D268^2)</f>
        <v>3.735870056786617</v>
      </c>
      <c r="D273" s="1">
        <f t="shared" ref="D273" si="357">2*C268*D268</f>
        <v>4.3509957203971483</v>
      </c>
      <c r="E273" s="1">
        <f t="shared" ref="E273:E336" si="358">-2</f>
        <v>-2</v>
      </c>
      <c r="F273" s="1">
        <f>0</f>
        <v>0</v>
      </c>
      <c r="G273" s="9">
        <f>0</f>
        <v>0</v>
      </c>
    </row>
    <row r="274" spans="1:9" x14ac:dyDescent="0.25">
      <c r="C274" s="10">
        <f t="shared" ref="C274" si="359">2*C268</f>
        <v>-2.2510895668861348</v>
      </c>
      <c r="D274" s="11">
        <f t="shared" ref="D274" si="360">-4*D268</f>
        <v>7.7313595769816494</v>
      </c>
      <c r="E274" s="11">
        <f t="shared" si="358"/>
        <v>-2</v>
      </c>
      <c r="F274" s="11">
        <f>0</f>
        <v>0</v>
      </c>
      <c r="G274" s="12">
        <f>0</f>
        <v>0</v>
      </c>
    </row>
    <row r="276" spans="1:9" x14ac:dyDescent="0.25">
      <c r="C276" s="5" cm="1">
        <f t="array" ref="C276:G280">MINVERSE(C270:G274)</f>
        <v>8.0700156546249843E-3</v>
      </c>
      <c r="D276" s="6">
        <v>1.4292798034902623E-2</v>
      </c>
      <c r="E276" s="6">
        <v>4.616821646213741E-2</v>
      </c>
      <c r="F276" s="6">
        <v>0.20495724468206558</v>
      </c>
      <c r="G276" s="7">
        <v>-0.11262081175779078</v>
      </c>
    </row>
    <row r="277" spans="1:9" x14ac:dyDescent="0.25">
      <c r="C277" s="8">
        <v>1.4292798034902625E-2</v>
      </c>
      <c r="D277" s="36">
        <v>2.5313962749184949E-2</v>
      </c>
      <c r="E277" s="36">
        <v>8.1768489897143928E-2</v>
      </c>
      <c r="F277" s="36">
        <v>6.7173463604647099E-2</v>
      </c>
      <c r="G277" s="9">
        <v>9.6363516189640744E-2</v>
      </c>
    </row>
    <row r="278" spans="1:9" x14ac:dyDescent="0.25">
      <c r="B278" s="37" t="s">
        <v>22</v>
      </c>
      <c r="C278" s="8">
        <v>4.616821646213741E-2</v>
      </c>
      <c r="D278" s="36">
        <v>8.1768489897143928E-2</v>
      </c>
      <c r="E278" s="36">
        <v>0.26412640353097638</v>
      </c>
      <c r="F278" s="36">
        <v>2.8982542998645042E-2</v>
      </c>
      <c r="G278" s="9">
        <v>-7.2973593669227454E-4</v>
      </c>
    </row>
    <row r="279" spans="1:9" x14ac:dyDescent="0.25">
      <c r="C279" s="8">
        <v>-0.20495724468206561</v>
      </c>
      <c r="D279" s="36">
        <v>-6.7173463604647099E-2</v>
      </c>
      <c r="E279" s="36">
        <v>-2.8982542998645028E-2</v>
      </c>
      <c r="F279" s="36">
        <v>2.562472663486581E-2</v>
      </c>
      <c r="G279" s="9">
        <v>-8.3589812632155883E-2</v>
      </c>
    </row>
    <row r="280" spans="1:9" x14ac:dyDescent="0.25">
      <c r="C280" s="10">
        <v>0.11262081175779079</v>
      </c>
      <c r="D280" s="11">
        <v>-9.6363516189640758E-2</v>
      </c>
      <c r="E280" s="11">
        <v>7.2973593669226132E-4</v>
      </c>
      <c r="F280" s="11">
        <v>-8.3589812632155897E-2</v>
      </c>
      <c r="G280" s="12">
        <v>8.5049284505540432E-2</v>
      </c>
    </row>
    <row r="281" spans="1:9" x14ac:dyDescent="0.25">
      <c r="B281" s="37" t="s">
        <v>23</v>
      </c>
      <c r="C281" s="1" cm="1">
        <f t="array" ref="C281:G281">-TRANSPOSE(MMULT(C276:G280,TRANSPOSE(C269:G269)))</f>
        <v>0</v>
      </c>
      <c r="D281" s="1">
        <v>0</v>
      </c>
      <c r="E281" s="1">
        <v>0</v>
      </c>
      <c r="F281" s="1">
        <v>0</v>
      </c>
      <c r="G281" s="1">
        <v>0</v>
      </c>
    </row>
    <row r="282" spans="1:9" x14ac:dyDescent="0.25">
      <c r="A282" s="1" t="s">
        <v>4</v>
      </c>
      <c r="B282" s="1" t="s">
        <v>18</v>
      </c>
      <c r="C282" s="1" cm="1">
        <f t="array" ref="C282:G282">C268:G268+C281:G281</f>
        <v>-1.1255447834430674</v>
      </c>
      <c r="D282" s="1">
        <v>-1.9328398942454124</v>
      </c>
      <c r="E282" s="1">
        <v>0.3975554729813337</v>
      </c>
      <c r="F282" s="1">
        <v>-0.67495954138082226</v>
      </c>
      <c r="G282" s="1">
        <v>-0.12015140458184514</v>
      </c>
    </row>
    <row r="283" spans="1:9" x14ac:dyDescent="0.25">
      <c r="A283" s="1">
        <v>21</v>
      </c>
      <c r="B283" s="1" t="s">
        <v>19</v>
      </c>
      <c r="C283" s="1">
        <f t="shared" ref="C283:C346" si="361">2*C282-F282*(D282^2)-2*G282*C282</f>
        <v>0</v>
      </c>
      <c r="D283" s="1">
        <f t="shared" ref="D283:D346" si="362">2*D282-2*F282*C282*D282+4*G282*D282</f>
        <v>0</v>
      </c>
      <c r="E283" s="1">
        <f t="shared" ref="E283:E346" si="363">4*E282+2*F282+2*G282</f>
        <v>0</v>
      </c>
      <c r="F283" s="1">
        <f t="shared" ref="F283:F346" si="364">C282*(D282^2)-2*E282+5</f>
        <v>0</v>
      </c>
      <c r="G283" s="1">
        <f t="shared" ref="G283:G346" si="365">C282^2-2*(D282^2)-2*E282+7</f>
        <v>0</v>
      </c>
      <c r="I283" s="1">
        <f t="shared" ref="I283:I346" si="366">MAX(ABS(C283),ABS(D283),ABS(E283),ABS(F283),ABS(G283))</f>
        <v>0</v>
      </c>
    </row>
    <row r="284" spans="1:9" x14ac:dyDescent="0.25">
      <c r="C284" s="5">
        <f t="shared" ref="C284" si="367">2-2*G282</f>
        <v>2.2403028091636905</v>
      </c>
      <c r="D284" s="6">
        <f t="shared" ref="D284" si="368">-2*F282*D282</f>
        <v>-2.6091774571648809</v>
      </c>
      <c r="E284" s="6">
        <f>0</f>
        <v>0</v>
      </c>
      <c r="F284" s="6">
        <f t="shared" ref="F284" si="369">-(D282^2)</f>
        <v>-3.735870056786617</v>
      </c>
      <c r="G284" s="7">
        <f t="shared" ref="G284" si="370">-2*C282</f>
        <v>2.2510895668861348</v>
      </c>
    </row>
    <row r="285" spans="1:9" x14ac:dyDescent="0.25">
      <c r="C285" s="8">
        <f t="shared" ref="C285" si="371">-2*F282*D282</f>
        <v>-2.6091774571648809</v>
      </c>
      <c r="D285" s="1">
        <f t="shared" ref="D285" si="372">2-2*F282*C282+4*G282</f>
        <v>0</v>
      </c>
      <c r="E285" s="1">
        <f>0</f>
        <v>0</v>
      </c>
      <c r="F285" s="1">
        <f t="shared" ref="F285" si="373">-2*C282*D282</f>
        <v>-4.3509957203971483</v>
      </c>
      <c r="G285" s="9">
        <f t="shared" ref="G285" si="374">4*D282</f>
        <v>-7.7313595769816494</v>
      </c>
    </row>
    <row r="286" spans="1:9" x14ac:dyDescent="0.25">
      <c r="B286" s="1" t="s">
        <v>20</v>
      </c>
      <c r="C286" s="8">
        <f>0</f>
        <v>0</v>
      </c>
      <c r="D286" s="1">
        <f>0</f>
        <v>0</v>
      </c>
      <c r="E286" s="1">
        <f>4</f>
        <v>4</v>
      </c>
      <c r="F286" s="1">
        <f>2</f>
        <v>2</v>
      </c>
      <c r="G286" s="9">
        <f>2</f>
        <v>2</v>
      </c>
    </row>
    <row r="287" spans="1:9" x14ac:dyDescent="0.25">
      <c r="C287" s="8">
        <f t="shared" ref="C287" si="375">(D282^2)</f>
        <v>3.735870056786617</v>
      </c>
      <c r="D287" s="1">
        <f t="shared" ref="D287" si="376">2*C282*D282</f>
        <v>4.3509957203971483</v>
      </c>
      <c r="E287" s="1">
        <f t="shared" ref="E287:E350" si="377">-2</f>
        <v>-2</v>
      </c>
      <c r="F287" s="1">
        <f>0</f>
        <v>0</v>
      </c>
      <c r="G287" s="9">
        <f>0</f>
        <v>0</v>
      </c>
    </row>
    <row r="288" spans="1:9" x14ac:dyDescent="0.25">
      <c r="C288" s="10">
        <f t="shared" ref="C288" si="378">2*C282</f>
        <v>-2.2510895668861348</v>
      </c>
      <c r="D288" s="11">
        <f t="shared" ref="D288" si="379">-4*D282</f>
        <v>7.7313595769816494</v>
      </c>
      <c r="E288" s="11">
        <f t="shared" si="377"/>
        <v>-2</v>
      </c>
      <c r="F288" s="11">
        <f>0</f>
        <v>0</v>
      </c>
      <c r="G288" s="12">
        <f>0</f>
        <v>0</v>
      </c>
    </row>
    <row r="290" spans="1:9" x14ac:dyDescent="0.25">
      <c r="C290" s="5" cm="1">
        <f t="array" ref="C290:G294">MINVERSE(C284:G288)</f>
        <v>8.0700156546249843E-3</v>
      </c>
      <c r="D290" s="6">
        <v>1.4292798034902623E-2</v>
      </c>
      <c r="E290" s="6">
        <v>4.616821646213741E-2</v>
      </c>
      <c r="F290" s="6">
        <v>0.20495724468206558</v>
      </c>
      <c r="G290" s="7">
        <v>-0.11262081175779078</v>
      </c>
    </row>
    <row r="291" spans="1:9" x14ac:dyDescent="0.25">
      <c r="C291" s="8">
        <v>1.4292798034902625E-2</v>
      </c>
      <c r="D291" s="36">
        <v>2.5313962749184949E-2</v>
      </c>
      <c r="E291" s="36">
        <v>8.1768489897143928E-2</v>
      </c>
      <c r="F291" s="36">
        <v>6.7173463604647099E-2</v>
      </c>
      <c r="G291" s="9">
        <v>9.6363516189640744E-2</v>
      </c>
    </row>
    <row r="292" spans="1:9" x14ac:dyDescent="0.25">
      <c r="B292" s="37" t="s">
        <v>22</v>
      </c>
      <c r="C292" s="8">
        <v>4.616821646213741E-2</v>
      </c>
      <c r="D292" s="36">
        <v>8.1768489897143928E-2</v>
      </c>
      <c r="E292" s="36">
        <v>0.26412640353097638</v>
      </c>
      <c r="F292" s="36">
        <v>2.8982542998645042E-2</v>
      </c>
      <c r="G292" s="9">
        <v>-7.2973593669227454E-4</v>
      </c>
    </row>
    <row r="293" spans="1:9" x14ac:dyDescent="0.25">
      <c r="C293" s="8">
        <v>-0.20495724468206561</v>
      </c>
      <c r="D293" s="36">
        <v>-6.7173463604647099E-2</v>
      </c>
      <c r="E293" s="36">
        <v>-2.8982542998645028E-2</v>
      </c>
      <c r="F293" s="36">
        <v>2.562472663486581E-2</v>
      </c>
      <c r="G293" s="9">
        <v>-8.3589812632155883E-2</v>
      </c>
    </row>
    <row r="294" spans="1:9" x14ac:dyDescent="0.25">
      <c r="C294" s="10">
        <v>0.11262081175779079</v>
      </c>
      <c r="D294" s="11">
        <v>-9.6363516189640758E-2</v>
      </c>
      <c r="E294" s="11">
        <v>7.2973593669226132E-4</v>
      </c>
      <c r="F294" s="11">
        <v>-8.3589812632155897E-2</v>
      </c>
      <c r="G294" s="12">
        <v>8.5049284505540432E-2</v>
      </c>
    </row>
    <row r="295" spans="1:9" x14ac:dyDescent="0.25">
      <c r="B295" s="37" t="s">
        <v>23</v>
      </c>
      <c r="C295" s="1" cm="1">
        <f t="array" ref="C295:G295">-TRANSPOSE(MMULT(C290:G294,TRANSPOSE(C283:G283)))</f>
        <v>0</v>
      </c>
      <c r="D295" s="1">
        <v>0</v>
      </c>
      <c r="E295" s="1">
        <v>0</v>
      </c>
      <c r="F295" s="1">
        <v>0</v>
      </c>
      <c r="G295" s="1">
        <v>0</v>
      </c>
    </row>
    <row r="296" spans="1:9" x14ac:dyDescent="0.25">
      <c r="A296" s="1" t="s">
        <v>4</v>
      </c>
      <c r="B296" s="1" t="s">
        <v>18</v>
      </c>
      <c r="C296" s="1" cm="1">
        <f t="array" ref="C296:G296">C282:G282+C295:G295</f>
        <v>-1.1255447834430674</v>
      </c>
      <c r="D296" s="1">
        <v>-1.9328398942454124</v>
      </c>
      <c r="E296" s="1">
        <v>0.3975554729813337</v>
      </c>
      <c r="F296" s="1">
        <v>-0.67495954138082226</v>
      </c>
      <c r="G296" s="1">
        <v>-0.12015140458184514</v>
      </c>
    </row>
    <row r="297" spans="1:9" x14ac:dyDescent="0.25">
      <c r="A297" s="1">
        <v>22</v>
      </c>
      <c r="B297" s="1" t="s">
        <v>19</v>
      </c>
      <c r="C297" s="1">
        <f t="shared" ref="C297:C360" si="380">2*C296-F296*(D296^2)-2*G296*C296</f>
        <v>0</v>
      </c>
      <c r="D297" s="1">
        <f t="shared" ref="D297:D360" si="381">2*D296-2*F296*C296*D296+4*G296*D296</f>
        <v>0</v>
      </c>
      <c r="E297" s="1">
        <f t="shared" ref="E297:E360" si="382">4*E296+2*F296+2*G296</f>
        <v>0</v>
      </c>
      <c r="F297" s="1">
        <f t="shared" ref="F297:F360" si="383">C296*(D296^2)-2*E296+5</f>
        <v>0</v>
      </c>
      <c r="G297" s="1">
        <f t="shared" ref="G297:G360" si="384">C296^2-2*(D296^2)-2*E296+7</f>
        <v>0</v>
      </c>
      <c r="I297" s="1">
        <f t="shared" ref="I297:I360" si="385">MAX(ABS(C297),ABS(D297),ABS(E297),ABS(F297),ABS(G297))</f>
        <v>0</v>
      </c>
    </row>
    <row r="298" spans="1:9" x14ac:dyDescent="0.25">
      <c r="C298" s="5">
        <f t="shared" ref="C298" si="386">2-2*G296</f>
        <v>2.2403028091636905</v>
      </c>
      <c r="D298" s="6">
        <f t="shared" ref="D298" si="387">-2*F296*D296</f>
        <v>-2.6091774571648809</v>
      </c>
      <c r="E298" s="6">
        <f>0</f>
        <v>0</v>
      </c>
      <c r="F298" s="6">
        <f t="shared" ref="F298" si="388">-(D296^2)</f>
        <v>-3.735870056786617</v>
      </c>
      <c r="G298" s="7">
        <f t="shared" ref="G298" si="389">-2*C296</f>
        <v>2.2510895668861348</v>
      </c>
    </row>
    <row r="299" spans="1:9" x14ac:dyDescent="0.25">
      <c r="C299" s="8">
        <f t="shared" ref="C299" si="390">-2*F296*D296</f>
        <v>-2.6091774571648809</v>
      </c>
      <c r="D299" s="1">
        <f t="shared" ref="D299" si="391">2-2*F296*C296+4*G296</f>
        <v>0</v>
      </c>
      <c r="E299" s="1">
        <f>0</f>
        <v>0</v>
      </c>
      <c r="F299" s="1">
        <f t="shared" ref="F299" si="392">-2*C296*D296</f>
        <v>-4.3509957203971483</v>
      </c>
      <c r="G299" s="9">
        <f t="shared" ref="G299" si="393">4*D296</f>
        <v>-7.7313595769816494</v>
      </c>
    </row>
    <row r="300" spans="1:9" x14ac:dyDescent="0.25">
      <c r="B300" s="1" t="s">
        <v>20</v>
      </c>
      <c r="C300" s="8">
        <f>0</f>
        <v>0</v>
      </c>
      <c r="D300" s="1">
        <f>0</f>
        <v>0</v>
      </c>
      <c r="E300" s="1">
        <f>4</f>
        <v>4</v>
      </c>
      <c r="F300" s="1">
        <f>2</f>
        <v>2</v>
      </c>
      <c r="G300" s="9">
        <f>2</f>
        <v>2</v>
      </c>
    </row>
    <row r="301" spans="1:9" x14ac:dyDescent="0.25">
      <c r="C301" s="8">
        <f t="shared" ref="C301" si="394">(D296^2)</f>
        <v>3.735870056786617</v>
      </c>
      <c r="D301" s="1">
        <f t="shared" ref="D301" si="395">2*C296*D296</f>
        <v>4.3509957203971483</v>
      </c>
      <c r="E301" s="1">
        <f t="shared" ref="E301:E364" si="396">-2</f>
        <v>-2</v>
      </c>
      <c r="F301" s="1">
        <f>0</f>
        <v>0</v>
      </c>
      <c r="G301" s="9">
        <f>0</f>
        <v>0</v>
      </c>
    </row>
    <row r="302" spans="1:9" x14ac:dyDescent="0.25">
      <c r="C302" s="10">
        <f t="shared" ref="C302" si="397">2*C296</f>
        <v>-2.2510895668861348</v>
      </c>
      <c r="D302" s="11">
        <f t="shared" ref="D302" si="398">-4*D296</f>
        <v>7.7313595769816494</v>
      </c>
      <c r="E302" s="11">
        <f t="shared" si="396"/>
        <v>-2</v>
      </c>
      <c r="F302" s="11">
        <f>0</f>
        <v>0</v>
      </c>
      <c r="G302" s="12">
        <f>0</f>
        <v>0</v>
      </c>
    </row>
    <row r="304" spans="1:9" x14ac:dyDescent="0.25">
      <c r="C304" s="5" cm="1">
        <f t="array" ref="C304:G308">MINVERSE(C298:G302)</f>
        <v>8.0700156546249843E-3</v>
      </c>
      <c r="D304" s="6">
        <v>1.4292798034902623E-2</v>
      </c>
      <c r="E304" s="6">
        <v>4.616821646213741E-2</v>
      </c>
      <c r="F304" s="6">
        <v>0.20495724468206558</v>
      </c>
      <c r="G304" s="7">
        <v>-0.11262081175779078</v>
      </c>
    </row>
    <row r="305" spans="1:9" x14ac:dyDescent="0.25">
      <c r="C305" s="8">
        <v>1.4292798034902625E-2</v>
      </c>
      <c r="D305" s="36">
        <v>2.5313962749184949E-2</v>
      </c>
      <c r="E305" s="36">
        <v>8.1768489897143928E-2</v>
      </c>
      <c r="F305" s="36">
        <v>6.7173463604647099E-2</v>
      </c>
      <c r="G305" s="9">
        <v>9.6363516189640744E-2</v>
      </c>
    </row>
    <row r="306" spans="1:9" x14ac:dyDescent="0.25">
      <c r="B306" s="37" t="s">
        <v>22</v>
      </c>
      <c r="C306" s="8">
        <v>4.616821646213741E-2</v>
      </c>
      <c r="D306" s="36">
        <v>8.1768489897143928E-2</v>
      </c>
      <c r="E306" s="36">
        <v>0.26412640353097638</v>
      </c>
      <c r="F306" s="36">
        <v>2.8982542998645042E-2</v>
      </c>
      <c r="G306" s="9">
        <v>-7.2973593669227454E-4</v>
      </c>
    </row>
    <row r="307" spans="1:9" x14ac:dyDescent="0.25">
      <c r="C307" s="8">
        <v>-0.20495724468206561</v>
      </c>
      <c r="D307" s="36">
        <v>-6.7173463604647099E-2</v>
      </c>
      <c r="E307" s="36">
        <v>-2.8982542998645028E-2</v>
      </c>
      <c r="F307" s="36">
        <v>2.562472663486581E-2</v>
      </c>
      <c r="G307" s="9">
        <v>-8.3589812632155883E-2</v>
      </c>
    </row>
    <row r="308" spans="1:9" x14ac:dyDescent="0.25">
      <c r="C308" s="10">
        <v>0.11262081175779079</v>
      </c>
      <c r="D308" s="11">
        <v>-9.6363516189640758E-2</v>
      </c>
      <c r="E308" s="11">
        <v>7.2973593669226132E-4</v>
      </c>
      <c r="F308" s="11">
        <v>-8.3589812632155897E-2</v>
      </c>
      <c r="G308" s="12">
        <v>8.5049284505540432E-2</v>
      </c>
    </row>
    <row r="309" spans="1:9" x14ac:dyDescent="0.25">
      <c r="B309" s="37" t="s">
        <v>23</v>
      </c>
      <c r="C309" s="1" cm="1">
        <f t="array" ref="C309:G309">-TRANSPOSE(MMULT(C304:G308,TRANSPOSE(C297:G297)))</f>
        <v>0</v>
      </c>
      <c r="D309" s="1">
        <v>0</v>
      </c>
      <c r="E309" s="1">
        <v>0</v>
      </c>
      <c r="F309" s="1">
        <v>0</v>
      </c>
      <c r="G309" s="1">
        <v>0</v>
      </c>
    </row>
    <row r="310" spans="1:9" x14ac:dyDescent="0.25">
      <c r="A310" s="1" t="s">
        <v>4</v>
      </c>
      <c r="B310" s="1" t="s">
        <v>18</v>
      </c>
      <c r="C310" s="1" cm="1">
        <f t="array" ref="C310:G310">C296:G296+C309:G309</f>
        <v>-1.1255447834430674</v>
      </c>
      <c r="D310" s="1">
        <v>-1.9328398942454124</v>
      </c>
      <c r="E310" s="1">
        <v>0.3975554729813337</v>
      </c>
      <c r="F310" s="1">
        <v>-0.67495954138082226</v>
      </c>
      <c r="G310" s="1">
        <v>-0.12015140458184514</v>
      </c>
    </row>
    <row r="311" spans="1:9" x14ac:dyDescent="0.25">
      <c r="A311" s="1">
        <v>23</v>
      </c>
      <c r="B311" s="1" t="s">
        <v>19</v>
      </c>
      <c r="C311" s="1">
        <f t="shared" ref="C311:C374" si="399">2*C310-F310*(D310^2)-2*G310*C310</f>
        <v>0</v>
      </c>
      <c r="D311" s="1">
        <f t="shared" ref="D311:D374" si="400">2*D310-2*F310*C310*D310+4*G310*D310</f>
        <v>0</v>
      </c>
      <c r="E311" s="1">
        <f t="shared" ref="E311:E374" si="401">4*E310+2*F310+2*G310</f>
        <v>0</v>
      </c>
      <c r="F311" s="1">
        <f t="shared" ref="F311:F374" si="402">C310*(D310^2)-2*E310+5</f>
        <v>0</v>
      </c>
      <c r="G311" s="1">
        <f t="shared" ref="G311:G374" si="403">C310^2-2*(D310^2)-2*E310+7</f>
        <v>0</v>
      </c>
      <c r="I311" s="1">
        <f t="shared" ref="I311:I374" si="404">MAX(ABS(C311),ABS(D311),ABS(E311),ABS(F311),ABS(G311))</f>
        <v>0</v>
      </c>
    </row>
    <row r="312" spans="1:9" x14ac:dyDescent="0.25">
      <c r="C312" s="5">
        <f t="shared" ref="C312" si="405">2-2*G310</f>
        <v>2.2403028091636905</v>
      </c>
      <c r="D312" s="6">
        <f t="shared" ref="D312" si="406">-2*F310*D310</f>
        <v>-2.6091774571648809</v>
      </c>
      <c r="E312" s="6">
        <f>0</f>
        <v>0</v>
      </c>
      <c r="F312" s="6">
        <f t="shared" ref="F312" si="407">-(D310^2)</f>
        <v>-3.735870056786617</v>
      </c>
      <c r="G312" s="7">
        <f t="shared" ref="G312" si="408">-2*C310</f>
        <v>2.2510895668861348</v>
      </c>
    </row>
    <row r="313" spans="1:9" x14ac:dyDescent="0.25">
      <c r="C313" s="8">
        <f t="shared" ref="C313" si="409">-2*F310*D310</f>
        <v>-2.6091774571648809</v>
      </c>
      <c r="D313" s="1">
        <f t="shared" ref="D313" si="410">2-2*F310*C310+4*G310</f>
        <v>0</v>
      </c>
      <c r="E313" s="1">
        <f>0</f>
        <v>0</v>
      </c>
      <c r="F313" s="1">
        <f t="shared" ref="F313" si="411">-2*C310*D310</f>
        <v>-4.3509957203971483</v>
      </c>
      <c r="G313" s="9">
        <f t="shared" ref="G313" si="412">4*D310</f>
        <v>-7.7313595769816494</v>
      </c>
    </row>
    <row r="314" spans="1:9" x14ac:dyDescent="0.25">
      <c r="B314" s="1" t="s">
        <v>20</v>
      </c>
      <c r="C314" s="8">
        <f>0</f>
        <v>0</v>
      </c>
      <c r="D314" s="1">
        <f>0</f>
        <v>0</v>
      </c>
      <c r="E314" s="1">
        <f>4</f>
        <v>4</v>
      </c>
      <c r="F314" s="1">
        <f>2</f>
        <v>2</v>
      </c>
      <c r="G314" s="9">
        <f>2</f>
        <v>2</v>
      </c>
    </row>
    <row r="315" spans="1:9" x14ac:dyDescent="0.25">
      <c r="C315" s="8">
        <f t="shared" ref="C315" si="413">(D310^2)</f>
        <v>3.735870056786617</v>
      </c>
      <c r="D315" s="1">
        <f t="shared" ref="D315" si="414">2*C310*D310</f>
        <v>4.3509957203971483</v>
      </c>
      <c r="E315" s="1">
        <f t="shared" ref="E315:E378" si="415">-2</f>
        <v>-2</v>
      </c>
      <c r="F315" s="1">
        <f>0</f>
        <v>0</v>
      </c>
      <c r="G315" s="9">
        <f>0</f>
        <v>0</v>
      </c>
    </row>
    <row r="316" spans="1:9" x14ac:dyDescent="0.25">
      <c r="C316" s="10">
        <f t="shared" ref="C316" si="416">2*C310</f>
        <v>-2.2510895668861348</v>
      </c>
      <c r="D316" s="11">
        <f t="shared" ref="D316" si="417">-4*D310</f>
        <v>7.7313595769816494</v>
      </c>
      <c r="E316" s="11">
        <f t="shared" si="415"/>
        <v>-2</v>
      </c>
      <c r="F316" s="11">
        <f>0</f>
        <v>0</v>
      </c>
      <c r="G316" s="12">
        <f>0</f>
        <v>0</v>
      </c>
    </row>
    <row r="318" spans="1:9" x14ac:dyDescent="0.25">
      <c r="C318" s="5" cm="1">
        <f t="array" ref="C318:G322">MINVERSE(C312:G316)</f>
        <v>8.0700156546249843E-3</v>
      </c>
      <c r="D318" s="6">
        <v>1.4292798034902623E-2</v>
      </c>
      <c r="E318" s="6">
        <v>4.616821646213741E-2</v>
      </c>
      <c r="F318" s="6">
        <v>0.20495724468206558</v>
      </c>
      <c r="G318" s="7">
        <v>-0.11262081175779078</v>
      </c>
    </row>
    <row r="319" spans="1:9" x14ac:dyDescent="0.25">
      <c r="C319" s="8">
        <v>1.4292798034902625E-2</v>
      </c>
      <c r="D319" s="36">
        <v>2.5313962749184949E-2</v>
      </c>
      <c r="E319" s="36">
        <v>8.1768489897143928E-2</v>
      </c>
      <c r="F319" s="36">
        <v>6.7173463604647099E-2</v>
      </c>
      <c r="G319" s="9">
        <v>9.6363516189640744E-2</v>
      </c>
    </row>
    <row r="320" spans="1:9" x14ac:dyDescent="0.25">
      <c r="B320" s="37" t="s">
        <v>22</v>
      </c>
      <c r="C320" s="8">
        <v>4.616821646213741E-2</v>
      </c>
      <c r="D320" s="36">
        <v>8.1768489897143928E-2</v>
      </c>
      <c r="E320" s="36">
        <v>0.26412640353097638</v>
      </c>
      <c r="F320" s="36">
        <v>2.8982542998645042E-2</v>
      </c>
      <c r="G320" s="9">
        <v>-7.2973593669227454E-4</v>
      </c>
    </row>
    <row r="321" spans="1:9" x14ac:dyDescent="0.25">
      <c r="C321" s="8">
        <v>-0.20495724468206561</v>
      </c>
      <c r="D321" s="36">
        <v>-6.7173463604647099E-2</v>
      </c>
      <c r="E321" s="36">
        <v>-2.8982542998645028E-2</v>
      </c>
      <c r="F321" s="36">
        <v>2.562472663486581E-2</v>
      </c>
      <c r="G321" s="9">
        <v>-8.3589812632155883E-2</v>
      </c>
    </row>
    <row r="322" spans="1:9" x14ac:dyDescent="0.25">
      <c r="C322" s="10">
        <v>0.11262081175779079</v>
      </c>
      <c r="D322" s="11">
        <v>-9.6363516189640758E-2</v>
      </c>
      <c r="E322" s="11">
        <v>7.2973593669226132E-4</v>
      </c>
      <c r="F322" s="11">
        <v>-8.3589812632155897E-2</v>
      </c>
      <c r="G322" s="12">
        <v>8.5049284505540432E-2</v>
      </c>
    </row>
    <row r="323" spans="1:9" x14ac:dyDescent="0.25">
      <c r="B323" s="37" t="s">
        <v>23</v>
      </c>
      <c r="C323" s="1" cm="1">
        <f t="array" ref="C323:G323">-TRANSPOSE(MMULT(C318:G322,TRANSPOSE(C311:G311)))</f>
        <v>0</v>
      </c>
      <c r="D323" s="1">
        <v>0</v>
      </c>
      <c r="E323" s="1">
        <v>0</v>
      </c>
      <c r="F323" s="1">
        <v>0</v>
      </c>
      <c r="G323" s="1">
        <v>0</v>
      </c>
    </row>
    <row r="324" spans="1:9" x14ac:dyDescent="0.25">
      <c r="A324" s="1" t="s">
        <v>4</v>
      </c>
      <c r="B324" s="1" t="s">
        <v>18</v>
      </c>
      <c r="C324" s="1" cm="1">
        <f t="array" ref="C324:G324">C310:G310+C323:G323</f>
        <v>-1.1255447834430674</v>
      </c>
      <c r="D324" s="1">
        <v>-1.9328398942454124</v>
      </c>
      <c r="E324" s="1">
        <v>0.3975554729813337</v>
      </c>
      <c r="F324" s="1">
        <v>-0.67495954138082226</v>
      </c>
      <c r="G324" s="1">
        <v>-0.12015140458184514</v>
      </c>
    </row>
    <row r="325" spans="1:9" x14ac:dyDescent="0.25">
      <c r="A325" s="1">
        <v>24</v>
      </c>
      <c r="B325" s="1" t="s">
        <v>19</v>
      </c>
      <c r="C325" s="1">
        <f t="shared" ref="C325:C388" si="418">2*C324-F324*(D324^2)-2*G324*C324</f>
        <v>0</v>
      </c>
      <c r="D325" s="1">
        <f t="shared" ref="D325:D388" si="419">2*D324-2*F324*C324*D324+4*G324*D324</f>
        <v>0</v>
      </c>
      <c r="E325" s="1">
        <f t="shared" ref="E325:E388" si="420">4*E324+2*F324+2*G324</f>
        <v>0</v>
      </c>
      <c r="F325" s="1">
        <f t="shared" ref="F325:F388" si="421">C324*(D324^2)-2*E324+5</f>
        <v>0</v>
      </c>
      <c r="G325" s="1">
        <f t="shared" ref="G325:G388" si="422">C324^2-2*(D324^2)-2*E324+7</f>
        <v>0</v>
      </c>
      <c r="I325" s="1">
        <f t="shared" ref="I325:I388" si="423">MAX(ABS(C325),ABS(D325),ABS(E325),ABS(F325),ABS(G325))</f>
        <v>0</v>
      </c>
    </row>
    <row r="326" spans="1:9" x14ac:dyDescent="0.25">
      <c r="C326" s="5">
        <f t="shared" ref="C326" si="424">2-2*G324</f>
        <v>2.2403028091636905</v>
      </c>
      <c r="D326" s="6">
        <f t="shared" ref="D326" si="425">-2*F324*D324</f>
        <v>-2.6091774571648809</v>
      </c>
      <c r="E326" s="6">
        <f>0</f>
        <v>0</v>
      </c>
      <c r="F326" s="6">
        <f t="shared" ref="F326" si="426">-(D324^2)</f>
        <v>-3.735870056786617</v>
      </c>
      <c r="G326" s="7">
        <f t="shared" ref="G326" si="427">-2*C324</f>
        <v>2.2510895668861348</v>
      </c>
    </row>
    <row r="327" spans="1:9" x14ac:dyDescent="0.25">
      <c r="C327" s="8">
        <f t="shared" ref="C327" si="428">-2*F324*D324</f>
        <v>-2.6091774571648809</v>
      </c>
      <c r="D327" s="1">
        <f t="shared" ref="D327" si="429">2-2*F324*C324+4*G324</f>
        <v>0</v>
      </c>
      <c r="E327" s="1">
        <f>0</f>
        <v>0</v>
      </c>
      <c r="F327" s="1">
        <f t="shared" ref="F327" si="430">-2*C324*D324</f>
        <v>-4.3509957203971483</v>
      </c>
      <c r="G327" s="9">
        <f t="shared" ref="G327" si="431">4*D324</f>
        <v>-7.7313595769816494</v>
      </c>
    </row>
    <row r="328" spans="1:9" x14ac:dyDescent="0.25">
      <c r="B328" s="1" t="s">
        <v>20</v>
      </c>
      <c r="C328" s="8">
        <f>0</f>
        <v>0</v>
      </c>
      <c r="D328" s="1">
        <f>0</f>
        <v>0</v>
      </c>
      <c r="E328" s="1">
        <f>4</f>
        <v>4</v>
      </c>
      <c r="F328" s="1">
        <f>2</f>
        <v>2</v>
      </c>
      <c r="G328" s="9">
        <f>2</f>
        <v>2</v>
      </c>
    </row>
    <row r="329" spans="1:9" x14ac:dyDescent="0.25">
      <c r="C329" s="8">
        <f t="shared" ref="C329" si="432">(D324^2)</f>
        <v>3.735870056786617</v>
      </c>
      <c r="D329" s="1">
        <f t="shared" ref="D329" si="433">2*C324*D324</f>
        <v>4.3509957203971483</v>
      </c>
      <c r="E329" s="1">
        <f t="shared" ref="E329:E392" si="434">-2</f>
        <v>-2</v>
      </c>
      <c r="F329" s="1">
        <f>0</f>
        <v>0</v>
      </c>
      <c r="G329" s="9">
        <f>0</f>
        <v>0</v>
      </c>
    </row>
    <row r="330" spans="1:9" x14ac:dyDescent="0.25">
      <c r="C330" s="10">
        <f t="shared" ref="C330" si="435">2*C324</f>
        <v>-2.2510895668861348</v>
      </c>
      <c r="D330" s="11">
        <f t="shared" ref="D330" si="436">-4*D324</f>
        <v>7.7313595769816494</v>
      </c>
      <c r="E330" s="11">
        <f t="shared" si="434"/>
        <v>-2</v>
      </c>
      <c r="F330" s="11">
        <f>0</f>
        <v>0</v>
      </c>
      <c r="G330" s="12">
        <f>0</f>
        <v>0</v>
      </c>
    </row>
    <row r="332" spans="1:9" x14ac:dyDescent="0.25">
      <c r="C332" s="5" cm="1">
        <f t="array" ref="C332:G336">MINVERSE(C326:G330)</f>
        <v>8.0700156546249843E-3</v>
      </c>
      <c r="D332" s="6">
        <v>1.4292798034902623E-2</v>
      </c>
      <c r="E332" s="6">
        <v>4.616821646213741E-2</v>
      </c>
      <c r="F332" s="6">
        <v>0.20495724468206558</v>
      </c>
      <c r="G332" s="7">
        <v>-0.11262081175779078</v>
      </c>
    </row>
    <row r="333" spans="1:9" x14ac:dyDescent="0.25">
      <c r="C333" s="8">
        <v>1.4292798034902625E-2</v>
      </c>
      <c r="D333" s="36">
        <v>2.5313962749184949E-2</v>
      </c>
      <c r="E333" s="36">
        <v>8.1768489897143928E-2</v>
      </c>
      <c r="F333" s="36">
        <v>6.7173463604647099E-2</v>
      </c>
      <c r="G333" s="9">
        <v>9.6363516189640744E-2</v>
      </c>
    </row>
    <row r="334" spans="1:9" x14ac:dyDescent="0.25">
      <c r="B334" s="37" t="s">
        <v>22</v>
      </c>
      <c r="C334" s="8">
        <v>4.616821646213741E-2</v>
      </c>
      <c r="D334" s="36">
        <v>8.1768489897143928E-2</v>
      </c>
      <c r="E334" s="36">
        <v>0.26412640353097638</v>
      </c>
      <c r="F334" s="36">
        <v>2.8982542998645042E-2</v>
      </c>
      <c r="G334" s="9">
        <v>-7.2973593669227454E-4</v>
      </c>
    </row>
    <row r="335" spans="1:9" x14ac:dyDescent="0.25">
      <c r="C335" s="8">
        <v>-0.20495724468206561</v>
      </c>
      <c r="D335" s="36">
        <v>-6.7173463604647099E-2</v>
      </c>
      <c r="E335" s="36">
        <v>-2.8982542998645028E-2</v>
      </c>
      <c r="F335" s="36">
        <v>2.562472663486581E-2</v>
      </c>
      <c r="G335" s="9">
        <v>-8.3589812632155883E-2</v>
      </c>
    </row>
    <row r="336" spans="1:9" x14ac:dyDescent="0.25">
      <c r="C336" s="10">
        <v>0.11262081175779079</v>
      </c>
      <c r="D336" s="11">
        <v>-9.6363516189640758E-2</v>
      </c>
      <c r="E336" s="11">
        <v>7.2973593669226132E-4</v>
      </c>
      <c r="F336" s="11">
        <v>-8.3589812632155897E-2</v>
      </c>
      <c r="G336" s="12">
        <v>8.5049284505540432E-2</v>
      </c>
    </row>
    <row r="337" spans="1:9" x14ac:dyDescent="0.25">
      <c r="B337" s="37" t="s">
        <v>23</v>
      </c>
      <c r="C337" s="1" cm="1">
        <f t="array" ref="C337:G337">-TRANSPOSE(MMULT(C332:G336,TRANSPOSE(C325:G325)))</f>
        <v>0</v>
      </c>
      <c r="D337" s="1">
        <v>0</v>
      </c>
      <c r="E337" s="1">
        <v>0</v>
      </c>
      <c r="F337" s="1">
        <v>0</v>
      </c>
      <c r="G337" s="1">
        <v>0</v>
      </c>
    </row>
    <row r="338" spans="1:9" x14ac:dyDescent="0.25">
      <c r="A338" s="1" t="s">
        <v>4</v>
      </c>
      <c r="B338" s="1" t="s">
        <v>18</v>
      </c>
      <c r="C338" s="1" cm="1">
        <f t="array" ref="C338:G338">C324:G324+C337:G337</f>
        <v>-1.1255447834430674</v>
      </c>
      <c r="D338" s="1">
        <v>-1.9328398942454124</v>
      </c>
      <c r="E338" s="1">
        <v>0.3975554729813337</v>
      </c>
      <c r="F338" s="1">
        <v>-0.67495954138082226</v>
      </c>
      <c r="G338" s="1">
        <v>-0.12015140458184514</v>
      </c>
    </row>
    <row r="339" spans="1:9" x14ac:dyDescent="0.25">
      <c r="A339" s="1">
        <v>25</v>
      </c>
      <c r="B339" s="1" t="s">
        <v>19</v>
      </c>
      <c r="C339" s="1">
        <f t="shared" ref="C339:C402" si="437">2*C338-F338*(D338^2)-2*G338*C338</f>
        <v>0</v>
      </c>
      <c r="D339" s="1">
        <f t="shared" ref="D339:D402" si="438">2*D338-2*F338*C338*D338+4*G338*D338</f>
        <v>0</v>
      </c>
      <c r="E339" s="1">
        <f t="shared" ref="E339:E402" si="439">4*E338+2*F338+2*G338</f>
        <v>0</v>
      </c>
      <c r="F339" s="1">
        <f t="shared" ref="F339:F402" si="440">C338*(D338^2)-2*E338+5</f>
        <v>0</v>
      </c>
      <c r="G339" s="1">
        <f t="shared" ref="G339:G402" si="441">C338^2-2*(D338^2)-2*E338+7</f>
        <v>0</v>
      </c>
      <c r="I339" s="1">
        <f t="shared" ref="I339:I402" si="442">MAX(ABS(C339),ABS(D339),ABS(E339),ABS(F339),ABS(G339))</f>
        <v>0</v>
      </c>
    </row>
    <row r="340" spans="1:9" x14ac:dyDescent="0.25">
      <c r="C340" s="5">
        <f t="shared" ref="C340" si="443">2-2*G338</f>
        <v>2.2403028091636905</v>
      </c>
      <c r="D340" s="6">
        <f t="shared" ref="D340" si="444">-2*F338*D338</f>
        <v>-2.6091774571648809</v>
      </c>
      <c r="E340" s="6">
        <f>0</f>
        <v>0</v>
      </c>
      <c r="F340" s="6">
        <f t="shared" ref="F340" si="445">-(D338^2)</f>
        <v>-3.735870056786617</v>
      </c>
      <c r="G340" s="7">
        <f t="shared" ref="G340" si="446">-2*C338</f>
        <v>2.2510895668861348</v>
      </c>
    </row>
    <row r="341" spans="1:9" x14ac:dyDescent="0.25">
      <c r="C341" s="8">
        <f t="shared" ref="C341" si="447">-2*F338*D338</f>
        <v>-2.6091774571648809</v>
      </c>
      <c r="D341" s="1">
        <f t="shared" ref="D341" si="448">2-2*F338*C338+4*G338</f>
        <v>0</v>
      </c>
      <c r="E341" s="1">
        <f>0</f>
        <v>0</v>
      </c>
      <c r="F341" s="1">
        <f t="shared" ref="F341" si="449">-2*C338*D338</f>
        <v>-4.3509957203971483</v>
      </c>
      <c r="G341" s="9">
        <f t="shared" ref="G341" si="450">4*D338</f>
        <v>-7.7313595769816494</v>
      </c>
    </row>
    <row r="342" spans="1:9" x14ac:dyDescent="0.25">
      <c r="B342" s="1" t="s">
        <v>20</v>
      </c>
      <c r="C342" s="8">
        <f>0</f>
        <v>0</v>
      </c>
      <c r="D342" s="1">
        <f>0</f>
        <v>0</v>
      </c>
      <c r="E342" s="1">
        <f>4</f>
        <v>4</v>
      </c>
      <c r="F342" s="1">
        <f>2</f>
        <v>2</v>
      </c>
      <c r="G342" s="9">
        <f>2</f>
        <v>2</v>
      </c>
    </row>
    <row r="343" spans="1:9" x14ac:dyDescent="0.25">
      <c r="C343" s="8">
        <f t="shared" ref="C343" si="451">(D338^2)</f>
        <v>3.735870056786617</v>
      </c>
      <c r="D343" s="1">
        <f t="shared" ref="D343" si="452">2*C338*D338</f>
        <v>4.3509957203971483</v>
      </c>
      <c r="E343" s="1">
        <f t="shared" ref="E343:E406" si="453">-2</f>
        <v>-2</v>
      </c>
      <c r="F343" s="1">
        <f>0</f>
        <v>0</v>
      </c>
      <c r="G343" s="9">
        <f>0</f>
        <v>0</v>
      </c>
    </row>
    <row r="344" spans="1:9" x14ac:dyDescent="0.25">
      <c r="C344" s="10">
        <f t="shared" ref="C344" si="454">2*C338</f>
        <v>-2.2510895668861348</v>
      </c>
      <c r="D344" s="11">
        <f t="shared" ref="D344" si="455">-4*D338</f>
        <v>7.7313595769816494</v>
      </c>
      <c r="E344" s="11">
        <f t="shared" si="453"/>
        <v>-2</v>
      </c>
      <c r="F344" s="11">
        <f>0</f>
        <v>0</v>
      </c>
      <c r="G344" s="12">
        <f>0</f>
        <v>0</v>
      </c>
    </row>
    <row r="346" spans="1:9" x14ac:dyDescent="0.25">
      <c r="C346" s="5" cm="1">
        <f t="array" ref="C346:G350">MINVERSE(C340:G344)</f>
        <v>8.0700156546249843E-3</v>
      </c>
      <c r="D346" s="6">
        <v>1.4292798034902623E-2</v>
      </c>
      <c r="E346" s="6">
        <v>4.616821646213741E-2</v>
      </c>
      <c r="F346" s="6">
        <v>0.20495724468206558</v>
      </c>
      <c r="G346" s="7">
        <v>-0.11262081175779078</v>
      </c>
    </row>
    <row r="347" spans="1:9" x14ac:dyDescent="0.25">
      <c r="C347" s="8">
        <v>1.4292798034902625E-2</v>
      </c>
      <c r="D347" s="36">
        <v>2.5313962749184949E-2</v>
      </c>
      <c r="E347" s="36">
        <v>8.1768489897143928E-2</v>
      </c>
      <c r="F347" s="36">
        <v>6.7173463604647099E-2</v>
      </c>
      <c r="G347" s="9">
        <v>9.6363516189640744E-2</v>
      </c>
    </row>
    <row r="348" spans="1:9" x14ac:dyDescent="0.25">
      <c r="B348" s="37" t="s">
        <v>22</v>
      </c>
      <c r="C348" s="8">
        <v>4.616821646213741E-2</v>
      </c>
      <c r="D348" s="36">
        <v>8.1768489897143928E-2</v>
      </c>
      <c r="E348" s="36">
        <v>0.26412640353097638</v>
      </c>
      <c r="F348" s="36">
        <v>2.8982542998645042E-2</v>
      </c>
      <c r="G348" s="9">
        <v>-7.2973593669227454E-4</v>
      </c>
    </row>
    <row r="349" spans="1:9" x14ac:dyDescent="0.25">
      <c r="C349" s="8">
        <v>-0.20495724468206561</v>
      </c>
      <c r="D349" s="36">
        <v>-6.7173463604647099E-2</v>
      </c>
      <c r="E349" s="36">
        <v>-2.8982542998645028E-2</v>
      </c>
      <c r="F349" s="36">
        <v>2.562472663486581E-2</v>
      </c>
      <c r="G349" s="9">
        <v>-8.3589812632155883E-2</v>
      </c>
    </row>
    <row r="350" spans="1:9" x14ac:dyDescent="0.25">
      <c r="C350" s="10">
        <v>0.11262081175779079</v>
      </c>
      <c r="D350" s="11">
        <v>-9.6363516189640758E-2</v>
      </c>
      <c r="E350" s="11">
        <v>7.2973593669226132E-4</v>
      </c>
      <c r="F350" s="11">
        <v>-8.3589812632155897E-2</v>
      </c>
      <c r="G350" s="12">
        <v>8.5049284505540432E-2</v>
      </c>
    </row>
    <row r="351" spans="1:9" x14ac:dyDescent="0.25">
      <c r="B351" s="37" t="s">
        <v>23</v>
      </c>
      <c r="C351" s="1" cm="1">
        <f t="array" ref="C351:G351">-TRANSPOSE(MMULT(C346:G350,TRANSPOSE(C339:G339)))</f>
        <v>0</v>
      </c>
      <c r="D351" s="1">
        <v>0</v>
      </c>
      <c r="E351" s="1">
        <v>0</v>
      </c>
      <c r="F351" s="1">
        <v>0</v>
      </c>
      <c r="G351" s="1">
        <v>0</v>
      </c>
    </row>
    <row r="352" spans="1:9" x14ac:dyDescent="0.25">
      <c r="A352" s="1" t="s">
        <v>4</v>
      </c>
      <c r="B352" s="1" t="s">
        <v>18</v>
      </c>
      <c r="C352" s="1" cm="1">
        <f t="array" ref="C352:G352">C338:G338+C351:G351</f>
        <v>-1.1255447834430674</v>
      </c>
      <c r="D352" s="1">
        <v>-1.9328398942454124</v>
      </c>
      <c r="E352" s="1">
        <v>0.3975554729813337</v>
      </c>
      <c r="F352" s="1">
        <v>-0.67495954138082226</v>
      </c>
      <c r="G352" s="1">
        <v>-0.12015140458184514</v>
      </c>
    </row>
    <row r="353" spans="1:9" x14ac:dyDescent="0.25">
      <c r="A353" s="1">
        <v>26</v>
      </c>
      <c r="B353" s="1" t="s">
        <v>19</v>
      </c>
      <c r="C353" s="1">
        <f t="shared" ref="C353:C416" si="456">2*C352-F352*(D352^2)-2*G352*C352</f>
        <v>0</v>
      </c>
      <c r="D353" s="1">
        <f t="shared" ref="D353:D416" si="457">2*D352-2*F352*C352*D352+4*G352*D352</f>
        <v>0</v>
      </c>
      <c r="E353" s="1">
        <f t="shared" ref="E353:E416" si="458">4*E352+2*F352+2*G352</f>
        <v>0</v>
      </c>
      <c r="F353" s="1">
        <f t="shared" ref="F353:F416" si="459">C352*(D352^2)-2*E352+5</f>
        <v>0</v>
      </c>
      <c r="G353" s="1">
        <f t="shared" ref="G353:G416" si="460">C352^2-2*(D352^2)-2*E352+7</f>
        <v>0</v>
      </c>
      <c r="I353" s="1">
        <f t="shared" ref="I353:I416" si="461">MAX(ABS(C353),ABS(D353),ABS(E353),ABS(F353),ABS(G353))</f>
        <v>0</v>
      </c>
    </row>
    <row r="354" spans="1:9" x14ac:dyDescent="0.25">
      <c r="C354" s="5">
        <f t="shared" ref="C354" si="462">2-2*G352</f>
        <v>2.2403028091636905</v>
      </c>
      <c r="D354" s="6">
        <f t="shared" ref="D354" si="463">-2*F352*D352</f>
        <v>-2.6091774571648809</v>
      </c>
      <c r="E354" s="6">
        <f>0</f>
        <v>0</v>
      </c>
      <c r="F354" s="6">
        <f t="shared" ref="F354" si="464">-(D352^2)</f>
        <v>-3.735870056786617</v>
      </c>
      <c r="G354" s="7">
        <f t="shared" ref="G354" si="465">-2*C352</f>
        <v>2.2510895668861348</v>
      </c>
    </row>
    <row r="355" spans="1:9" x14ac:dyDescent="0.25">
      <c r="C355" s="8">
        <f t="shared" ref="C355" si="466">-2*F352*D352</f>
        <v>-2.6091774571648809</v>
      </c>
      <c r="D355" s="1">
        <f t="shared" ref="D355" si="467">2-2*F352*C352+4*G352</f>
        <v>0</v>
      </c>
      <c r="E355" s="1">
        <f>0</f>
        <v>0</v>
      </c>
      <c r="F355" s="1">
        <f t="shared" ref="F355" si="468">-2*C352*D352</f>
        <v>-4.3509957203971483</v>
      </c>
      <c r="G355" s="9">
        <f t="shared" ref="G355" si="469">4*D352</f>
        <v>-7.7313595769816494</v>
      </c>
    </row>
    <row r="356" spans="1:9" x14ac:dyDescent="0.25">
      <c r="B356" s="1" t="s">
        <v>20</v>
      </c>
      <c r="C356" s="8">
        <f>0</f>
        <v>0</v>
      </c>
      <c r="D356" s="1">
        <f>0</f>
        <v>0</v>
      </c>
      <c r="E356" s="1">
        <f>4</f>
        <v>4</v>
      </c>
      <c r="F356" s="1">
        <f>2</f>
        <v>2</v>
      </c>
      <c r="G356" s="9">
        <f>2</f>
        <v>2</v>
      </c>
    </row>
    <row r="357" spans="1:9" x14ac:dyDescent="0.25">
      <c r="C357" s="8">
        <f t="shared" ref="C357" si="470">(D352^2)</f>
        <v>3.735870056786617</v>
      </c>
      <c r="D357" s="1">
        <f t="shared" ref="D357" si="471">2*C352*D352</f>
        <v>4.3509957203971483</v>
      </c>
      <c r="E357" s="1">
        <f t="shared" ref="E357:E420" si="472">-2</f>
        <v>-2</v>
      </c>
      <c r="F357" s="1">
        <f>0</f>
        <v>0</v>
      </c>
      <c r="G357" s="9">
        <f>0</f>
        <v>0</v>
      </c>
    </row>
    <row r="358" spans="1:9" x14ac:dyDescent="0.25">
      <c r="C358" s="10">
        <f t="shared" ref="C358" si="473">2*C352</f>
        <v>-2.2510895668861348</v>
      </c>
      <c r="D358" s="11">
        <f t="shared" ref="D358" si="474">-4*D352</f>
        <v>7.7313595769816494</v>
      </c>
      <c r="E358" s="11">
        <f t="shared" si="472"/>
        <v>-2</v>
      </c>
      <c r="F358" s="11">
        <f>0</f>
        <v>0</v>
      </c>
      <c r="G358" s="12">
        <f>0</f>
        <v>0</v>
      </c>
    </row>
    <row r="360" spans="1:9" x14ac:dyDescent="0.25">
      <c r="C360" s="5" cm="1">
        <f t="array" ref="C360:G364">MINVERSE(C354:G358)</f>
        <v>8.0700156546249843E-3</v>
      </c>
      <c r="D360" s="6">
        <v>1.4292798034902623E-2</v>
      </c>
      <c r="E360" s="6">
        <v>4.616821646213741E-2</v>
      </c>
      <c r="F360" s="6">
        <v>0.20495724468206558</v>
      </c>
      <c r="G360" s="7">
        <v>-0.11262081175779078</v>
      </c>
    </row>
    <row r="361" spans="1:9" x14ac:dyDescent="0.25">
      <c r="C361" s="8">
        <v>1.4292798034902625E-2</v>
      </c>
      <c r="D361" s="36">
        <v>2.5313962749184949E-2</v>
      </c>
      <c r="E361" s="36">
        <v>8.1768489897143928E-2</v>
      </c>
      <c r="F361" s="36">
        <v>6.7173463604647099E-2</v>
      </c>
      <c r="G361" s="9">
        <v>9.6363516189640744E-2</v>
      </c>
    </row>
    <row r="362" spans="1:9" x14ac:dyDescent="0.25">
      <c r="B362" s="37" t="s">
        <v>22</v>
      </c>
      <c r="C362" s="8">
        <v>4.616821646213741E-2</v>
      </c>
      <c r="D362" s="36">
        <v>8.1768489897143928E-2</v>
      </c>
      <c r="E362" s="36">
        <v>0.26412640353097638</v>
      </c>
      <c r="F362" s="36">
        <v>2.8982542998645042E-2</v>
      </c>
      <c r="G362" s="9">
        <v>-7.2973593669227454E-4</v>
      </c>
    </row>
    <row r="363" spans="1:9" x14ac:dyDescent="0.25">
      <c r="C363" s="8">
        <v>-0.20495724468206561</v>
      </c>
      <c r="D363" s="36">
        <v>-6.7173463604647099E-2</v>
      </c>
      <c r="E363" s="36">
        <v>-2.8982542998645028E-2</v>
      </c>
      <c r="F363" s="36">
        <v>2.562472663486581E-2</v>
      </c>
      <c r="G363" s="9">
        <v>-8.3589812632155883E-2</v>
      </c>
    </row>
    <row r="364" spans="1:9" x14ac:dyDescent="0.25">
      <c r="C364" s="10">
        <v>0.11262081175779079</v>
      </c>
      <c r="D364" s="11">
        <v>-9.6363516189640758E-2</v>
      </c>
      <c r="E364" s="11">
        <v>7.2973593669226132E-4</v>
      </c>
      <c r="F364" s="11">
        <v>-8.3589812632155897E-2</v>
      </c>
      <c r="G364" s="12">
        <v>8.5049284505540432E-2</v>
      </c>
    </row>
    <row r="365" spans="1:9" x14ac:dyDescent="0.25">
      <c r="B365" s="37" t="s">
        <v>23</v>
      </c>
      <c r="C365" s="1" cm="1">
        <f t="array" ref="C365:G365">-TRANSPOSE(MMULT(C360:G364,TRANSPOSE(C353:G353)))</f>
        <v>0</v>
      </c>
      <c r="D365" s="1">
        <v>0</v>
      </c>
      <c r="E365" s="1">
        <v>0</v>
      </c>
      <c r="F365" s="1">
        <v>0</v>
      </c>
      <c r="G365" s="1">
        <v>0</v>
      </c>
    </row>
    <row r="366" spans="1:9" x14ac:dyDescent="0.25">
      <c r="A366" s="1" t="s">
        <v>4</v>
      </c>
      <c r="B366" s="1" t="s">
        <v>18</v>
      </c>
      <c r="C366" s="1" cm="1">
        <f t="array" ref="C366:G366">C352:G352+C365:G365</f>
        <v>-1.1255447834430674</v>
      </c>
      <c r="D366" s="1">
        <v>-1.9328398942454124</v>
      </c>
      <c r="E366" s="1">
        <v>0.3975554729813337</v>
      </c>
      <c r="F366" s="1">
        <v>-0.67495954138082226</v>
      </c>
      <c r="G366" s="1">
        <v>-0.12015140458184514</v>
      </c>
    </row>
    <row r="367" spans="1:9" x14ac:dyDescent="0.25">
      <c r="A367" s="1">
        <v>27</v>
      </c>
      <c r="B367" s="1" t="s">
        <v>19</v>
      </c>
      <c r="C367" s="1">
        <f t="shared" ref="C367:C430" si="475">2*C366-F366*(D366^2)-2*G366*C366</f>
        <v>0</v>
      </c>
      <c r="D367" s="1">
        <f t="shared" ref="D367:D430" si="476">2*D366-2*F366*C366*D366+4*G366*D366</f>
        <v>0</v>
      </c>
      <c r="E367" s="1">
        <f t="shared" ref="E367:E430" si="477">4*E366+2*F366+2*G366</f>
        <v>0</v>
      </c>
      <c r="F367" s="1">
        <f t="shared" ref="F367:F430" si="478">C366*(D366^2)-2*E366+5</f>
        <v>0</v>
      </c>
      <c r="G367" s="1">
        <f t="shared" ref="G367:G430" si="479">C366^2-2*(D366^2)-2*E366+7</f>
        <v>0</v>
      </c>
      <c r="I367" s="1">
        <f t="shared" ref="I367:I430" si="480">MAX(ABS(C367),ABS(D367),ABS(E367),ABS(F367),ABS(G367))</f>
        <v>0</v>
      </c>
    </row>
    <row r="368" spans="1:9" x14ac:dyDescent="0.25">
      <c r="C368" s="5">
        <f t="shared" ref="C368" si="481">2-2*G366</f>
        <v>2.2403028091636905</v>
      </c>
      <c r="D368" s="6">
        <f t="shared" ref="D368" si="482">-2*F366*D366</f>
        <v>-2.6091774571648809</v>
      </c>
      <c r="E368" s="6">
        <f>0</f>
        <v>0</v>
      </c>
      <c r="F368" s="6">
        <f t="shared" ref="F368" si="483">-(D366^2)</f>
        <v>-3.735870056786617</v>
      </c>
      <c r="G368" s="7">
        <f t="shared" ref="G368" si="484">-2*C366</f>
        <v>2.2510895668861348</v>
      </c>
    </row>
    <row r="369" spans="1:9" x14ac:dyDescent="0.25">
      <c r="C369" s="8">
        <f t="shared" ref="C369" si="485">-2*F366*D366</f>
        <v>-2.6091774571648809</v>
      </c>
      <c r="D369" s="1">
        <f t="shared" ref="D369" si="486">2-2*F366*C366+4*G366</f>
        <v>0</v>
      </c>
      <c r="E369" s="1">
        <f>0</f>
        <v>0</v>
      </c>
      <c r="F369" s="1">
        <f t="shared" ref="F369" si="487">-2*C366*D366</f>
        <v>-4.3509957203971483</v>
      </c>
      <c r="G369" s="9">
        <f t="shared" ref="G369" si="488">4*D366</f>
        <v>-7.7313595769816494</v>
      </c>
    </row>
    <row r="370" spans="1:9" x14ac:dyDescent="0.25">
      <c r="B370" s="1" t="s">
        <v>20</v>
      </c>
      <c r="C370" s="8">
        <f>0</f>
        <v>0</v>
      </c>
      <c r="D370" s="1">
        <f>0</f>
        <v>0</v>
      </c>
      <c r="E370" s="1">
        <f>4</f>
        <v>4</v>
      </c>
      <c r="F370" s="1">
        <f>2</f>
        <v>2</v>
      </c>
      <c r="G370" s="9">
        <f>2</f>
        <v>2</v>
      </c>
    </row>
    <row r="371" spans="1:9" x14ac:dyDescent="0.25">
      <c r="C371" s="8">
        <f t="shared" ref="C371" si="489">(D366^2)</f>
        <v>3.735870056786617</v>
      </c>
      <c r="D371" s="1">
        <f t="shared" ref="D371" si="490">2*C366*D366</f>
        <v>4.3509957203971483</v>
      </c>
      <c r="E371" s="1">
        <f t="shared" ref="E371:E434" si="491">-2</f>
        <v>-2</v>
      </c>
      <c r="F371" s="1">
        <f>0</f>
        <v>0</v>
      </c>
      <c r="G371" s="9">
        <f>0</f>
        <v>0</v>
      </c>
    </row>
    <row r="372" spans="1:9" x14ac:dyDescent="0.25">
      <c r="C372" s="10">
        <f t="shared" ref="C372" si="492">2*C366</f>
        <v>-2.2510895668861348</v>
      </c>
      <c r="D372" s="11">
        <f t="shared" ref="D372" si="493">-4*D366</f>
        <v>7.7313595769816494</v>
      </c>
      <c r="E372" s="11">
        <f t="shared" si="491"/>
        <v>-2</v>
      </c>
      <c r="F372" s="11">
        <f>0</f>
        <v>0</v>
      </c>
      <c r="G372" s="12">
        <f>0</f>
        <v>0</v>
      </c>
    </row>
    <row r="374" spans="1:9" x14ac:dyDescent="0.25">
      <c r="C374" s="5" cm="1">
        <f t="array" ref="C374:G378">MINVERSE(C368:G372)</f>
        <v>8.0700156546249843E-3</v>
      </c>
      <c r="D374" s="6">
        <v>1.4292798034902623E-2</v>
      </c>
      <c r="E374" s="6">
        <v>4.616821646213741E-2</v>
      </c>
      <c r="F374" s="6">
        <v>0.20495724468206558</v>
      </c>
      <c r="G374" s="7">
        <v>-0.11262081175779078</v>
      </c>
    </row>
    <row r="375" spans="1:9" x14ac:dyDescent="0.25">
      <c r="C375" s="8">
        <v>1.4292798034902625E-2</v>
      </c>
      <c r="D375" s="36">
        <v>2.5313962749184949E-2</v>
      </c>
      <c r="E375" s="36">
        <v>8.1768489897143928E-2</v>
      </c>
      <c r="F375" s="36">
        <v>6.7173463604647099E-2</v>
      </c>
      <c r="G375" s="9">
        <v>9.6363516189640744E-2</v>
      </c>
    </row>
    <row r="376" spans="1:9" x14ac:dyDescent="0.25">
      <c r="B376" s="37" t="s">
        <v>22</v>
      </c>
      <c r="C376" s="8">
        <v>4.616821646213741E-2</v>
      </c>
      <c r="D376" s="36">
        <v>8.1768489897143928E-2</v>
      </c>
      <c r="E376" s="36">
        <v>0.26412640353097638</v>
      </c>
      <c r="F376" s="36">
        <v>2.8982542998645042E-2</v>
      </c>
      <c r="G376" s="9">
        <v>-7.2973593669227454E-4</v>
      </c>
    </row>
    <row r="377" spans="1:9" x14ac:dyDescent="0.25">
      <c r="C377" s="8">
        <v>-0.20495724468206561</v>
      </c>
      <c r="D377" s="36">
        <v>-6.7173463604647099E-2</v>
      </c>
      <c r="E377" s="36">
        <v>-2.8982542998645028E-2</v>
      </c>
      <c r="F377" s="36">
        <v>2.562472663486581E-2</v>
      </c>
      <c r="G377" s="9">
        <v>-8.3589812632155883E-2</v>
      </c>
    </row>
    <row r="378" spans="1:9" x14ac:dyDescent="0.25">
      <c r="C378" s="10">
        <v>0.11262081175779079</v>
      </c>
      <c r="D378" s="11">
        <v>-9.6363516189640758E-2</v>
      </c>
      <c r="E378" s="11">
        <v>7.2973593669226132E-4</v>
      </c>
      <c r="F378" s="11">
        <v>-8.3589812632155897E-2</v>
      </c>
      <c r="G378" s="12">
        <v>8.5049284505540432E-2</v>
      </c>
    </row>
    <row r="379" spans="1:9" x14ac:dyDescent="0.25">
      <c r="B379" s="37" t="s">
        <v>23</v>
      </c>
      <c r="C379" s="1" cm="1">
        <f t="array" ref="C379:G379">-TRANSPOSE(MMULT(C374:G378,TRANSPOSE(C367:G367)))</f>
        <v>0</v>
      </c>
      <c r="D379" s="1">
        <v>0</v>
      </c>
      <c r="E379" s="1">
        <v>0</v>
      </c>
      <c r="F379" s="1">
        <v>0</v>
      </c>
      <c r="G379" s="1">
        <v>0</v>
      </c>
    </row>
    <row r="380" spans="1:9" x14ac:dyDescent="0.25">
      <c r="A380" s="1" t="s">
        <v>4</v>
      </c>
      <c r="B380" s="1" t="s">
        <v>18</v>
      </c>
      <c r="C380" s="1" cm="1">
        <f t="array" ref="C380:G380">C366:G366+C379:G379</f>
        <v>-1.1255447834430674</v>
      </c>
      <c r="D380" s="1">
        <v>-1.9328398942454124</v>
      </c>
      <c r="E380" s="1">
        <v>0.3975554729813337</v>
      </c>
      <c r="F380" s="1">
        <v>-0.67495954138082226</v>
      </c>
      <c r="G380" s="1">
        <v>-0.12015140458184514</v>
      </c>
    </row>
    <row r="381" spans="1:9" x14ac:dyDescent="0.25">
      <c r="A381" s="1">
        <v>28</v>
      </c>
      <c r="B381" s="1" t="s">
        <v>19</v>
      </c>
      <c r="C381" s="1">
        <f t="shared" ref="C381:C444" si="494">2*C380-F380*(D380^2)-2*G380*C380</f>
        <v>0</v>
      </c>
      <c r="D381" s="1">
        <f t="shared" ref="D381:D444" si="495">2*D380-2*F380*C380*D380+4*G380*D380</f>
        <v>0</v>
      </c>
      <c r="E381" s="1">
        <f t="shared" ref="E381:E444" si="496">4*E380+2*F380+2*G380</f>
        <v>0</v>
      </c>
      <c r="F381" s="1">
        <f t="shared" ref="F381:F444" si="497">C380*(D380^2)-2*E380+5</f>
        <v>0</v>
      </c>
      <c r="G381" s="1">
        <f t="shared" ref="G381:G444" si="498">C380^2-2*(D380^2)-2*E380+7</f>
        <v>0</v>
      </c>
      <c r="I381" s="1">
        <f t="shared" ref="I381:I444" si="499">MAX(ABS(C381),ABS(D381),ABS(E381),ABS(F381),ABS(G381))</f>
        <v>0</v>
      </c>
    </row>
    <row r="382" spans="1:9" x14ac:dyDescent="0.25">
      <c r="C382" s="5">
        <f t="shared" ref="C382" si="500">2-2*G380</f>
        <v>2.2403028091636905</v>
      </c>
      <c r="D382" s="6">
        <f t="shared" ref="D382" si="501">-2*F380*D380</f>
        <v>-2.6091774571648809</v>
      </c>
      <c r="E382" s="6">
        <f>0</f>
        <v>0</v>
      </c>
      <c r="F382" s="6">
        <f t="shared" ref="F382" si="502">-(D380^2)</f>
        <v>-3.735870056786617</v>
      </c>
      <c r="G382" s="7">
        <f t="shared" ref="G382" si="503">-2*C380</f>
        <v>2.2510895668861348</v>
      </c>
    </row>
    <row r="383" spans="1:9" x14ac:dyDescent="0.25">
      <c r="C383" s="8">
        <f t="shared" ref="C383" si="504">-2*F380*D380</f>
        <v>-2.6091774571648809</v>
      </c>
      <c r="D383" s="1">
        <f t="shared" ref="D383" si="505">2-2*F380*C380+4*G380</f>
        <v>0</v>
      </c>
      <c r="E383" s="1">
        <f>0</f>
        <v>0</v>
      </c>
      <c r="F383" s="1">
        <f t="shared" ref="F383" si="506">-2*C380*D380</f>
        <v>-4.3509957203971483</v>
      </c>
      <c r="G383" s="9">
        <f t="shared" ref="G383" si="507">4*D380</f>
        <v>-7.7313595769816494</v>
      </c>
    </row>
    <row r="384" spans="1:9" x14ac:dyDescent="0.25">
      <c r="B384" s="1" t="s">
        <v>20</v>
      </c>
      <c r="C384" s="8">
        <f>0</f>
        <v>0</v>
      </c>
      <c r="D384" s="1">
        <f>0</f>
        <v>0</v>
      </c>
      <c r="E384" s="1">
        <f>4</f>
        <v>4</v>
      </c>
      <c r="F384" s="1">
        <f>2</f>
        <v>2</v>
      </c>
      <c r="G384" s="9">
        <f>2</f>
        <v>2</v>
      </c>
    </row>
    <row r="385" spans="1:9" x14ac:dyDescent="0.25">
      <c r="C385" s="8">
        <f t="shared" ref="C385" si="508">(D380^2)</f>
        <v>3.735870056786617</v>
      </c>
      <c r="D385" s="1">
        <f t="shared" ref="D385" si="509">2*C380*D380</f>
        <v>4.3509957203971483</v>
      </c>
      <c r="E385" s="1">
        <f t="shared" ref="E385:E448" si="510">-2</f>
        <v>-2</v>
      </c>
      <c r="F385" s="1">
        <f>0</f>
        <v>0</v>
      </c>
      <c r="G385" s="9">
        <f>0</f>
        <v>0</v>
      </c>
    </row>
    <row r="386" spans="1:9" x14ac:dyDescent="0.25">
      <c r="C386" s="10">
        <f t="shared" ref="C386" si="511">2*C380</f>
        <v>-2.2510895668861348</v>
      </c>
      <c r="D386" s="11">
        <f t="shared" ref="D386" si="512">-4*D380</f>
        <v>7.7313595769816494</v>
      </c>
      <c r="E386" s="11">
        <f t="shared" si="510"/>
        <v>-2</v>
      </c>
      <c r="F386" s="11">
        <f>0</f>
        <v>0</v>
      </c>
      <c r="G386" s="12">
        <f>0</f>
        <v>0</v>
      </c>
    </row>
    <row r="388" spans="1:9" x14ac:dyDescent="0.25">
      <c r="C388" s="5" cm="1">
        <f t="array" ref="C388:G392">MINVERSE(C382:G386)</f>
        <v>8.0700156546249843E-3</v>
      </c>
      <c r="D388" s="6">
        <v>1.4292798034902623E-2</v>
      </c>
      <c r="E388" s="6">
        <v>4.616821646213741E-2</v>
      </c>
      <c r="F388" s="6">
        <v>0.20495724468206558</v>
      </c>
      <c r="G388" s="7">
        <v>-0.11262081175779078</v>
      </c>
    </row>
    <row r="389" spans="1:9" x14ac:dyDescent="0.25">
      <c r="C389" s="8">
        <v>1.4292798034902625E-2</v>
      </c>
      <c r="D389" s="36">
        <v>2.5313962749184949E-2</v>
      </c>
      <c r="E389" s="36">
        <v>8.1768489897143928E-2</v>
      </c>
      <c r="F389" s="36">
        <v>6.7173463604647099E-2</v>
      </c>
      <c r="G389" s="9">
        <v>9.6363516189640744E-2</v>
      </c>
    </row>
    <row r="390" spans="1:9" x14ac:dyDescent="0.25">
      <c r="B390" s="37" t="s">
        <v>22</v>
      </c>
      <c r="C390" s="8">
        <v>4.616821646213741E-2</v>
      </c>
      <c r="D390" s="36">
        <v>8.1768489897143928E-2</v>
      </c>
      <c r="E390" s="36">
        <v>0.26412640353097638</v>
      </c>
      <c r="F390" s="36">
        <v>2.8982542998645042E-2</v>
      </c>
      <c r="G390" s="9">
        <v>-7.2973593669227454E-4</v>
      </c>
    </row>
    <row r="391" spans="1:9" x14ac:dyDescent="0.25">
      <c r="C391" s="8">
        <v>-0.20495724468206561</v>
      </c>
      <c r="D391" s="36">
        <v>-6.7173463604647099E-2</v>
      </c>
      <c r="E391" s="36">
        <v>-2.8982542998645028E-2</v>
      </c>
      <c r="F391" s="36">
        <v>2.562472663486581E-2</v>
      </c>
      <c r="G391" s="9">
        <v>-8.3589812632155883E-2</v>
      </c>
    </row>
    <row r="392" spans="1:9" x14ac:dyDescent="0.25">
      <c r="C392" s="10">
        <v>0.11262081175779079</v>
      </c>
      <c r="D392" s="11">
        <v>-9.6363516189640758E-2</v>
      </c>
      <c r="E392" s="11">
        <v>7.2973593669226132E-4</v>
      </c>
      <c r="F392" s="11">
        <v>-8.3589812632155897E-2</v>
      </c>
      <c r="G392" s="12">
        <v>8.5049284505540432E-2</v>
      </c>
    </row>
    <row r="393" spans="1:9" x14ac:dyDescent="0.25">
      <c r="B393" s="37" t="s">
        <v>23</v>
      </c>
      <c r="C393" s="1" cm="1">
        <f t="array" ref="C393:G393">-TRANSPOSE(MMULT(C388:G392,TRANSPOSE(C381:G381)))</f>
        <v>0</v>
      </c>
      <c r="D393" s="1">
        <v>0</v>
      </c>
      <c r="E393" s="1">
        <v>0</v>
      </c>
      <c r="F393" s="1">
        <v>0</v>
      </c>
      <c r="G393" s="1">
        <v>0</v>
      </c>
    </row>
    <row r="394" spans="1:9" x14ac:dyDescent="0.25">
      <c r="A394" s="1" t="s">
        <v>4</v>
      </c>
      <c r="B394" s="1" t="s">
        <v>18</v>
      </c>
      <c r="C394" s="1" cm="1">
        <f t="array" ref="C394:G394">C380:G380+C393:G393</f>
        <v>-1.1255447834430674</v>
      </c>
      <c r="D394" s="1">
        <v>-1.9328398942454124</v>
      </c>
      <c r="E394" s="1">
        <v>0.3975554729813337</v>
      </c>
      <c r="F394" s="1">
        <v>-0.67495954138082226</v>
      </c>
      <c r="G394" s="1">
        <v>-0.12015140458184514</v>
      </c>
    </row>
    <row r="395" spans="1:9" x14ac:dyDescent="0.25">
      <c r="A395" s="1">
        <v>29</v>
      </c>
      <c r="B395" s="1" t="s">
        <v>19</v>
      </c>
      <c r="C395" s="1">
        <f t="shared" ref="C395:C458" si="513">2*C394-F394*(D394^2)-2*G394*C394</f>
        <v>0</v>
      </c>
      <c r="D395" s="1">
        <f t="shared" ref="D395:D458" si="514">2*D394-2*F394*C394*D394+4*G394*D394</f>
        <v>0</v>
      </c>
      <c r="E395" s="1">
        <f t="shared" ref="E395:E458" si="515">4*E394+2*F394+2*G394</f>
        <v>0</v>
      </c>
      <c r="F395" s="1">
        <f t="shared" ref="F395:F458" si="516">C394*(D394^2)-2*E394+5</f>
        <v>0</v>
      </c>
      <c r="G395" s="1">
        <f t="shared" ref="G395:G458" si="517">C394^2-2*(D394^2)-2*E394+7</f>
        <v>0</v>
      </c>
      <c r="I395" s="1">
        <f t="shared" ref="I395:I458" si="518">MAX(ABS(C395),ABS(D395),ABS(E395),ABS(F395),ABS(G395))</f>
        <v>0</v>
      </c>
    </row>
    <row r="396" spans="1:9" x14ac:dyDescent="0.25">
      <c r="C396" s="5">
        <f t="shared" ref="C396" si="519">2-2*G394</f>
        <v>2.2403028091636905</v>
      </c>
      <c r="D396" s="6">
        <f t="shared" ref="D396" si="520">-2*F394*D394</f>
        <v>-2.6091774571648809</v>
      </c>
      <c r="E396" s="6">
        <f>0</f>
        <v>0</v>
      </c>
      <c r="F396" s="6">
        <f t="shared" ref="F396" si="521">-(D394^2)</f>
        <v>-3.735870056786617</v>
      </c>
      <c r="G396" s="7">
        <f t="shared" ref="G396" si="522">-2*C394</f>
        <v>2.2510895668861348</v>
      </c>
    </row>
    <row r="397" spans="1:9" x14ac:dyDescent="0.25">
      <c r="C397" s="8">
        <f t="shared" ref="C397" si="523">-2*F394*D394</f>
        <v>-2.6091774571648809</v>
      </c>
      <c r="D397" s="1">
        <f t="shared" ref="D397" si="524">2-2*F394*C394+4*G394</f>
        <v>0</v>
      </c>
      <c r="E397" s="1">
        <f>0</f>
        <v>0</v>
      </c>
      <c r="F397" s="1">
        <f t="shared" ref="F397" si="525">-2*C394*D394</f>
        <v>-4.3509957203971483</v>
      </c>
      <c r="G397" s="9">
        <f t="shared" ref="G397" si="526">4*D394</f>
        <v>-7.7313595769816494</v>
      </c>
    </row>
    <row r="398" spans="1:9" x14ac:dyDescent="0.25">
      <c r="B398" s="1" t="s">
        <v>20</v>
      </c>
      <c r="C398" s="8">
        <f>0</f>
        <v>0</v>
      </c>
      <c r="D398" s="1">
        <f>0</f>
        <v>0</v>
      </c>
      <c r="E398" s="1">
        <f>4</f>
        <v>4</v>
      </c>
      <c r="F398" s="1">
        <f>2</f>
        <v>2</v>
      </c>
      <c r="G398" s="9">
        <f>2</f>
        <v>2</v>
      </c>
    </row>
    <row r="399" spans="1:9" x14ac:dyDescent="0.25">
      <c r="C399" s="8">
        <f t="shared" ref="C399" si="527">(D394^2)</f>
        <v>3.735870056786617</v>
      </c>
      <c r="D399" s="1">
        <f t="shared" ref="D399" si="528">2*C394*D394</f>
        <v>4.3509957203971483</v>
      </c>
      <c r="E399" s="1">
        <f t="shared" ref="E399:E462" si="529">-2</f>
        <v>-2</v>
      </c>
      <c r="F399" s="1">
        <f>0</f>
        <v>0</v>
      </c>
      <c r="G399" s="9">
        <f>0</f>
        <v>0</v>
      </c>
    </row>
    <row r="400" spans="1:9" x14ac:dyDescent="0.25">
      <c r="C400" s="10">
        <f t="shared" ref="C400" si="530">2*C394</f>
        <v>-2.2510895668861348</v>
      </c>
      <c r="D400" s="11">
        <f t="shared" ref="D400" si="531">-4*D394</f>
        <v>7.7313595769816494</v>
      </c>
      <c r="E400" s="11">
        <f t="shared" si="529"/>
        <v>-2</v>
      </c>
      <c r="F400" s="11">
        <f>0</f>
        <v>0</v>
      </c>
      <c r="G400" s="12">
        <f>0</f>
        <v>0</v>
      </c>
    </row>
    <row r="402" spans="1:9" x14ac:dyDescent="0.25">
      <c r="C402" s="5" cm="1">
        <f t="array" ref="C402:G406">MINVERSE(C396:G400)</f>
        <v>8.0700156546249843E-3</v>
      </c>
      <c r="D402" s="6">
        <v>1.4292798034902623E-2</v>
      </c>
      <c r="E402" s="6">
        <v>4.616821646213741E-2</v>
      </c>
      <c r="F402" s="6">
        <v>0.20495724468206558</v>
      </c>
      <c r="G402" s="7">
        <v>-0.11262081175779078</v>
      </c>
    </row>
    <row r="403" spans="1:9" x14ac:dyDescent="0.25">
      <c r="C403" s="8">
        <v>1.4292798034902625E-2</v>
      </c>
      <c r="D403" s="36">
        <v>2.5313962749184949E-2</v>
      </c>
      <c r="E403" s="36">
        <v>8.1768489897143928E-2</v>
      </c>
      <c r="F403" s="36">
        <v>6.7173463604647099E-2</v>
      </c>
      <c r="G403" s="9">
        <v>9.6363516189640744E-2</v>
      </c>
    </row>
    <row r="404" spans="1:9" x14ac:dyDescent="0.25">
      <c r="B404" s="37" t="s">
        <v>22</v>
      </c>
      <c r="C404" s="8">
        <v>4.616821646213741E-2</v>
      </c>
      <c r="D404" s="36">
        <v>8.1768489897143928E-2</v>
      </c>
      <c r="E404" s="36">
        <v>0.26412640353097638</v>
      </c>
      <c r="F404" s="36">
        <v>2.8982542998645042E-2</v>
      </c>
      <c r="G404" s="9">
        <v>-7.2973593669227454E-4</v>
      </c>
    </row>
    <row r="405" spans="1:9" x14ac:dyDescent="0.25">
      <c r="C405" s="8">
        <v>-0.20495724468206561</v>
      </c>
      <c r="D405" s="36">
        <v>-6.7173463604647099E-2</v>
      </c>
      <c r="E405" s="36">
        <v>-2.8982542998645028E-2</v>
      </c>
      <c r="F405" s="36">
        <v>2.562472663486581E-2</v>
      </c>
      <c r="G405" s="9">
        <v>-8.3589812632155883E-2</v>
      </c>
    </row>
    <row r="406" spans="1:9" x14ac:dyDescent="0.25">
      <c r="C406" s="10">
        <v>0.11262081175779079</v>
      </c>
      <c r="D406" s="11">
        <v>-9.6363516189640758E-2</v>
      </c>
      <c r="E406" s="11">
        <v>7.2973593669226132E-4</v>
      </c>
      <c r="F406" s="11">
        <v>-8.3589812632155897E-2</v>
      </c>
      <c r="G406" s="12">
        <v>8.5049284505540432E-2</v>
      </c>
    </row>
    <row r="407" spans="1:9" x14ac:dyDescent="0.25">
      <c r="B407" s="37" t="s">
        <v>23</v>
      </c>
      <c r="C407" s="1" cm="1">
        <f t="array" ref="C407:G407">-TRANSPOSE(MMULT(C402:G406,TRANSPOSE(C395:G395)))</f>
        <v>0</v>
      </c>
      <c r="D407" s="1">
        <v>0</v>
      </c>
      <c r="E407" s="1">
        <v>0</v>
      </c>
      <c r="F407" s="1">
        <v>0</v>
      </c>
      <c r="G407" s="1">
        <v>0</v>
      </c>
    </row>
    <row r="408" spans="1:9" x14ac:dyDescent="0.25">
      <c r="A408" s="1" t="s">
        <v>4</v>
      </c>
      <c r="B408" s="1" t="s">
        <v>18</v>
      </c>
      <c r="C408" s="1" cm="1">
        <f t="array" ref="C408:G408">C394:G394+C407:G407</f>
        <v>-1.1255447834430674</v>
      </c>
      <c r="D408" s="1">
        <v>-1.9328398942454124</v>
      </c>
      <c r="E408" s="1">
        <v>0.3975554729813337</v>
      </c>
      <c r="F408" s="1">
        <v>-0.67495954138082226</v>
      </c>
      <c r="G408" s="1">
        <v>-0.12015140458184514</v>
      </c>
    </row>
    <row r="409" spans="1:9" x14ac:dyDescent="0.25">
      <c r="A409" s="1">
        <v>30</v>
      </c>
      <c r="B409" s="1" t="s">
        <v>19</v>
      </c>
      <c r="C409" s="1">
        <f t="shared" ref="C409:C472" si="532">2*C408-F408*(D408^2)-2*G408*C408</f>
        <v>0</v>
      </c>
      <c r="D409" s="1">
        <f t="shared" ref="D409:D472" si="533">2*D408-2*F408*C408*D408+4*G408*D408</f>
        <v>0</v>
      </c>
      <c r="E409" s="1">
        <f t="shared" ref="E409:E472" si="534">4*E408+2*F408+2*G408</f>
        <v>0</v>
      </c>
      <c r="F409" s="1">
        <f t="shared" ref="F409:F472" si="535">C408*(D408^2)-2*E408+5</f>
        <v>0</v>
      </c>
      <c r="G409" s="1">
        <f t="shared" ref="G409:G472" si="536">C408^2-2*(D408^2)-2*E408+7</f>
        <v>0</v>
      </c>
      <c r="I409" s="1">
        <f t="shared" ref="I409:I472" si="537">MAX(ABS(C409),ABS(D409),ABS(E409),ABS(F409),ABS(G409))</f>
        <v>0</v>
      </c>
    </row>
    <row r="410" spans="1:9" x14ac:dyDescent="0.25">
      <c r="C410" s="5">
        <f t="shared" ref="C410" si="538">2-2*G408</f>
        <v>2.2403028091636905</v>
      </c>
      <c r="D410" s="6">
        <f t="shared" ref="D410" si="539">-2*F408*D408</f>
        <v>-2.6091774571648809</v>
      </c>
      <c r="E410" s="6">
        <f>0</f>
        <v>0</v>
      </c>
      <c r="F410" s="6">
        <f t="shared" ref="F410" si="540">-(D408^2)</f>
        <v>-3.735870056786617</v>
      </c>
      <c r="G410" s="7">
        <f t="shared" ref="G410" si="541">-2*C408</f>
        <v>2.2510895668861348</v>
      </c>
    </row>
    <row r="411" spans="1:9" x14ac:dyDescent="0.25">
      <c r="C411" s="8">
        <f t="shared" ref="C411" si="542">-2*F408*D408</f>
        <v>-2.6091774571648809</v>
      </c>
      <c r="D411" s="1">
        <f t="shared" ref="D411" si="543">2-2*F408*C408+4*G408</f>
        <v>0</v>
      </c>
      <c r="E411" s="1">
        <f>0</f>
        <v>0</v>
      </c>
      <c r="F411" s="1">
        <f t="shared" ref="F411" si="544">-2*C408*D408</f>
        <v>-4.3509957203971483</v>
      </c>
      <c r="G411" s="9">
        <f t="shared" ref="G411" si="545">4*D408</f>
        <v>-7.7313595769816494</v>
      </c>
    </row>
    <row r="412" spans="1:9" x14ac:dyDescent="0.25">
      <c r="B412" s="1" t="s">
        <v>20</v>
      </c>
      <c r="C412" s="8">
        <f>0</f>
        <v>0</v>
      </c>
      <c r="D412" s="1">
        <f>0</f>
        <v>0</v>
      </c>
      <c r="E412" s="1">
        <f>4</f>
        <v>4</v>
      </c>
      <c r="F412" s="1">
        <f>2</f>
        <v>2</v>
      </c>
      <c r="G412" s="9">
        <f>2</f>
        <v>2</v>
      </c>
    </row>
    <row r="413" spans="1:9" x14ac:dyDescent="0.25">
      <c r="C413" s="8">
        <f t="shared" ref="C413" si="546">(D408^2)</f>
        <v>3.735870056786617</v>
      </c>
      <c r="D413" s="1">
        <f t="shared" ref="D413" si="547">2*C408*D408</f>
        <v>4.3509957203971483</v>
      </c>
      <c r="E413" s="1">
        <f t="shared" ref="E413:E476" si="548">-2</f>
        <v>-2</v>
      </c>
      <c r="F413" s="1">
        <f>0</f>
        <v>0</v>
      </c>
      <c r="G413" s="9">
        <f>0</f>
        <v>0</v>
      </c>
    </row>
    <row r="414" spans="1:9" x14ac:dyDescent="0.25">
      <c r="C414" s="10">
        <f t="shared" ref="C414" si="549">2*C408</f>
        <v>-2.2510895668861348</v>
      </c>
      <c r="D414" s="11">
        <f t="shared" ref="D414" si="550">-4*D408</f>
        <v>7.7313595769816494</v>
      </c>
      <c r="E414" s="11">
        <f t="shared" si="548"/>
        <v>-2</v>
      </c>
      <c r="F414" s="11">
        <f>0</f>
        <v>0</v>
      </c>
      <c r="G414" s="12">
        <f>0</f>
        <v>0</v>
      </c>
    </row>
    <row r="416" spans="1:9" x14ac:dyDescent="0.25">
      <c r="C416" s="5" cm="1">
        <f t="array" ref="C416:G420">MINVERSE(C410:G414)</f>
        <v>8.0700156546249843E-3</v>
      </c>
      <c r="D416" s="6">
        <v>1.4292798034902623E-2</v>
      </c>
      <c r="E416" s="6">
        <v>4.616821646213741E-2</v>
      </c>
      <c r="F416" s="6">
        <v>0.20495724468206558</v>
      </c>
      <c r="G416" s="7">
        <v>-0.11262081175779078</v>
      </c>
    </row>
    <row r="417" spans="1:9" x14ac:dyDescent="0.25">
      <c r="C417" s="8">
        <v>1.4292798034902625E-2</v>
      </c>
      <c r="D417" s="36">
        <v>2.5313962749184949E-2</v>
      </c>
      <c r="E417" s="36">
        <v>8.1768489897143928E-2</v>
      </c>
      <c r="F417" s="36">
        <v>6.7173463604647099E-2</v>
      </c>
      <c r="G417" s="9">
        <v>9.6363516189640744E-2</v>
      </c>
    </row>
    <row r="418" spans="1:9" x14ac:dyDescent="0.25">
      <c r="B418" s="37" t="s">
        <v>22</v>
      </c>
      <c r="C418" s="8">
        <v>4.616821646213741E-2</v>
      </c>
      <c r="D418" s="36">
        <v>8.1768489897143928E-2</v>
      </c>
      <c r="E418" s="36">
        <v>0.26412640353097638</v>
      </c>
      <c r="F418" s="36">
        <v>2.8982542998645042E-2</v>
      </c>
      <c r="G418" s="9">
        <v>-7.2973593669227454E-4</v>
      </c>
    </row>
    <row r="419" spans="1:9" x14ac:dyDescent="0.25">
      <c r="C419" s="8">
        <v>-0.20495724468206561</v>
      </c>
      <c r="D419" s="36">
        <v>-6.7173463604647099E-2</v>
      </c>
      <c r="E419" s="36">
        <v>-2.8982542998645028E-2</v>
      </c>
      <c r="F419" s="36">
        <v>2.562472663486581E-2</v>
      </c>
      <c r="G419" s="9">
        <v>-8.3589812632155883E-2</v>
      </c>
    </row>
    <row r="420" spans="1:9" x14ac:dyDescent="0.25">
      <c r="C420" s="10">
        <v>0.11262081175779079</v>
      </c>
      <c r="D420" s="11">
        <v>-9.6363516189640758E-2</v>
      </c>
      <c r="E420" s="11">
        <v>7.2973593669226132E-4</v>
      </c>
      <c r="F420" s="11">
        <v>-8.3589812632155897E-2</v>
      </c>
      <c r="G420" s="12">
        <v>8.5049284505540432E-2</v>
      </c>
    </row>
    <row r="421" spans="1:9" x14ac:dyDescent="0.25">
      <c r="B421" s="37" t="s">
        <v>23</v>
      </c>
      <c r="C421" s="1" cm="1">
        <f t="array" ref="C421:G421">-TRANSPOSE(MMULT(C416:G420,TRANSPOSE(C409:G409)))</f>
        <v>0</v>
      </c>
      <c r="D421" s="1">
        <v>0</v>
      </c>
      <c r="E421" s="1">
        <v>0</v>
      </c>
      <c r="F421" s="1">
        <v>0</v>
      </c>
      <c r="G421" s="1">
        <v>0</v>
      </c>
    </row>
    <row r="422" spans="1:9" x14ac:dyDescent="0.25">
      <c r="A422" s="1" t="s">
        <v>4</v>
      </c>
      <c r="B422" s="1" t="s">
        <v>18</v>
      </c>
      <c r="C422" s="1" cm="1">
        <f t="array" ref="C422:G422">C408:G408+C421:G421</f>
        <v>-1.1255447834430674</v>
      </c>
      <c r="D422" s="1">
        <v>-1.9328398942454124</v>
      </c>
      <c r="E422" s="1">
        <v>0.3975554729813337</v>
      </c>
      <c r="F422" s="1">
        <v>-0.67495954138082226</v>
      </c>
      <c r="G422" s="1">
        <v>-0.12015140458184514</v>
      </c>
    </row>
    <row r="423" spans="1:9" x14ac:dyDescent="0.25">
      <c r="A423" s="1">
        <v>31</v>
      </c>
      <c r="B423" s="1" t="s">
        <v>19</v>
      </c>
      <c r="C423" s="1">
        <f t="shared" ref="C423:C486" si="551">2*C422-F422*(D422^2)-2*G422*C422</f>
        <v>0</v>
      </c>
      <c r="D423" s="1">
        <f t="shared" ref="D423:D486" si="552">2*D422-2*F422*C422*D422+4*G422*D422</f>
        <v>0</v>
      </c>
      <c r="E423" s="1">
        <f t="shared" ref="E423:E486" si="553">4*E422+2*F422+2*G422</f>
        <v>0</v>
      </c>
      <c r="F423" s="1">
        <f t="shared" ref="F423:F486" si="554">C422*(D422^2)-2*E422+5</f>
        <v>0</v>
      </c>
      <c r="G423" s="1">
        <f t="shared" ref="G423:G486" si="555">C422^2-2*(D422^2)-2*E422+7</f>
        <v>0</v>
      </c>
      <c r="I423" s="1">
        <f t="shared" ref="I423:I486" si="556">MAX(ABS(C423),ABS(D423),ABS(E423),ABS(F423),ABS(G423))</f>
        <v>0</v>
      </c>
    </row>
    <row r="424" spans="1:9" x14ac:dyDescent="0.25">
      <c r="C424" s="5">
        <f t="shared" ref="C424" si="557">2-2*G422</f>
        <v>2.2403028091636905</v>
      </c>
      <c r="D424" s="6">
        <f t="shared" ref="D424" si="558">-2*F422*D422</f>
        <v>-2.6091774571648809</v>
      </c>
      <c r="E424" s="6">
        <f>0</f>
        <v>0</v>
      </c>
      <c r="F424" s="6">
        <f t="shared" ref="F424" si="559">-(D422^2)</f>
        <v>-3.735870056786617</v>
      </c>
      <c r="G424" s="7">
        <f t="shared" ref="G424" si="560">-2*C422</f>
        <v>2.2510895668861348</v>
      </c>
    </row>
    <row r="425" spans="1:9" x14ac:dyDescent="0.25">
      <c r="C425" s="8">
        <f t="shared" ref="C425" si="561">-2*F422*D422</f>
        <v>-2.6091774571648809</v>
      </c>
      <c r="D425" s="1">
        <f t="shared" ref="D425" si="562">2-2*F422*C422+4*G422</f>
        <v>0</v>
      </c>
      <c r="E425" s="1">
        <f>0</f>
        <v>0</v>
      </c>
      <c r="F425" s="1">
        <f t="shared" ref="F425" si="563">-2*C422*D422</f>
        <v>-4.3509957203971483</v>
      </c>
      <c r="G425" s="9">
        <f t="shared" ref="G425" si="564">4*D422</f>
        <v>-7.7313595769816494</v>
      </c>
    </row>
    <row r="426" spans="1:9" x14ac:dyDescent="0.25">
      <c r="B426" s="1" t="s">
        <v>20</v>
      </c>
      <c r="C426" s="8">
        <f>0</f>
        <v>0</v>
      </c>
      <c r="D426" s="1">
        <f>0</f>
        <v>0</v>
      </c>
      <c r="E426" s="1">
        <f>4</f>
        <v>4</v>
      </c>
      <c r="F426" s="1">
        <f>2</f>
        <v>2</v>
      </c>
      <c r="G426" s="9">
        <f>2</f>
        <v>2</v>
      </c>
    </row>
    <row r="427" spans="1:9" x14ac:dyDescent="0.25">
      <c r="C427" s="8">
        <f t="shared" ref="C427" si="565">(D422^2)</f>
        <v>3.735870056786617</v>
      </c>
      <c r="D427" s="1">
        <f t="shared" ref="D427" si="566">2*C422*D422</f>
        <v>4.3509957203971483</v>
      </c>
      <c r="E427" s="1">
        <f t="shared" ref="E427:E490" si="567">-2</f>
        <v>-2</v>
      </c>
      <c r="F427" s="1">
        <f>0</f>
        <v>0</v>
      </c>
      <c r="G427" s="9">
        <f>0</f>
        <v>0</v>
      </c>
    </row>
    <row r="428" spans="1:9" x14ac:dyDescent="0.25">
      <c r="C428" s="10">
        <f t="shared" ref="C428" si="568">2*C422</f>
        <v>-2.2510895668861348</v>
      </c>
      <c r="D428" s="11">
        <f t="shared" ref="D428" si="569">-4*D422</f>
        <v>7.7313595769816494</v>
      </c>
      <c r="E428" s="11">
        <f t="shared" si="567"/>
        <v>-2</v>
      </c>
      <c r="F428" s="11">
        <f>0</f>
        <v>0</v>
      </c>
      <c r="G428" s="12">
        <f>0</f>
        <v>0</v>
      </c>
    </row>
    <row r="430" spans="1:9" x14ac:dyDescent="0.25">
      <c r="C430" s="5" cm="1">
        <f t="array" ref="C430:G434">MINVERSE(C424:G428)</f>
        <v>8.0700156546249843E-3</v>
      </c>
      <c r="D430" s="6">
        <v>1.4292798034902623E-2</v>
      </c>
      <c r="E430" s="6">
        <v>4.616821646213741E-2</v>
      </c>
      <c r="F430" s="6">
        <v>0.20495724468206558</v>
      </c>
      <c r="G430" s="7">
        <v>-0.11262081175779078</v>
      </c>
    </row>
    <row r="431" spans="1:9" x14ac:dyDescent="0.25">
      <c r="C431" s="8">
        <v>1.4292798034902625E-2</v>
      </c>
      <c r="D431" s="36">
        <v>2.5313962749184949E-2</v>
      </c>
      <c r="E431" s="36">
        <v>8.1768489897143928E-2</v>
      </c>
      <c r="F431" s="36">
        <v>6.7173463604647099E-2</v>
      </c>
      <c r="G431" s="9">
        <v>9.6363516189640744E-2</v>
      </c>
    </row>
    <row r="432" spans="1:9" x14ac:dyDescent="0.25">
      <c r="B432" s="37" t="s">
        <v>22</v>
      </c>
      <c r="C432" s="8">
        <v>4.616821646213741E-2</v>
      </c>
      <c r="D432" s="36">
        <v>8.1768489897143928E-2</v>
      </c>
      <c r="E432" s="36">
        <v>0.26412640353097638</v>
      </c>
      <c r="F432" s="36">
        <v>2.8982542998645042E-2</v>
      </c>
      <c r="G432" s="9">
        <v>-7.2973593669227454E-4</v>
      </c>
    </row>
    <row r="433" spans="1:9" x14ac:dyDescent="0.25">
      <c r="C433" s="8">
        <v>-0.20495724468206561</v>
      </c>
      <c r="D433" s="36">
        <v>-6.7173463604647099E-2</v>
      </c>
      <c r="E433" s="36">
        <v>-2.8982542998645028E-2</v>
      </c>
      <c r="F433" s="36">
        <v>2.562472663486581E-2</v>
      </c>
      <c r="G433" s="9">
        <v>-8.3589812632155883E-2</v>
      </c>
    </row>
    <row r="434" spans="1:9" x14ac:dyDescent="0.25">
      <c r="C434" s="10">
        <v>0.11262081175779079</v>
      </c>
      <c r="D434" s="11">
        <v>-9.6363516189640758E-2</v>
      </c>
      <c r="E434" s="11">
        <v>7.2973593669226132E-4</v>
      </c>
      <c r="F434" s="11">
        <v>-8.3589812632155897E-2</v>
      </c>
      <c r="G434" s="12">
        <v>8.5049284505540432E-2</v>
      </c>
    </row>
    <row r="435" spans="1:9" x14ac:dyDescent="0.25">
      <c r="B435" s="37" t="s">
        <v>23</v>
      </c>
      <c r="C435" s="1" cm="1">
        <f t="array" ref="C435:G435">-TRANSPOSE(MMULT(C430:G434,TRANSPOSE(C423:G423)))</f>
        <v>0</v>
      </c>
      <c r="D435" s="1">
        <v>0</v>
      </c>
      <c r="E435" s="1">
        <v>0</v>
      </c>
      <c r="F435" s="1">
        <v>0</v>
      </c>
      <c r="G435" s="1">
        <v>0</v>
      </c>
    </row>
    <row r="436" spans="1:9" x14ac:dyDescent="0.25">
      <c r="A436" s="1" t="s">
        <v>4</v>
      </c>
      <c r="B436" s="1" t="s">
        <v>18</v>
      </c>
      <c r="C436" s="1" cm="1">
        <f t="array" ref="C436:G436">C422:G422+C435:G435</f>
        <v>-1.1255447834430674</v>
      </c>
      <c r="D436" s="1">
        <v>-1.9328398942454124</v>
      </c>
      <c r="E436" s="1">
        <v>0.3975554729813337</v>
      </c>
      <c r="F436" s="1">
        <v>-0.67495954138082226</v>
      </c>
      <c r="G436" s="1">
        <v>-0.12015140458184514</v>
      </c>
    </row>
    <row r="437" spans="1:9" x14ac:dyDescent="0.25">
      <c r="A437" s="1">
        <v>32</v>
      </c>
      <c r="B437" s="1" t="s">
        <v>19</v>
      </c>
      <c r="C437" s="1">
        <f t="shared" ref="C437:C500" si="570">2*C436-F436*(D436^2)-2*G436*C436</f>
        <v>0</v>
      </c>
      <c r="D437" s="1">
        <f t="shared" ref="D437:D500" si="571">2*D436-2*F436*C436*D436+4*G436*D436</f>
        <v>0</v>
      </c>
      <c r="E437" s="1">
        <f t="shared" ref="E437:E500" si="572">4*E436+2*F436+2*G436</f>
        <v>0</v>
      </c>
      <c r="F437" s="1">
        <f t="shared" ref="F437:F500" si="573">C436*(D436^2)-2*E436+5</f>
        <v>0</v>
      </c>
      <c r="G437" s="1">
        <f t="shared" ref="G437:G500" si="574">C436^2-2*(D436^2)-2*E436+7</f>
        <v>0</v>
      </c>
      <c r="I437" s="1">
        <f t="shared" ref="I437:I500" si="575">MAX(ABS(C437),ABS(D437),ABS(E437),ABS(F437),ABS(G437))</f>
        <v>0</v>
      </c>
    </row>
    <row r="438" spans="1:9" x14ac:dyDescent="0.25">
      <c r="C438" s="5">
        <f t="shared" ref="C438" si="576">2-2*G436</f>
        <v>2.2403028091636905</v>
      </c>
      <c r="D438" s="6">
        <f t="shared" ref="D438" si="577">-2*F436*D436</f>
        <v>-2.6091774571648809</v>
      </c>
      <c r="E438" s="6">
        <f>0</f>
        <v>0</v>
      </c>
      <c r="F438" s="6">
        <f t="shared" ref="F438" si="578">-(D436^2)</f>
        <v>-3.735870056786617</v>
      </c>
      <c r="G438" s="7">
        <f t="shared" ref="G438" si="579">-2*C436</f>
        <v>2.2510895668861348</v>
      </c>
    </row>
    <row r="439" spans="1:9" x14ac:dyDescent="0.25">
      <c r="C439" s="8">
        <f t="shared" ref="C439" si="580">-2*F436*D436</f>
        <v>-2.6091774571648809</v>
      </c>
      <c r="D439" s="1">
        <f t="shared" ref="D439" si="581">2-2*F436*C436+4*G436</f>
        <v>0</v>
      </c>
      <c r="E439" s="1">
        <f>0</f>
        <v>0</v>
      </c>
      <c r="F439" s="1">
        <f t="shared" ref="F439" si="582">-2*C436*D436</f>
        <v>-4.3509957203971483</v>
      </c>
      <c r="G439" s="9">
        <f t="shared" ref="G439" si="583">4*D436</f>
        <v>-7.7313595769816494</v>
      </c>
    </row>
    <row r="440" spans="1:9" x14ac:dyDescent="0.25">
      <c r="B440" s="1" t="s">
        <v>20</v>
      </c>
      <c r="C440" s="8">
        <f>0</f>
        <v>0</v>
      </c>
      <c r="D440" s="1">
        <f>0</f>
        <v>0</v>
      </c>
      <c r="E440" s="1">
        <f>4</f>
        <v>4</v>
      </c>
      <c r="F440" s="1">
        <f>2</f>
        <v>2</v>
      </c>
      <c r="G440" s="9">
        <f>2</f>
        <v>2</v>
      </c>
    </row>
    <row r="441" spans="1:9" x14ac:dyDescent="0.25">
      <c r="C441" s="8">
        <f t="shared" ref="C441" si="584">(D436^2)</f>
        <v>3.735870056786617</v>
      </c>
      <c r="D441" s="1">
        <f t="shared" ref="D441" si="585">2*C436*D436</f>
        <v>4.3509957203971483</v>
      </c>
      <c r="E441" s="1">
        <f t="shared" ref="E441:E504" si="586">-2</f>
        <v>-2</v>
      </c>
      <c r="F441" s="1">
        <f>0</f>
        <v>0</v>
      </c>
      <c r="G441" s="9">
        <f>0</f>
        <v>0</v>
      </c>
    </row>
    <row r="442" spans="1:9" x14ac:dyDescent="0.25">
      <c r="C442" s="10">
        <f t="shared" ref="C442" si="587">2*C436</f>
        <v>-2.2510895668861348</v>
      </c>
      <c r="D442" s="11">
        <f t="shared" ref="D442" si="588">-4*D436</f>
        <v>7.7313595769816494</v>
      </c>
      <c r="E442" s="11">
        <f t="shared" si="586"/>
        <v>-2</v>
      </c>
      <c r="F442" s="11">
        <f>0</f>
        <v>0</v>
      </c>
      <c r="G442" s="12">
        <f>0</f>
        <v>0</v>
      </c>
    </row>
    <row r="444" spans="1:9" x14ac:dyDescent="0.25">
      <c r="C444" s="5" cm="1">
        <f t="array" ref="C444:G448">MINVERSE(C438:G442)</f>
        <v>8.0700156546249843E-3</v>
      </c>
      <c r="D444" s="6">
        <v>1.4292798034902623E-2</v>
      </c>
      <c r="E444" s="6">
        <v>4.616821646213741E-2</v>
      </c>
      <c r="F444" s="6">
        <v>0.20495724468206558</v>
      </c>
      <c r="G444" s="7">
        <v>-0.11262081175779078</v>
      </c>
    </row>
    <row r="445" spans="1:9" x14ac:dyDescent="0.25">
      <c r="C445" s="8">
        <v>1.4292798034902625E-2</v>
      </c>
      <c r="D445" s="36">
        <v>2.5313962749184949E-2</v>
      </c>
      <c r="E445" s="36">
        <v>8.1768489897143928E-2</v>
      </c>
      <c r="F445" s="36">
        <v>6.7173463604647099E-2</v>
      </c>
      <c r="G445" s="9">
        <v>9.6363516189640744E-2</v>
      </c>
    </row>
    <row r="446" spans="1:9" x14ac:dyDescent="0.25">
      <c r="B446" s="37" t="s">
        <v>22</v>
      </c>
      <c r="C446" s="8">
        <v>4.616821646213741E-2</v>
      </c>
      <c r="D446" s="36">
        <v>8.1768489897143928E-2</v>
      </c>
      <c r="E446" s="36">
        <v>0.26412640353097638</v>
      </c>
      <c r="F446" s="36">
        <v>2.8982542998645042E-2</v>
      </c>
      <c r="G446" s="9">
        <v>-7.2973593669227454E-4</v>
      </c>
    </row>
    <row r="447" spans="1:9" x14ac:dyDescent="0.25">
      <c r="C447" s="8">
        <v>-0.20495724468206561</v>
      </c>
      <c r="D447" s="36">
        <v>-6.7173463604647099E-2</v>
      </c>
      <c r="E447" s="36">
        <v>-2.8982542998645028E-2</v>
      </c>
      <c r="F447" s="36">
        <v>2.562472663486581E-2</v>
      </c>
      <c r="G447" s="9">
        <v>-8.3589812632155883E-2</v>
      </c>
    </row>
    <row r="448" spans="1:9" x14ac:dyDescent="0.25">
      <c r="C448" s="10">
        <v>0.11262081175779079</v>
      </c>
      <c r="D448" s="11">
        <v>-9.6363516189640758E-2</v>
      </c>
      <c r="E448" s="11">
        <v>7.2973593669226132E-4</v>
      </c>
      <c r="F448" s="11">
        <v>-8.3589812632155897E-2</v>
      </c>
      <c r="G448" s="12">
        <v>8.5049284505540432E-2</v>
      </c>
    </row>
    <row r="449" spans="1:9" x14ac:dyDescent="0.25">
      <c r="B449" s="37" t="s">
        <v>23</v>
      </c>
      <c r="C449" s="1" cm="1">
        <f t="array" ref="C449:G449">-TRANSPOSE(MMULT(C444:G448,TRANSPOSE(C437:G437)))</f>
        <v>0</v>
      </c>
      <c r="D449" s="1">
        <v>0</v>
      </c>
      <c r="E449" s="1">
        <v>0</v>
      </c>
      <c r="F449" s="1">
        <v>0</v>
      </c>
      <c r="G449" s="1">
        <v>0</v>
      </c>
    </row>
    <row r="450" spans="1:9" x14ac:dyDescent="0.25">
      <c r="A450" s="1" t="s">
        <v>4</v>
      </c>
      <c r="B450" s="1" t="s">
        <v>18</v>
      </c>
      <c r="C450" s="1" cm="1">
        <f t="array" ref="C450:G450">C436:G436+C449:G449</f>
        <v>-1.1255447834430674</v>
      </c>
      <c r="D450" s="1">
        <v>-1.9328398942454124</v>
      </c>
      <c r="E450" s="1">
        <v>0.3975554729813337</v>
      </c>
      <c r="F450" s="1">
        <v>-0.67495954138082226</v>
      </c>
      <c r="G450" s="1">
        <v>-0.12015140458184514</v>
      </c>
    </row>
    <row r="451" spans="1:9" x14ac:dyDescent="0.25">
      <c r="A451" s="1">
        <v>33</v>
      </c>
      <c r="B451" s="1" t="s">
        <v>19</v>
      </c>
      <c r="C451" s="1">
        <f t="shared" ref="C451:C514" si="589">2*C450-F450*(D450^2)-2*G450*C450</f>
        <v>0</v>
      </c>
      <c r="D451" s="1">
        <f t="shared" ref="D451:D514" si="590">2*D450-2*F450*C450*D450+4*G450*D450</f>
        <v>0</v>
      </c>
      <c r="E451" s="1">
        <f t="shared" ref="E451:E514" si="591">4*E450+2*F450+2*G450</f>
        <v>0</v>
      </c>
      <c r="F451" s="1">
        <f t="shared" ref="F451:F514" si="592">C450*(D450^2)-2*E450+5</f>
        <v>0</v>
      </c>
      <c r="G451" s="1">
        <f t="shared" ref="G451:G514" si="593">C450^2-2*(D450^2)-2*E450+7</f>
        <v>0</v>
      </c>
      <c r="I451" s="1">
        <f t="shared" ref="I451:I514" si="594">MAX(ABS(C451),ABS(D451),ABS(E451),ABS(F451),ABS(G451))</f>
        <v>0</v>
      </c>
    </row>
    <row r="452" spans="1:9" x14ac:dyDescent="0.25">
      <c r="C452" s="5">
        <f t="shared" ref="C452" si="595">2-2*G450</f>
        <v>2.2403028091636905</v>
      </c>
      <c r="D452" s="6">
        <f t="shared" ref="D452" si="596">-2*F450*D450</f>
        <v>-2.6091774571648809</v>
      </c>
      <c r="E452" s="6">
        <f>0</f>
        <v>0</v>
      </c>
      <c r="F452" s="6">
        <f t="shared" ref="F452" si="597">-(D450^2)</f>
        <v>-3.735870056786617</v>
      </c>
      <c r="G452" s="7">
        <f t="shared" ref="G452" si="598">-2*C450</f>
        <v>2.2510895668861348</v>
      </c>
    </row>
    <row r="453" spans="1:9" x14ac:dyDescent="0.25">
      <c r="C453" s="8">
        <f t="shared" ref="C453" si="599">-2*F450*D450</f>
        <v>-2.6091774571648809</v>
      </c>
      <c r="D453" s="1">
        <f t="shared" ref="D453" si="600">2-2*F450*C450+4*G450</f>
        <v>0</v>
      </c>
      <c r="E453" s="1">
        <f>0</f>
        <v>0</v>
      </c>
      <c r="F453" s="1">
        <f t="shared" ref="F453" si="601">-2*C450*D450</f>
        <v>-4.3509957203971483</v>
      </c>
      <c r="G453" s="9">
        <f t="shared" ref="G453" si="602">4*D450</f>
        <v>-7.7313595769816494</v>
      </c>
    </row>
    <row r="454" spans="1:9" x14ac:dyDescent="0.25">
      <c r="B454" s="1" t="s">
        <v>20</v>
      </c>
      <c r="C454" s="8">
        <f>0</f>
        <v>0</v>
      </c>
      <c r="D454" s="1">
        <f>0</f>
        <v>0</v>
      </c>
      <c r="E454" s="1">
        <f>4</f>
        <v>4</v>
      </c>
      <c r="F454" s="1">
        <f>2</f>
        <v>2</v>
      </c>
      <c r="G454" s="9">
        <f>2</f>
        <v>2</v>
      </c>
    </row>
    <row r="455" spans="1:9" x14ac:dyDescent="0.25">
      <c r="C455" s="8">
        <f t="shared" ref="C455" si="603">(D450^2)</f>
        <v>3.735870056786617</v>
      </c>
      <c r="D455" s="1">
        <f t="shared" ref="D455" si="604">2*C450*D450</f>
        <v>4.3509957203971483</v>
      </c>
      <c r="E455" s="1">
        <f t="shared" ref="E455:E518" si="605">-2</f>
        <v>-2</v>
      </c>
      <c r="F455" s="1">
        <f>0</f>
        <v>0</v>
      </c>
      <c r="G455" s="9">
        <f>0</f>
        <v>0</v>
      </c>
    </row>
    <row r="456" spans="1:9" x14ac:dyDescent="0.25">
      <c r="C456" s="10">
        <f t="shared" ref="C456" si="606">2*C450</f>
        <v>-2.2510895668861348</v>
      </c>
      <c r="D456" s="11">
        <f t="shared" ref="D456" si="607">-4*D450</f>
        <v>7.7313595769816494</v>
      </c>
      <c r="E456" s="11">
        <f t="shared" si="605"/>
        <v>-2</v>
      </c>
      <c r="F456" s="11">
        <f>0</f>
        <v>0</v>
      </c>
      <c r="G456" s="12">
        <f>0</f>
        <v>0</v>
      </c>
    </row>
    <row r="458" spans="1:9" x14ac:dyDescent="0.25">
      <c r="C458" s="5" cm="1">
        <f t="array" ref="C458:G462">MINVERSE(C452:G456)</f>
        <v>8.0700156546249843E-3</v>
      </c>
      <c r="D458" s="6">
        <v>1.4292798034902623E-2</v>
      </c>
      <c r="E458" s="6">
        <v>4.616821646213741E-2</v>
      </c>
      <c r="F458" s="6">
        <v>0.20495724468206558</v>
      </c>
      <c r="G458" s="7">
        <v>-0.11262081175779078</v>
      </c>
    </row>
    <row r="459" spans="1:9" x14ac:dyDescent="0.25">
      <c r="C459" s="8">
        <v>1.4292798034902625E-2</v>
      </c>
      <c r="D459" s="36">
        <v>2.5313962749184949E-2</v>
      </c>
      <c r="E459" s="36">
        <v>8.1768489897143928E-2</v>
      </c>
      <c r="F459" s="36">
        <v>6.7173463604647099E-2</v>
      </c>
      <c r="G459" s="9">
        <v>9.6363516189640744E-2</v>
      </c>
    </row>
    <row r="460" spans="1:9" x14ac:dyDescent="0.25">
      <c r="B460" s="37" t="s">
        <v>22</v>
      </c>
      <c r="C460" s="8">
        <v>4.616821646213741E-2</v>
      </c>
      <c r="D460" s="36">
        <v>8.1768489897143928E-2</v>
      </c>
      <c r="E460" s="36">
        <v>0.26412640353097638</v>
      </c>
      <c r="F460" s="36">
        <v>2.8982542998645042E-2</v>
      </c>
      <c r="G460" s="9">
        <v>-7.2973593669227454E-4</v>
      </c>
    </row>
    <row r="461" spans="1:9" x14ac:dyDescent="0.25">
      <c r="C461" s="8">
        <v>-0.20495724468206561</v>
      </c>
      <c r="D461" s="36">
        <v>-6.7173463604647099E-2</v>
      </c>
      <c r="E461" s="36">
        <v>-2.8982542998645028E-2</v>
      </c>
      <c r="F461" s="36">
        <v>2.562472663486581E-2</v>
      </c>
      <c r="G461" s="9">
        <v>-8.3589812632155883E-2</v>
      </c>
    </row>
    <row r="462" spans="1:9" x14ac:dyDescent="0.25">
      <c r="C462" s="10">
        <v>0.11262081175779079</v>
      </c>
      <c r="D462" s="11">
        <v>-9.6363516189640758E-2</v>
      </c>
      <c r="E462" s="11">
        <v>7.2973593669226132E-4</v>
      </c>
      <c r="F462" s="11">
        <v>-8.3589812632155897E-2</v>
      </c>
      <c r="G462" s="12">
        <v>8.5049284505540432E-2</v>
      </c>
    </row>
    <row r="463" spans="1:9" x14ac:dyDescent="0.25">
      <c r="B463" s="37" t="s">
        <v>23</v>
      </c>
      <c r="C463" s="1" cm="1">
        <f t="array" ref="C463:G463">-TRANSPOSE(MMULT(C458:G462,TRANSPOSE(C451:G451)))</f>
        <v>0</v>
      </c>
      <c r="D463" s="1">
        <v>0</v>
      </c>
      <c r="E463" s="1">
        <v>0</v>
      </c>
      <c r="F463" s="1">
        <v>0</v>
      </c>
      <c r="G463" s="1">
        <v>0</v>
      </c>
    </row>
    <row r="464" spans="1:9" x14ac:dyDescent="0.25">
      <c r="A464" s="1" t="s">
        <v>4</v>
      </c>
      <c r="B464" s="1" t="s">
        <v>18</v>
      </c>
      <c r="C464" s="1" cm="1">
        <f t="array" ref="C464:G464">C450:G450+C463:G463</f>
        <v>-1.1255447834430674</v>
      </c>
      <c r="D464" s="1">
        <v>-1.9328398942454124</v>
      </c>
      <c r="E464" s="1">
        <v>0.3975554729813337</v>
      </c>
      <c r="F464" s="1">
        <v>-0.67495954138082226</v>
      </c>
      <c r="G464" s="1">
        <v>-0.12015140458184514</v>
      </c>
    </row>
    <row r="465" spans="1:9" x14ac:dyDescent="0.25">
      <c r="A465" s="1">
        <v>34</v>
      </c>
      <c r="B465" s="1" t="s">
        <v>19</v>
      </c>
      <c r="C465" s="1">
        <f t="shared" ref="C465:C528" si="608">2*C464-F464*(D464^2)-2*G464*C464</f>
        <v>0</v>
      </c>
      <c r="D465" s="1">
        <f t="shared" ref="D465:D528" si="609">2*D464-2*F464*C464*D464+4*G464*D464</f>
        <v>0</v>
      </c>
      <c r="E465" s="1">
        <f t="shared" ref="E465:E528" si="610">4*E464+2*F464+2*G464</f>
        <v>0</v>
      </c>
      <c r="F465" s="1">
        <f t="shared" ref="F465:F528" si="611">C464*(D464^2)-2*E464+5</f>
        <v>0</v>
      </c>
      <c r="G465" s="1">
        <f t="shared" ref="G465:G528" si="612">C464^2-2*(D464^2)-2*E464+7</f>
        <v>0</v>
      </c>
      <c r="I465" s="1">
        <f t="shared" ref="I465:I528" si="613">MAX(ABS(C465),ABS(D465),ABS(E465),ABS(F465),ABS(G465))</f>
        <v>0</v>
      </c>
    </row>
    <row r="466" spans="1:9" x14ac:dyDescent="0.25">
      <c r="C466" s="5">
        <f t="shared" ref="C466" si="614">2-2*G464</f>
        <v>2.2403028091636905</v>
      </c>
      <c r="D466" s="6">
        <f t="shared" ref="D466" si="615">-2*F464*D464</f>
        <v>-2.6091774571648809</v>
      </c>
      <c r="E466" s="6">
        <f>0</f>
        <v>0</v>
      </c>
      <c r="F466" s="6">
        <f t="shared" ref="F466" si="616">-(D464^2)</f>
        <v>-3.735870056786617</v>
      </c>
      <c r="G466" s="7">
        <f t="shared" ref="G466" si="617">-2*C464</f>
        <v>2.2510895668861348</v>
      </c>
    </row>
    <row r="467" spans="1:9" x14ac:dyDescent="0.25">
      <c r="C467" s="8">
        <f t="shared" ref="C467" si="618">-2*F464*D464</f>
        <v>-2.6091774571648809</v>
      </c>
      <c r="D467" s="1">
        <f t="shared" ref="D467" si="619">2-2*F464*C464+4*G464</f>
        <v>0</v>
      </c>
      <c r="E467" s="1">
        <f>0</f>
        <v>0</v>
      </c>
      <c r="F467" s="1">
        <f t="shared" ref="F467" si="620">-2*C464*D464</f>
        <v>-4.3509957203971483</v>
      </c>
      <c r="G467" s="9">
        <f t="shared" ref="G467" si="621">4*D464</f>
        <v>-7.7313595769816494</v>
      </c>
    </row>
    <row r="468" spans="1:9" x14ac:dyDescent="0.25">
      <c r="B468" s="1" t="s">
        <v>20</v>
      </c>
      <c r="C468" s="8">
        <f>0</f>
        <v>0</v>
      </c>
      <c r="D468" s="1">
        <f>0</f>
        <v>0</v>
      </c>
      <c r="E468" s="1">
        <f>4</f>
        <v>4</v>
      </c>
      <c r="F468" s="1">
        <f>2</f>
        <v>2</v>
      </c>
      <c r="G468" s="9">
        <f>2</f>
        <v>2</v>
      </c>
    </row>
    <row r="469" spans="1:9" x14ac:dyDescent="0.25">
      <c r="C469" s="8">
        <f t="shared" ref="C469" si="622">(D464^2)</f>
        <v>3.735870056786617</v>
      </c>
      <c r="D469" s="1">
        <f t="shared" ref="D469" si="623">2*C464*D464</f>
        <v>4.3509957203971483</v>
      </c>
      <c r="E469" s="1">
        <f t="shared" ref="E469:E532" si="624">-2</f>
        <v>-2</v>
      </c>
      <c r="F469" s="1">
        <f>0</f>
        <v>0</v>
      </c>
      <c r="G469" s="9">
        <f>0</f>
        <v>0</v>
      </c>
    </row>
    <row r="470" spans="1:9" x14ac:dyDescent="0.25">
      <c r="C470" s="10">
        <f t="shared" ref="C470" si="625">2*C464</f>
        <v>-2.2510895668861348</v>
      </c>
      <c r="D470" s="11">
        <f t="shared" ref="D470" si="626">-4*D464</f>
        <v>7.7313595769816494</v>
      </c>
      <c r="E470" s="11">
        <f t="shared" si="624"/>
        <v>-2</v>
      </c>
      <c r="F470" s="11">
        <f>0</f>
        <v>0</v>
      </c>
      <c r="G470" s="12">
        <f>0</f>
        <v>0</v>
      </c>
    </row>
    <row r="472" spans="1:9" x14ac:dyDescent="0.25">
      <c r="C472" s="5" cm="1">
        <f t="array" ref="C472:G476">MINVERSE(C466:G470)</f>
        <v>8.0700156546249843E-3</v>
      </c>
      <c r="D472" s="6">
        <v>1.4292798034902623E-2</v>
      </c>
      <c r="E472" s="6">
        <v>4.616821646213741E-2</v>
      </c>
      <c r="F472" s="6">
        <v>0.20495724468206558</v>
      </c>
      <c r="G472" s="7">
        <v>-0.11262081175779078</v>
      </c>
    </row>
    <row r="473" spans="1:9" x14ac:dyDescent="0.25">
      <c r="C473" s="8">
        <v>1.4292798034902625E-2</v>
      </c>
      <c r="D473" s="36">
        <v>2.5313962749184949E-2</v>
      </c>
      <c r="E473" s="36">
        <v>8.1768489897143928E-2</v>
      </c>
      <c r="F473" s="36">
        <v>6.7173463604647099E-2</v>
      </c>
      <c r="G473" s="9">
        <v>9.6363516189640744E-2</v>
      </c>
    </row>
    <row r="474" spans="1:9" x14ac:dyDescent="0.25">
      <c r="B474" s="37" t="s">
        <v>22</v>
      </c>
      <c r="C474" s="8">
        <v>4.616821646213741E-2</v>
      </c>
      <c r="D474" s="36">
        <v>8.1768489897143928E-2</v>
      </c>
      <c r="E474" s="36">
        <v>0.26412640353097638</v>
      </c>
      <c r="F474" s="36">
        <v>2.8982542998645042E-2</v>
      </c>
      <c r="G474" s="9">
        <v>-7.2973593669227454E-4</v>
      </c>
    </row>
    <row r="475" spans="1:9" x14ac:dyDescent="0.25">
      <c r="C475" s="8">
        <v>-0.20495724468206561</v>
      </c>
      <c r="D475" s="36">
        <v>-6.7173463604647099E-2</v>
      </c>
      <c r="E475" s="36">
        <v>-2.8982542998645028E-2</v>
      </c>
      <c r="F475" s="36">
        <v>2.562472663486581E-2</v>
      </c>
      <c r="G475" s="9">
        <v>-8.3589812632155883E-2</v>
      </c>
    </row>
    <row r="476" spans="1:9" x14ac:dyDescent="0.25">
      <c r="C476" s="10">
        <v>0.11262081175779079</v>
      </c>
      <c r="D476" s="11">
        <v>-9.6363516189640758E-2</v>
      </c>
      <c r="E476" s="11">
        <v>7.2973593669226132E-4</v>
      </c>
      <c r="F476" s="11">
        <v>-8.3589812632155897E-2</v>
      </c>
      <c r="G476" s="12">
        <v>8.5049284505540432E-2</v>
      </c>
    </row>
    <row r="477" spans="1:9" x14ac:dyDescent="0.25">
      <c r="B477" s="37" t="s">
        <v>23</v>
      </c>
      <c r="C477" s="1" cm="1">
        <f t="array" ref="C477:G477">-TRANSPOSE(MMULT(C472:G476,TRANSPOSE(C465:G465)))</f>
        <v>0</v>
      </c>
      <c r="D477" s="1">
        <v>0</v>
      </c>
      <c r="E477" s="1">
        <v>0</v>
      </c>
      <c r="F477" s="1">
        <v>0</v>
      </c>
      <c r="G477" s="1">
        <v>0</v>
      </c>
    </row>
    <row r="478" spans="1:9" x14ac:dyDescent="0.25">
      <c r="A478" s="1" t="s">
        <v>4</v>
      </c>
      <c r="B478" s="1" t="s">
        <v>18</v>
      </c>
      <c r="C478" s="1" cm="1">
        <f t="array" ref="C478:G478">C464:G464+C477:G477</f>
        <v>-1.1255447834430674</v>
      </c>
      <c r="D478" s="1">
        <v>-1.9328398942454124</v>
      </c>
      <c r="E478" s="1">
        <v>0.3975554729813337</v>
      </c>
      <c r="F478" s="1">
        <v>-0.67495954138082226</v>
      </c>
      <c r="G478" s="1">
        <v>-0.12015140458184514</v>
      </c>
    </row>
    <row r="479" spans="1:9" x14ac:dyDescent="0.25">
      <c r="A479" s="1">
        <v>35</v>
      </c>
      <c r="B479" s="1" t="s">
        <v>19</v>
      </c>
      <c r="C479" s="1">
        <f t="shared" ref="C479:C542" si="627">2*C478-F478*(D478^2)-2*G478*C478</f>
        <v>0</v>
      </c>
      <c r="D479" s="1">
        <f t="shared" ref="D479:D542" si="628">2*D478-2*F478*C478*D478+4*G478*D478</f>
        <v>0</v>
      </c>
      <c r="E479" s="1">
        <f t="shared" ref="E479:E542" si="629">4*E478+2*F478+2*G478</f>
        <v>0</v>
      </c>
      <c r="F479" s="1">
        <f t="shared" ref="F479:F542" si="630">C478*(D478^2)-2*E478+5</f>
        <v>0</v>
      </c>
      <c r="G479" s="1">
        <f t="shared" ref="G479:G542" si="631">C478^2-2*(D478^2)-2*E478+7</f>
        <v>0</v>
      </c>
      <c r="I479" s="1">
        <f t="shared" ref="I479:I542" si="632">MAX(ABS(C479),ABS(D479),ABS(E479),ABS(F479),ABS(G479))</f>
        <v>0</v>
      </c>
    </row>
    <row r="480" spans="1:9" x14ac:dyDescent="0.25">
      <c r="C480" s="5">
        <f t="shared" ref="C480" si="633">2-2*G478</f>
        <v>2.2403028091636905</v>
      </c>
      <c r="D480" s="6">
        <f t="shared" ref="D480" si="634">-2*F478*D478</f>
        <v>-2.6091774571648809</v>
      </c>
      <c r="E480" s="6">
        <f>0</f>
        <v>0</v>
      </c>
      <c r="F480" s="6">
        <f t="shared" ref="F480" si="635">-(D478^2)</f>
        <v>-3.735870056786617</v>
      </c>
      <c r="G480" s="7">
        <f t="shared" ref="G480" si="636">-2*C478</f>
        <v>2.2510895668861348</v>
      </c>
    </row>
    <row r="481" spans="1:9" x14ac:dyDescent="0.25">
      <c r="C481" s="8">
        <f t="shared" ref="C481" si="637">-2*F478*D478</f>
        <v>-2.6091774571648809</v>
      </c>
      <c r="D481" s="1">
        <f t="shared" ref="D481" si="638">2-2*F478*C478+4*G478</f>
        <v>0</v>
      </c>
      <c r="E481" s="1">
        <f>0</f>
        <v>0</v>
      </c>
      <c r="F481" s="1">
        <f t="shared" ref="F481" si="639">-2*C478*D478</f>
        <v>-4.3509957203971483</v>
      </c>
      <c r="G481" s="9">
        <f t="shared" ref="G481" si="640">4*D478</f>
        <v>-7.7313595769816494</v>
      </c>
    </row>
    <row r="482" spans="1:9" x14ac:dyDescent="0.25">
      <c r="B482" s="1" t="s">
        <v>20</v>
      </c>
      <c r="C482" s="8">
        <f>0</f>
        <v>0</v>
      </c>
      <c r="D482" s="1">
        <f>0</f>
        <v>0</v>
      </c>
      <c r="E482" s="1">
        <f>4</f>
        <v>4</v>
      </c>
      <c r="F482" s="1">
        <f>2</f>
        <v>2</v>
      </c>
      <c r="G482" s="9">
        <f>2</f>
        <v>2</v>
      </c>
    </row>
    <row r="483" spans="1:9" x14ac:dyDescent="0.25">
      <c r="C483" s="8">
        <f t="shared" ref="C483" si="641">(D478^2)</f>
        <v>3.735870056786617</v>
      </c>
      <c r="D483" s="1">
        <f t="shared" ref="D483" si="642">2*C478*D478</f>
        <v>4.3509957203971483</v>
      </c>
      <c r="E483" s="1">
        <f t="shared" ref="E483:E546" si="643">-2</f>
        <v>-2</v>
      </c>
      <c r="F483" s="1">
        <f>0</f>
        <v>0</v>
      </c>
      <c r="G483" s="9">
        <f>0</f>
        <v>0</v>
      </c>
    </row>
    <row r="484" spans="1:9" x14ac:dyDescent="0.25">
      <c r="C484" s="10">
        <f t="shared" ref="C484" si="644">2*C478</f>
        <v>-2.2510895668861348</v>
      </c>
      <c r="D484" s="11">
        <f t="shared" ref="D484" si="645">-4*D478</f>
        <v>7.7313595769816494</v>
      </c>
      <c r="E484" s="11">
        <f t="shared" si="643"/>
        <v>-2</v>
      </c>
      <c r="F484" s="11">
        <f>0</f>
        <v>0</v>
      </c>
      <c r="G484" s="12">
        <f>0</f>
        <v>0</v>
      </c>
    </row>
    <row r="486" spans="1:9" x14ac:dyDescent="0.25">
      <c r="C486" s="5" cm="1">
        <f t="array" ref="C486:G490">MINVERSE(C480:G484)</f>
        <v>8.0700156546249843E-3</v>
      </c>
      <c r="D486" s="6">
        <v>1.4292798034902623E-2</v>
      </c>
      <c r="E486" s="6">
        <v>4.616821646213741E-2</v>
      </c>
      <c r="F486" s="6">
        <v>0.20495724468206558</v>
      </c>
      <c r="G486" s="7">
        <v>-0.11262081175779078</v>
      </c>
    </row>
    <row r="487" spans="1:9" x14ac:dyDescent="0.25">
      <c r="C487" s="8">
        <v>1.4292798034902625E-2</v>
      </c>
      <c r="D487" s="36">
        <v>2.5313962749184949E-2</v>
      </c>
      <c r="E487" s="36">
        <v>8.1768489897143928E-2</v>
      </c>
      <c r="F487" s="36">
        <v>6.7173463604647099E-2</v>
      </c>
      <c r="G487" s="9">
        <v>9.6363516189640744E-2</v>
      </c>
    </row>
    <row r="488" spans="1:9" x14ac:dyDescent="0.25">
      <c r="B488" s="37" t="s">
        <v>22</v>
      </c>
      <c r="C488" s="8">
        <v>4.616821646213741E-2</v>
      </c>
      <c r="D488" s="36">
        <v>8.1768489897143928E-2</v>
      </c>
      <c r="E488" s="36">
        <v>0.26412640353097638</v>
      </c>
      <c r="F488" s="36">
        <v>2.8982542998645042E-2</v>
      </c>
      <c r="G488" s="9">
        <v>-7.2973593669227454E-4</v>
      </c>
    </row>
    <row r="489" spans="1:9" x14ac:dyDescent="0.25">
      <c r="C489" s="8">
        <v>-0.20495724468206561</v>
      </c>
      <c r="D489" s="36">
        <v>-6.7173463604647099E-2</v>
      </c>
      <c r="E489" s="36">
        <v>-2.8982542998645028E-2</v>
      </c>
      <c r="F489" s="36">
        <v>2.562472663486581E-2</v>
      </c>
      <c r="G489" s="9">
        <v>-8.3589812632155883E-2</v>
      </c>
    </row>
    <row r="490" spans="1:9" x14ac:dyDescent="0.25">
      <c r="C490" s="10">
        <v>0.11262081175779079</v>
      </c>
      <c r="D490" s="11">
        <v>-9.6363516189640758E-2</v>
      </c>
      <c r="E490" s="11">
        <v>7.2973593669226132E-4</v>
      </c>
      <c r="F490" s="11">
        <v>-8.3589812632155897E-2</v>
      </c>
      <c r="G490" s="12">
        <v>8.5049284505540432E-2</v>
      </c>
    </row>
    <row r="491" spans="1:9" x14ac:dyDescent="0.25">
      <c r="B491" s="37" t="s">
        <v>23</v>
      </c>
      <c r="C491" s="1" cm="1">
        <f t="array" ref="C491:G491">-TRANSPOSE(MMULT(C486:G490,TRANSPOSE(C479:G479)))</f>
        <v>0</v>
      </c>
      <c r="D491" s="1">
        <v>0</v>
      </c>
      <c r="E491" s="1">
        <v>0</v>
      </c>
      <c r="F491" s="1">
        <v>0</v>
      </c>
      <c r="G491" s="1">
        <v>0</v>
      </c>
    </row>
    <row r="492" spans="1:9" x14ac:dyDescent="0.25">
      <c r="A492" s="1" t="s">
        <v>4</v>
      </c>
      <c r="B492" s="1" t="s">
        <v>18</v>
      </c>
      <c r="C492" s="1" cm="1">
        <f t="array" ref="C492:G492">C478:G478+C491:G491</f>
        <v>-1.1255447834430674</v>
      </c>
      <c r="D492" s="1">
        <v>-1.9328398942454124</v>
      </c>
      <c r="E492" s="1">
        <v>0.3975554729813337</v>
      </c>
      <c r="F492" s="1">
        <v>-0.67495954138082226</v>
      </c>
      <c r="G492" s="1">
        <v>-0.12015140458184514</v>
      </c>
    </row>
    <row r="493" spans="1:9" x14ac:dyDescent="0.25">
      <c r="A493" s="1">
        <v>36</v>
      </c>
      <c r="B493" s="1" t="s">
        <v>19</v>
      </c>
      <c r="C493" s="1">
        <f t="shared" ref="C493:C556" si="646">2*C492-F492*(D492^2)-2*G492*C492</f>
        <v>0</v>
      </c>
      <c r="D493" s="1">
        <f t="shared" ref="D493:D556" si="647">2*D492-2*F492*C492*D492+4*G492*D492</f>
        <v>0</v>
      </c>
      <c r="E493" s="1">
        <f t="shared" ref="E493:E556" si="648">4*E492+2*F492+2*G492</f>
        <v>0</v>
      </c>
      <c r="F493" s="1">
        <f t="shared" ref="F493:F556" si="649">C492*(D492^2)-2*E492+5</f>
        <v>0</v>
      </c>
      <c r="G493" s="1">
        <f t="shared" ref="G493:G556" si="650">C492^2-2*(D492^2)-2*E492+7</f>
        <v>0</v>
      </c>
      <c r="I493" s="1">
        <f t="shared" ref="I493:I556" si="651">MAX(ABS(C493),ABS(D493),ABS(E493),ABS(F493),ABS(G493))</f>
        <v>0</v>
      </c>
    </row>
    <row r="494" spans="1:9" x14ac:dyDescent="0.25">
      <c r="C494" s="5">
        <f t="shared" ref="C494" si="652">2-2*G492</f>
        <v>2.2403028091636905</v>
      </c>
      <c r="D494" s="6">
        <f t="shared" ref="D494" si="653">-2*F492*D492</f>
        <v>-2.6091774571648809</v>
      </c>
      <c r="E494" s="6">
        <f>0</f>
        <v>0</v>
      </c>
      <c r="F494" s="6">
        <f t="shared" ref="F494" si="654">-(D492^2)</f>
        <v>-3.735870056786617</v>
      </c>
      <c r="G494" s="7">
        <f t="shared" ref="G494" si="655">-2*C492</f>
        <v>2.2510895668861348</v>
      </c>
    </row>
    <row r="495" spans="1:9" x14ac:dyDescent="0.25">
      <c r="C495" s="8">
        <f t="shared" ref="C495" si="656">-2*F492*D492</f>
        <v>-2.6091774571648809</v>
      </c>
      <c r="D495" s="1">
        <f t="shared" ref="D495" si="657">2-2*F492*C492+4*G492</f>
        <v>0</v>
      </c>
      <c r="E495" s="1">
        <f>0</f>
        <v>0</v>
      </c>
      <c r="F495" s="1">
        <f t="shared" ref="F495" si="658">-2*C492*D492</f>
        <v>-4.3509957203971483</v>
      </c>
      <c r="G495" s="9">
        <f t="shared" ref="G495" si="659">4*D492</f>
        <v>-7.7313595769816494</v>
      </c>
    </row>
    <row r="496" spans="1:9" x14ac:dyDescent="0.25">
      <c r="B496" s="1" t="s">
        <v>20</v>
      </c>
      <c r="C496" s="8">
        <f>0</f>
        <v>0</v>
      </c>
      <c r="D496" s="1">
        <f>0</f>
        <v>0</v>
      </c>
      <c r="E496" s="1">
        <f>4</f>
        <v>4</v>
      </c>
      <c r="F496" s="1">
        <f>2</f>
        <v>2</v>
      </c>
      <c r="G496" s="9">
        <f>2</f>
        <v>2</v>
      </c>
    </row>
    <row r="497" spans="1:9" x14ac:dyDescent="0.25">
      <c r="C497" s="8">
        <f t="shared" ref="C497" si="660">(D492^2)</f>
        <v>3.735870056786617</v>
      </c>
      <c r="D497" s="1">
        <f t="shared" ref="D497" si="661">2*C492*D492</f>
        <v>4.3509957203971483</v>
      </c>
      <c r="E497" s="1">
        <f t="shared" ref="E497:E560" si="662">-2</f>
        <v>-2</v>
      </c>
      <c r="F497" s="1">
        <f>0</f>
        <v>0</v>
      </c>
      <c r="G497" s="9">
        <f>0</f>
        <v>0</v>
      </c>
    </row>
    <row r="498" spans="1:9" x14ac:dyDescent="0.25">
      <c r="C498" s="10">
        <f t="shared" ref="C498" si="663">2*C492</f>
        <v>-2.2510895668861348</v>
      </c>
      <c r="D498" s="11">
        <f t="shared" ref="D498" si="664">-4*D492</f>
        <v>7.7313595769816494</v>
      </c>
      <c r="E498" s="11">
        <f t="shared" si="662"/>
        <v>-2</v>
      </c>
      <c r="F498" s="11">
        <f>0</f>
        <v>0</v>
      </c>
      <c r="G498" s="12">
        <f>0</f>
        <v>0</v>
      </c>
    </row>
    <row r="500" spans="1:9" x14ac:dyDescent="0.25">
      <c r="C500" s="5" cm="1">
        <f t="array" ref="C500:G504">MINVERSE(C494:G498)</f>
        <v>8.0700156546249843E-3</v>
      </c>
      <c r="D500" s="6">
        <v>1.4292798034902623E-2</v>
      </c>
      <c r="E500" s="6">
        <v>4.616821646213741E-2</v>
      </c>
      <c r="F500" s="6">
        <v>0.20495724468206558</v>
      </c>
      <c r="G500" s="7">
        <v>-0.11262081175779078</v>
      </c>
    </row>
    <row r="501" spans="1:9" x14ac:dyDescent="0.25">
      <c r="C501" s="8">
        <v>1.4292798034902625E-2</v>
      </c>
      <c r="D501" s="36">
        <v>2.5313962749184949E-2</v>
      </c>
      <c r="E501" s="36">
        <v>8.1768489897143928E-2</v>
      </c>
      <c r="F501" s="36">
        <v>6.7173463604647099E-2</v>
      </c>
      <c r="G501" s="9">
        <v>9.6363516189640744E-2</v>
      </c>
    </row>
    <row r="502" spans="1:9" x14ac:dyDescent="0.25">
      <c r="B502" s="37" t="s">
        <v>22</v>
      </c>
      <c r="C502" s="8">
        <v>4.616821646213741E-2</v>
      </c>
      <c r="D502" s="36">
        <v>8.1768489897143928E-2</v>
      </c>
      <c r="E502" s="36">
        <v>0.26412640353097638</v>
      </c>
      <c r="F502" s="36">
        <v>2.8982542998645042E-2</v>
      </c>
      <c r="G502" s="9">
        <v>-7.2973593669227454E-4</v>
      </c>
    </row>
    <row r="503" spans="1:9" x14ac:dyDescent="0.25">
      <c r="C503" s="8">
        <v>-0.20495724468206561</v>
      </c>
      <c r="D503" s="36">
        <v>-6.7173463604647099E-2</v>
      </c>
      <c r="E503" s="36">
        <v>-2.8982542998645028E-2</v>
      </c>
      <c r="F503" s="36">
        <v>2.562472663486581E-2</v>
      </c>
      <c r="G503" s="9">
        <v>-8.3589812632155883E-2</v>
      </c>
    </row>
    <row r="504" spans="1:9" x14ac:dyDescent="0.25">
      <c r="C504" s="10">
        <v>0.11262081175779079</v>
      </c>
      <c r="D504" s="11">
        <v>-9.6363516189640758E-2</v>
      </c>
      <c r="E504" s="11">
        <v>7.2973593669226132E-4</v>
      </c>
      <c r="F504" s="11">
        <v>-8.3589812632155897E-2</v>
      </c>
      <c r="G504" s="12">
        <v>8.5049284505540432E-2</v>
      </c>
    </row>
    <row r="505" spans="1:9" x14ac:dyDescent="0.25">
      <c r="B505" s="37" t="s">
        <v>23</v>
      </c>
      <c r="C505" s="1" cm="1">
        <f t="array" ref="C505:G505">-TRANSPOSE(MMULT(C500:G504,TRANSPOSE(C493:G493)))</f>
        <v>0</v>
      </c>
      <c r="D505" s="1">
        <v>0</v>
      </c>
      <c r="E505" s="1">
        <v>0</v>
      </c>
      <c r="F505" s="1">
        <v>0</v>
      </c>
      <c r="G505" s="1">
        <v>0</v>
      </c>
    </row>
    <row r="506" spans="1:9" x14ac:dyDescent="0.25">
      <c r="A506" s="1" t="s">
        <v>4</v>
      </c>
      <c r="B506" s="1" t="s">
        <v>18</v>
      </c>
      <c r="C506" s="1" cm="1">
        <f t="array" ref="C506:G506">C492:G492+C505:G505</f>
        <v>-1.1255447834430674</v>
      </c>
      <c r="D506" s="1">
        <v>-1.9328398942454124</v>
      </c>
      <c r="E506" s="1">
        <v>0.3975554729813337</v>
      </c>
      <c r="F506" s="1">
        <v>-0.67495954138082226</v>
      </c>
      <c r="G506" s="1">
        <v>-0.12015140458184514</v>
      </c>
    </row>
    <row r="507" spans="1:9" x14ac:dyDescent="0.25">
      <c r="A507" s="1">
        <v>37</v>
      </c>
      <c r="B507" s="1" t="s">
        <v>19</v>
      </c>
      <c r="C507" s="1">
        <f t="shared" ref="C507:C570" si="665">2*C506-F506*(D506^2)-2*G506*C506</f>
        <v>0</v>
      </c>
      <c r="D507" s="1">
        <f t="shared" ref="D507:D570" si="666">2*D506-2*F506*C506*D506+4*G506*D506</f>
        <v>0</v>
      </c>
      <c r="E507" s="1">
        <f t="shared" ref="E507:E570" si="667">4*E506+2*F506+2*G506</f>
        <v>0</v>
      </c>
      <c r="F507" s="1">
        <f t="shared" ref="F507:F570" si="668">C506*(D506^2)-2*E506+5</f>
        <v>0</v>
      </c>
      <c r="G507" s="1">
        <f t="shared" ref="G507:G570" si="669">C506^2-2*(D506^2)-2*E506+7</f>
        <v>0</v>
      </c>
      <c r="I507" s="1">
        <f t="shared" ref="I507:I570" si="670">MAX(ABS(C507),ABS(D507),ABS(E507),ABS(F507),ABS(G507))</f>
        <v>0</v>
      </c>
    </row>
    <row r="508" spans="1:9" x14ac:dyDescent="0.25">
      <c r="C508" s="5">
        <f t="shared" ref="C508" si="671">2-2*G506</f>
        <v>2.2403028091636905</v>
      </c>
      <c r="D508" s="6">
        <f t="shared" ref="D508" si="672">-2*F506*D506</f>
        <v>-2.6091774571648809</v>
      </c>
      <c r="E508" s="6">
        <f>0</f>
        <v>0</v>
      </c>
      <c r="F508" s="6">
        <f t="shared" ref="F508" si="673">-(D506^2)</f>
        <v>-3.735870056786617</v>
      </c>
      <c r="G508" s="7">
        <f t="shared" ref="G508" si="674">-2*C506</f>
        <v>2.2510895668861348</v>
      </c>
    </row>
    <row r="509" spans="1:9" x14ac:dyDescent="0.25">
      <c r="C509" s="8">
        <f t="shared" ref="C509" si="675">-2*F506*D506</f>
        <v>-2.6091774571648809</v>
      </c>
      <c r="D509" s="1">
        <f t="shared" ref="D509" si="676">2-2*F506*C506+4*G506</f>
        <v>0</v>
      </c>
      <c r="E509" s="1">
        <f>0</f>
        <v>0</v>
      </c>
      <c r="F509" s="1">
        <f t="shared" ref="F509" si="677">-2*C506*D506</f>
        <v>-4.3509957203971483</v>
      </c>
      <c r="G509" s="9">
        <f t="shared" ref="G509" si="678">4*D506</f>
        <v>-7.7313595769816494</v>
      </c>
    </row>
    <row r="510" spans="1:9" x14ac:dyDescent="0.25">
      <c r="B510" s="1" t="s">
        <v>20</v>
      </c>
      <c r="C510" s="8">
        <f>0</f>
        <v>0</v>
      </c>
      <c r="D510" s="1">
        <f>0</f>
        <v>0</v>
      </c>
      <c r="E510" s="1">
        <f>4</f>
        <v>4</v>
      </c>
      <c r="F510" s="1">
        <f>2</f>
        <v>2</v>
      </c>
      <c r="G510" s="9">
        <f>2</f>
        <v>2</v>
      </c>
    </row>
    <row r="511" spans="1:9" x14ac:dyDescent="0.25">
      <c r="C511" s="8">
        <f t="shared" ref="C511" si="679">(D506^2)</f>
        <v>3.735870056786617</v>
      </c>
      <c r="D511" s="1">
        <f t="shared" ref="D511" si="680">2*C506*D506</f>
        <v>4.3509957203971483</v>
      </c>
      <c r="E511" s="1">
        <f t="shared" ref="E511:E574" si="681">-2</f>
        <v>-2</v>
      </c>
      <c r="F511" s="1">
        <f>0</f>
        <v>0</v>
      </c>
      <c r="G511" s="9">
        <f>0</f>
        <v>0</v>
      </c>
    </row>
    <row r="512" spans="1:9" x14ac:dyDescent="0.25">
      <c r="C512" s="10">
        <f t="shared" ref="C512" si="682">2*C506</f>
        <v>-2.2510895668861348</v>
      </c>
      <c r="D512" s="11">
        <f t="shared" ref="D512" si="683">-4*D506</f>
        <v>7.7313595769816494</v>
      </c>
      <c r="E512" s="11">
        <f t="shared" si="681"/>
        <v>-2</v>
      </c>
      <c r="F512" s="11">
        <f>0</f>
        <v>0</v>
      </c>
      <c r="G512" s="12">
        <f>0</f>
        <v>0</v>
      </c>
    </row>
    <row r="514" spans="1:9" x14ac:dyDescent="0.25">
      <c r="C514" s="5" cm="1">
        <f t="array" ref="C514:G518">MINVERSE(C508:G512)</f>
        <v>8.0700156546249843E-3</v>
      </c>
      <c r="D514" s="6">
        <v>1.4292798034902623E-2</v>
      </c>
      <c r="E514" s="6">
        <v>4.616821646213741E-2</v>
      </c>
      <c r="F514" s="6">
        <v>0.20495724468206558</v>
      </c>
      <c r="G514" s="7">
        <v>-0.11262081175779078</v>
      </c>
    </row>
    <row r="515" spans="1:9" x14ac:dyDescent="0.25">
      <c r="C515" s="8">
        <v>1.4292798034902625E-2</v>
      </c>
      <c r="D515" s="36">
        <v>2.5313962749184949E-2</v>
      </c>
      <c r="E515" s="36">
        <v>8.1768489897143928E-2</v>
      </c>
      <c r="F515" s="36">
        <v>6.7173463604647099E-2</v>
      </c>
      <c r="G515" s="9">
        <v>9.6363516189640744E-2</v>
      </c>
    </row>
    <row r="516" spans="1:9" x14ac:dyDescent="0.25">
      <c r="B516" s="37" t="s">
        <v>22</v>
      </c>
      <c r="C516" s="8">
        <v>4.616821646213741E-2</v>
      </c>
      <c r="D516" s="36">
        <v>8.1768489897143928E-2</v>
      </c>
      <c r="E516" s="36">
        <v>0.26412640353097638</v>
      </c>
      <c r="F516" s="36">
        <v>2.8982542998645042E-2</v>
      </c>
      <c r="G516" s="9">
        <v>-7.2973593669227454E-4</v>
      </c>
    </row>
    <row r="517" spans="1:9" x14ac:dyDescent="0.25">
      <c r="C517" s="8">
        <v>-0.20495724468206561</v>
      </c>
      <c r="D517" s="36">
        <v>-6.7173463604647099E-2</v>
      </c>
      <c r="E517" s="36">
        <v>-2.8982542998645028E-2</v>
      </c>
      <c r="F517" s="36">
        <v>2.562472663486581E-2</v>
      </c>
      <c r="G517" s="9">
        <v>-8.3589812632155883E-2</v>
      </c>
    </row>
    <row r="518" spans="1:9" x14ac:dyDescent="0.25">
      <c r="C518" s="10">
        <v>0.11262081175779079</v>
      </c>
      <c r="D518" s="11">
        <v>-9.6363516189640758E-2</v>
      </c>
      <c r="E518" s="11">
        <v>7.2973593669226132E-4</v>
      </c>
      <c r="F518" s="11">
        <v>-8.3589812632155897E-2</v>
      </c>
      <c r="G518" s="12">
        <v>8.5049284505540432E-2</v>
      </c>
    </row>
    <row r="519" spans="1:9" x14ac:dyDescent="0.25">
      <c r="B519" s="37" t="s">
        <v>23</v>
      </c>
      <c r="C519" s="1" cm="1">
        <f t="array" ref="C519:G519">-TRANSPOSE(MMULT(C514:G518,TRANSPOSE(C507:G507)))</f>
        <v>0</v>
      </c>
      <c r="D519" s="1">
        <v>0</v>
      </c>
      <c r="E519" s="1">
        <v>0</v>
      </c>
      <c r="F519" s="1">
        <v>0</v>
      </c>
      <c r="G519" s="1">
        <v>0</v>
      </c>
    </row>
    <row r="520" spans="1:9" x14ac:dyDescent="0.25">
      <c r="A520" s="1" t="s">
        <v>4</v>
      </c>
      <c r="B520" s="1" t="s">
        <v>18</v>
      </c>
      <c r="C520" s="1" cm="1">
        <f t="array" ref="C520:G520">C506:G506+C519:G519</f>
        <v>-1.1255447834430674</v>
      </c>
      <c r="D520" s="1">
        <v>-1.9328398942454124</v>
      </c>
      <c r="E520" s="1">
        <v>0.3975554729813337</v>
      </c>
      <c r="F520" s="1">
        <v>-0.67495954138082226</v>
      </c>
      <c r="G520" s="1">
        <v>-0.12015140458184514</v>
      </c>
    </row>
    <row r="521" spans="1:9" x14ac:dyDescent="0.25">
      <c r="A521" s="1">
        <v>38</v>
      </c>
      <c r="B521" s="1" t="s">
        <v>19</v>
      </c>
      <c r="C521" s="1">
        <f t="shared" ref="C521:C584" si="684">2*C520-F520*(D520^2)-2*G520*C520</f>
        <v>0</v>
      </c>
      <c r="D521" s="1">
        <f t="shared" ref="D521:D584" si="685">2*D520-2*F520*C520*D520+4*G520*D520</f>
        <v>0</v>
      </c>
      <c r="E521" s="1">
        <f t="shared" ref="E521:E584" si="686">4*E520+2*F520+2*G520</f>
        <v>0</v>
      </c>
      <c r="F521" s="1">
        <f t="shared" ref="F521:F584" si="687">C520*(D520^2)-2*E520+5</f>
        <v>0</v>
      </c>
      <c r="G521" s="1">
        <f t="shared" ref="G521:G584" si="688">C520^2-2*(D520^2)-2*E520+7</f>
        <v>0</v>
      </c>
      <c r="I521" s="1">
        <f t="shared" ref="I521:I584" si="689">MAX(ABS(C521),ABS(D521),ABS(E521),ABS(F521),ABS(G521))</f>
        <v>0</v>
      </c>
    </row>
    <row r="522" spans="1:9" x14ac:dyDescent="0.25">
      <c r="C522" s="5">
        <f t="shared" ref="C522" si="690">2-2*G520</f>
        <v>2.2403028091636905</v>
      </c>
      <c r="D522" s="6">
        <f t="shared" ref="D522" si="691">-2*F520*D520</f>
        <v>-2.6091774571648809</v>
      </c>
      <c r="E522" s="6">
        <f>0</f>
        <v>0</v>
      </c>
      <c r="F522" s="6">
        <f t="shared" ref="F522" si="692">-(D520^2)</f>
        <v>-3.735870056786617</v>
      </c>
      <c r="G522" s="7">
        <f t="shared" ref="G522" si="693">-2*C520</f>
        <v>2.2510895668861348</v>
      </c>
    </row>
    <row r="523" spans="1:9" x14ac:dyDescent="0.25">
      <c r="C523" s="8">
        <f t="shared" ref="C523" si="694">-2*F520*D520</f>
        <v>-2.6091774571648809</v>
      </c>
      <c r="D523" s="1">
        <f t="shared" ref="D523" si="695">2-2*F520*C520+4*G520</f>
        <v>0</v>
      </c>
      <c r="E523" s="1">
        <f>0</f>
        <v>0</v>
      </c>
      <c r="F523" s="1">
        <f t="shared" ref="F523" si="696">-2*C520*D520</f>
        <v>-4.3509957203971483</v>
      </c>
      <c r="G523" s="9">
        <f t="shared" ref="G523" si="697">4*D520</f>
        <v>-7.7313595769816494</v>
      </c>
    </row>
    <row r="524" spans="1:9" x14ac:dyDescent="0.25">
      <c r="B524" s="1" t="s">
        <v>20</v>
      </c>
      <c r="C524" s="8">
        <f>0</f>
        <v>0</v>
      </c>
      <c r="D524" s="1">
        <f>0</f>
        <v>0</v>
      </c>
      <c r="E524" s="1">
        <f>4</f>
        <v>4</v>
      </c>
      <c r="F524" s="1">
        <f>2</f>
        <v>2</v>
      </c>
      <c r="G524" s="9">
        <f>2</f>
        <v>2</v>
      </c>
    </row>
    <row r="525" spans="1:9" x14ac:dyDescent="0.25">
      <c r="C525" s="8">
        <f t="shared" ref="C525" si="698">(D520^2)</f>
        <v>3.735870056786617</v>
      </c>
      <c r="D525" s="1">
        <f t="shared" ref="D525" si="699">2*C520*D520</f>
        <v>4.3509957203971483</v>
      </c>
      <c r="E525" s="1">
        <f t="shared" ref="E525:E588" si="700">-2</f>
        <v>-2</v>
      </c>
      <c r="F525" s="1">
        <f>0</f>
        <v>0</v>
      </c>
      <c r="G525" s="9">
        <f>0</f>
        <v>0</v>
      </c>
    </row>
    <row r="526" spans="1:9" x14ac:dyDescent="0.25">
      <c r="C526" s="10">
        <f t="shared" ref="C526" si="701">2*C520</f>
        <v>-2.2510895668861348</v>
      </c>
      <c r="D526" s="11">
        <f t="shared" ref="D526" si="702">-4*D520</f>
        <v>7.7313595769816494</v>
      </c>
      <c r="E526" s="11">
        <f t="shared" si="700"/>
        <v>-2</v>
      </c>
      <c r="F526" s="11">
        <f>0</f>
        <v>0</v>
      </c>
      <c r="G526" s="12">
        <f>0</f>
        <v>0</v>
      </c>
    </row>
    <row r="528" spans="1:9" x14ac:dyDescent="0.25">
      <c r="C528" s="5" cm="1">
        <f t="array" ref="C528:G532">MINVERSE(C522:G526)</f>
        <v>8.0700156546249843E-3</v>
      </c>
      <c r="D528" s="6">
        <v>1.4292798034902623E-2</v>
      </c>
      <c r="E528" s="6">
        <v>4.616821646213741E-2</v>
      </c>
      <c r="F528" s="6">
        <v>0.20495724468206558</v>
      </c>
      <c r="G528" s="7">
        <v>-0.11262081175779078</v>
      </c>
    </row>
    <row r="529" spans="1:9" x14ac:dyDescent="0.25">
      <c r="C529" s="8">
        <v>1.4292798034902625E-2</v>
      </c>
      <c r="D529" s="36">
        <v>2.5313962749184949E-2</v>
      </c>
      <c r="E529" s="36">
        <v>8.1768489897143928E-2</v>
      </c>
      <c r="F529" s="36">
        <v>6.7173463604647099E-2</v>
      </c>
      <c r="G529" s="9">
        <v>9.6363516189640744E-2</v>
      </c>
    </row>
    <row r="530" spans="1:9" x14ac:dyDescent="0.25">
      <c r="B530" s="37" t="s">
        <v>22</v>
      </c>
      <c r="C530" s="8">
        <v>4.616821646213741E-2</v>
      </c>
      <c r="D530" s="36">
        <v>8.1768489897143928E-2</v>
      </c>
      <c r="E530" s="36">
        <v>0.26412640353097638</v>
      </c>
      <c r="F530" s="36">
        <v>2.8982542998645042E-2</v>
      </c>
      <c r="G530" s="9">
        <v>-7.2973593669227454E-4</v>
      </c>
    </row>
    <row r="531" spans="1:9" x14ac:dyDescent="0.25">
      <c r="C531" s="8">
        <v>-0.20495724468206561</v>
      </c>
      <c r="D531" s="36">
        <v>-6.7173463604647099E-2</v>
      </c>
      <c r="E531" s="36">
        <v>-2.8982542998645028E-2</v>
      </c>
      <c r="F531" s="36">
        <v>2.562472663486581E-2</v>
      </c>
      <c r="G531" s="9">
        <v>-8.3589812632155883E-2</v>
      </c>
    </row>
    <row r="532" spans="1:9" x14ac:dyDescent="0.25">
      <c r="C532" s="10">
        <v>0.11262081175779079</v>
      </c>
      <c r="D532" s="11">
        <v>-9.6363516189640758E-2</v>
      </c>
      <c r="E532" s="11">
        <v>7.2973593669226132E-4</v>
      </c>
      <c r="F532" s="11">
        <v>-8.3589812632155897E-2</v>
      </c>
      <c r="G532" s="12">
        <v>8.5049284505540432E-2</v>
      </c>
    </row>
    <row r="533" spans="1:9" x14ac:dyDescent="0.25">
      <c r="B533" s="37" t="s">
        <v>23</v>
      </c>
      <c r="C533" s="1" cm="1">
        <f t="array" ref="C533:G533">-TRANSPOSE(MMULT(C528:G532,TRANSPOSE(C521:G521)))</f>
        <v>0</v>
      </c>
      <c r="D533" s="1">
        <v>0</v>
      </c>
      <c r="E533" s="1">
        <v>0</v>
      </c>
      <c r="F533" s="1">
        <v>0</v>
      </c>
      <c r="G533" s="1">
        <v>0</v>
      </c>
    </row>
    <row r="534" spans="1:9" x14ac:dyDescent="0.25">
      <c r="A534" s="1" t="s">
        <v>4</v>
      </c>
      <c r="B534" s="1" t="s">
        <v>18</v>
      </c>
      <c r="C534" s="1" cm="1">
        <f t="array" ref="C534:G534">C520:G520+C533:G533</f>
        <v>-1.1255447834430674</v>
      </c>
      <c r="D534" s="1">
        <v>-1.9328398942454124</v>
      </c>
      <c r="E534" s="1">
        <v>0.3975554729813337</v>
      </c>
      <c r="F534" s="1">
        <v>-0.67495954138082226</v>
      </c>
      <c r="G534" s="1">
        <v>-0.12015140458184514</v>
      </c>
    </row>
    <row r="535" spans="1:9" x14ac:dyDescent="0.25">
      <c r="A535" s="1">
        <v>39</v>
      </c>
      <c r="B535" s="1" t="s">
        <v>19</v>
      </c>
      <c r="C535" s="1">
        <f t="shared" ref="C535:C598" si="703">2*C534-F534*(D534^2)-2*G534*C534</f>
        <v>0</v>
      </c>
      <c r="D535" s="1">
        <f t="shared" ref="D535:D598" si="704">2*D534-2*F534*C534*D534+4*G534*D534</f>
        <v>0</v>
      </c>
      <c r="E535" s="1">
        <f t="shared" ref="E535:E598" si="705">4*E534+2*F534+2*G534</f>
        <v>0</v>
      </c>
      <c r="F535" s="1">
        <f t="shared" ref="F535:F598" si="706">C534*(D534^2)-2*E534+5</f>
        <v>0</v>
      </c>
      <c r="G535" s="1">
        <f t="shared" ref="G535:G598" si="707">C534^2-2*(D534^2)-2*E534+7</f>
        <v>0</v>
      </c>
      <c r="I535" s="1">
        <f t="shared" ref="I535:I598" si="708">MAX(ABS(C535),ABS(D535),ABS(E535),ABS(F535),ABS(G535))</f>
        <v>0</v>
      </c>
    </row>
    <row r="536" spans="1:9" x14ac:dyDescent="0.25">
      <c r="C536" s="5">
        <f t="shared" ref="C536" si="709">2-2*G534</f>
        <v>2.2403028091636905</v>
      </c>
      <c r="D536" s="6">
        <f t="shared" ref="D536" si="710">-2*F534*D534</f>
        <v>-2.6091774571648809</v>
      </c>
      <c r="E536" s="6">
        <f>0</f>
        <v>0</v>
      </c>
      <c r="F536" s="6">
        <f t="shared" ref="F536" si="711">-(D534^2)</f>
        <v>-3.735870056786617</v>
      </c>
      <c r="G536" s="7">
        <f t="shared" ref="G536" si="712">-2*C534</f>
        <v>2.2510895668861348</v>
      </c>
    </row>
    <row r="537" spans="1:9" x14ac:dyDescent="0.25">
      <c r="C537" s="8">
        <f t="shared" ref="C537" si="713">-2*F534*D534</f>
        <v>-2.6091774571648809</v>
      </c>
      <c r="D537" s="1">
        <f t="shared" ref="D537" si="714">2-2*F534*C534+4*G534</f>
        <v>0</v>
      </c>
      <c r="E537" s="1">
        <f>0</f>
        <v>0</v>
      </c>
      <c r="F537" s="1">
        <f t="shared" ref="F537" si="715">-2*C534*D534</f>
        <v>-4.3509957203971483</v>
      </c>
      <c r="G537" s="9">
        <f t="shared" ref="G537" si="716">4*D534</f>
        <v>-7.7313595769816494</v>
      </c>
    </row>
    <row r="538" spans="1:9" x14ac:dyDescent="0.25">
      <c r="B538" s="1" t="s">
        <v>20</v>
      </c>
      <c r="C538" s="8">
        <f>0</f>
        <v>0</v>
      </c>
      <c r="D538" s="1">
        <f>0</f>
        <v>0</v>
      </c>
      <c r="E538" s="1">
        <f>4</f>
        <v>4</v>
      </c>
      <c r="F538" s="1">
        <f>2</f>
        <v>2</v>
      </c>
      <c r="G538" s="9">
        <f>2</f>
        <v>2</v>
      </c>
    </row>
    <row r="539" spans="1:9" x14ac:dyDescent="0.25">
      <c r="C539" s="8">
        <f t="shared" ref="C539" si="717">(D534^2)</f>
        <v>3.735870056786617</v>
      </c>
      <c r="D539" s="1">
        <f t="shared" ref="D539" si="718">2*C534*D534</f>
        <v>4.3509957203971483</v>
      </c>
      <c r="E539" s="1">
        <f t="shared" ref="E539:E602" si="719">-2</f>
        <v>-2</v>
      </c>
      <c r="F539" s="1">
        <f>0</f>
        <v>0</v>
      </c>
      <c r="G539" s="9">
        <f>0</f>
        <v>0</v>
      </c>
    </row>
    <row r="540" spans="1:9" x14ac:dyDescent="0.25">
      <c r="C540" s="10">
        <f t="shared" ref="C540" si="720">2*C534</f>
        <v>-2.2510895668861348</v>
      </c>
      <c r="D540" s="11">
        <f t="shared" ref="D540" si="721">-4*D534</f>
        <v>7.7313595769816494</v>
      </c>
      <c r="E540" s="11">
        <f t="shared" si="719"/>
        <v>-2</v>
      </c>
      <c r="F540" s="11">
        <f>0</f>
        <v>0</v>
      </c>
      <c r="G540" s="12">
        <f>0</f>
        <v>0</v>
      </c>
    </row>
    <row r="542" spans="1:9" x14ac:dyDescent="0.25">
      <c r="C542" s="5" cm="1">
        <f t="array" ref="C542:G546">MINVERSE(C536:G540)</f>
        <v>8.0700156546249843E-3</v>
      </c>
      <c r="D542" s="6">
        <v>1.4292798034902623E-2</v>
      </c>
      <c r="E542" s="6">
        <v>4.616821646213741E-2</v>
      </c>
      <c r="F542" s="6">
        <v>0.20495724468206558</v>
      </c>
      <c r="G542" s="7">
        <v>-0.11262081175779078</v>
      </c>
    </row>
    <row r="543" spans="1:9" x14ac:dyDescent="0.25">
      <c r="C543" s="8">
        <v>1.4292798034902625E-2</v>
      </c>
      <c r="D543" s="36">
        <v>2.5313962749184949E-2</v>
      </c>
      <c r="E543" s="36">
        <v>8.1768489897143928E-2</v>
      </c>
      <c r="F543" s="36">
        <v>6.7173463604647099E-2</v>
      </c>
      <c r="G543" s="9">
        <v>9.6363516189640744E-2</v>
      </c>
    </row>
    <row r="544" spans="1:9" x14ac:dyDescent="0.25">
      <c r="B544" s="37" t="s">
        <v>22</v>
      </c>
      <c r="C544" s="8">
        <v>4.616821646213741E-2</v>
      </c>
      <c r="D544" s="36">
        <v>8.1768489897143928E-2</v>
      </c>
      <c r="E544" s="36">
        <v>0.26412640353097638</v>
      </c>
      <c r="F544" s="36">
        <v>2.8982542998645042E-2</v>
      </c>
      <c r="G544" s="9">
        <v>-7.2973593669227454E-4</v>
      </c>
    </row>
    <row r="545" spans="1:9" x14ac:dyDescent="0.25">
      <c r="C545" s="8">
        <v>-0.20495724468206561</v>
      </c>
      <c r="D545" s="36">
        <v>-6.7173463604647099E-2</v>
      </c>
      <c r="E545" s="36">
        <v>-2.8982542998645028E-2</v>
      </c>
      <c r="F545" s="36">
        <v>2.562472663486581E-2</v>
      </c>
      <c r="G545" s="9">
        <v>-8.3589812632155883E-2</v>
      </c>
    </row>
    <row r="546" spans="1:9" x14ac:dyDescent="0.25">
      <c r="C546" s="10">
        <v>0.11262081175779079</v>
      </c>
      <c r="D546" s="11">
        <v>-9.6363516189640758E-2</v>
      </c>
      <c r="E546" s="11">
        <v>7.2973593669226132E-4</v>
      </c>
      <c r="F546" s="11">
        <v>-8.3589812632155897E-2</v>
      </c>
      <c r="G546" s="12">
        <v>8.5049284505540432E-2</v>
      </c>
    </row>
    <row r="547" spans="1:9" x14ac:dyDescent="0.25">
      <c r="B547" s="37" t="s">
        <v>23</v>
      </c>
      <c r="C547" s="1" cm="1">
        <f t="array" ref="C547:G547">-TRANSPOSE(MMULT(C542:G546,TRANSPOSE(C535:G535)))</f>
        <v>0</v>
      </c>
      <c r="D547" s="1">
        <v>0</v>
      </c>
      <c r="E547" s="1">
        <v>0</v>
      </c>
      <c r="F547" s="1">
        <v>0</v>
      </c>
      <c r="G547" s="1">
        <v>0</v>
      </c>
    </row>
    <row r="548" spans="1:9" x14ac:dyDescent="0.25">
      <c r="A548" s="1" t="s">
        <v>4</v>
      </c>
      <c r="B548" s="1" t="s">
        <v>18</v>
      </c>
      <c r="C548" s="1" cm="1">
        <f t="array" ref="C548:G548">C534:G534+C547:G547</f>
        <v>-1.1255447834430674</v>
      </c>
      <c r="D548" s="1">
        <v>-1.9328398942454124</v>
      </c>
      <c r="E548" s="1">
        <v>0.3975554729813337</v>
      </c>
      <c r="F548" s="1">
        <v>-0.67495954138082226</v>
      </c>
      <c r="G548" s="1">
        <v>-0.12015140458184514</v>
      </c>
    </row>
    <row r="549" spans="1:9" x14ac:dyDescent="0.25">
      <c r="A549" s="1">
        <v>40</v>
      </c>
      <c r="B549" s="1" t="s">
        <v>19</v>
      </c>
      <c r="C549" s="1">
        <f t="shared" ref="C549:C612" si="722">2*C548-F548*(D548^2)-2*G548*C548</f>
        <v>0</v>
      </c>
      <c r="D549" s="1">
        <f t="shared" ref="D549:D612" si="723">2*D548-2*F548*C548*D548+4*G548*D548</f>
        <v>0</v>
      </c>
      <c r="E549" s="1">
        <f t="shared" ref="E549:E612" si="724">4*E548+2*F548+2*G548</f>
        <v>0</v>
      </c>
      <c r="F549" s="1">
        <f t="shared" ref="F549:F612" si="725">C548*(D548^2)-2*E548+5</f>
        <v>0</v>
      </c>
      <c r="G549" s="1">
        <f t="shared" ref="G549:G612" si="726">C548^2-2*(D548^2)-2*E548+7</f>
        <v>0</v>
      </c>
      <c r="I549" s="1">
        <f t="shared" ref="I549:I612" si="727">MAX(ABS(C549),ABS(D549),ABS(E549),ABS(F549),ABS(G549))</f>
        <v>0</v>
      </c>
    </row>
    <row r="550" spans="1:9" x14ac:dyDescent="0.25">
      <c r="C550" s="5">
        <f t="shared" ref="C550" si="728">2-2*G548</f>
        <v>2.2403028091636905</v>
      </c>
      <c r="D550" s="6">
        <f t="shared" ref="D550" si="729">-2*F548*D548</f>
        <v>-2.6091774571648809</v>
      </c>
      <c r="E550" s="6">
        <f>0</f>
        <v>0</v>
      </c>
      <c r="F550" s="6">
        <f t="shared" ref="F550" si="730">-(D548^2)</f>
        <v>-3.735870056786617</v>
      </c>
      <c r="G550" s="7">
        <f t="shared" ref="G550" si="731">-2*C548</f>
        <v>2.2510895668861348</v>
      </c>
    </row>
    <row r="551" spans="1:9" x14ac:dyDescent="0.25">
      <c r="C551" s="8">
        <f t="shared" ref="C551" si="732">-2*F548*D548</f>
        <v>-2.6091774571648809</v>
      </c>
      <c r="D551" s="1">
        <f t="shared" ref="D551" si="733">2-2*F548*C548+4*G548</f>
        <v>0</v>
      </c>
      <c r="E551" s="1">
        <f>0</f>
        <v>0</v>
      </c>
      <c r="F551" s="1">
        <f t="shared" ref="F551" si="734">-2*C548*D548</f>
        <v>-4.3509957203971483</v>
      </c>
      <c r="G551" s="9">
        <f t="shared" ref="G551" si="735">4*D548</f>
        <v>-7.7313595769816494</v>
      </c>
    </row>
    <row r="552" spans="1:9" x14ac:dyDescent="0.25">
      <c r="B552" s="1" t="s">
        <v>20</v>
      </c>
      <c r="C552" s="8">
        <f>0</f>
        <v>0</v>
      </c>
      <c r="D552" s="1">
        <f>0</f>
        <v>0</v>
      </c>
      <c r="E552" s="1">
        <f>4</f>
        <v>4</v>
      </c>
      <c r="F552" s="1">
        <f>2</f>
        <v>2</v>
      </c>
      <c r="G552" s="9">
        <f>2</f>
        <v>2</v>
      </c>
    </row>
    <row r="553" spans="1:9" x14ac:dyDescent="0.25">
      <c r="C553" s="8">
        <f t="shared" ref="C553" si="736">(D548^2)</f>
        <v>3.735870056786617</v>
      </c>
      <c r="D553" s="1">
        <f t="shared" ref="D553" si="737">2*C548*D548</f>
        <v>4.3509957203971483</v>
      </c>
      <c r="E553" s="1">
        <f t="shared" ref="E553:E616" si="738">-2</f>
        <v>-2</v>
      </c>
      <c r="F553" s="1">
        <f>0</f>
        <v>0</v>
      </c>
      <c r="G553" s="9">
        <f>0</f>
        <v>0</v>
      </c>
    </row>
    <row r="554" spans="1:9" x14ac:dyDescent="0.25">
      <c r="C554" s="10">
        <f t="shared" ref="C554" si="739">2*C548</f>
        <v>-2.2510895668861348</v>
      </c>
      <c r="D554" s="11">
        <f t="shared" ref="D554" si="740">-4*D548</f>
        <v>7.7313595769816494</v>
      </c>
      <c r="E554" s="11">
        <f t="shared" si="738"/>
        <v>-2</v>
      </c>
      <c r="F554" s="11">
        <f>0</f>
        <v>0</v>
      </c>
      <c r="G554" s="12">
        <f>0</f>
        <v>0</v>
      </c>
    </row>
    <row r="556" spans="1:9" x14ac:dyDescent="0.25">
      <c r="C556" s="5" cm="1">
        <f t="array" ref="C556:G560">MINVERSE(C550:G554)</f>
        <v>8.0700156546249843E-3</v>
      </c>
      <c r="D556" s="6">
        <v>1.4292798034902623E-2</v>
      </c>
      <c r="E556" s="6">
        <v>4.616821646213741E-2</v>
      </c>
      <c r="F556" s="6">
        <v>0.20495724468206558</v>
      </c>
      <c r="G556" s="7">
        <v>-0.11262081175779078</v>
      </c>
    </row>
    <row r="557" spans="1:9" x14ac:dyDescent="0.25">
      <c r="C557" s="8">
        <v>1.4292798034902625E-2</v>
      </c>
      <c r="D557" s="36">
        <v>2.5313962749184949E-2</v>
      </c>
      <c r="E557" s="36">
        <v>8.1768489897143928E-2</v>
      </c>
      <c r="F557" s="36">
        <v>6.7173463604647099E-2</v>
      </c>
      <c r="G557" s="9">
        <v>9.6363516189640744E-2</v>
      </c>
    </row>
    <row r="558" spans="1:9" x14ac:dyDescent="0.25">
      <c r="B558" s="37" t="s">
        <v>22</v>
      </c>
      <c r="C558" s="8">
        <v>4.616821646213741E-2</v>
      </c>
      <c r="D558" s="36">
        <v>8.1768489897143928E-2</v>
      </c>
      <c r="E558" s="36">
        <v>0.26412640353097638</v>
      </c>
      <c r="F558" s="36">
        <v>2.8982542998645042E-2</v>
      </c>
      <c r="G558" s="9">
        <v>-7.2973593669227454E-4</v>
      </c>
    </row>
    <row r="559" spans="1:9" x14ac:dyDescent="0.25">
      <c r="C559" s="8">
        <v>-0.20495724468206561</v>
      </c>
      <c r="D559" s="36">
        <v>-6.7173463604647099E-2</v>
      </c>
      <c r="E559" s="36">
        <v>-2.8982542998645028E-2</v>
      </c>
      <c r="F559" s="36">
        <v>2.562472663486581E-2</v>
      </c>
      <c r="G559" s="9">
        <v>-8.3589812632155883E-2</v>
      </c>
    </row>
    <row r="560" spans="1:9" x14ac:dyDescent="0.25">
      <c r="C560" s="10">
        <v>0.11262081175779079</v>
      </c>
      <c r="D560" s="11">
        <v>-9.6363516189640758E-2</v>
      </c>
      <c r="E560" s="11">
        <v>7.2973593669226132E-4</v>
      </c>
      <c r="F560" s="11">
        <v>-8.3589812632155897E-2</v>
      </c>
      <c r="G560" s="12">
        <v>8.5049284505540432E-2</v>
      </c>
    </row>
    <row r="561" spans="1:9" x14ac:dyDescent="0.25">
      <c r="B561" s="37" t="s">
        <v>23</v>
      </c>
      <c r="C561" s="1" cm="1">
        <f t="array" ref="C561:G561">-TRANSPOSE(MMULT(C556:G560,TRANSPOSE(C549:G549)))</f>
        <v>0</v>
      </c>
      <c r="D561" s="1">
        <v>0</v>
      </c>
      <c r="E561" s="1">
        <v>0</v>
      </c>
      <c r="F561" s="1">
        <v>0</v>
      </c>
      <c r="G561" s="1">
        <v>0</v>
      </c>
    </row>
    <row r="562" spans="1:9" x14ac:dyDescent="0.25">
      <c r="A562" s="1" t="s">
        <v>4</v>
      </c>
      <c r="B562" s="1" t="s">
        <v>18</v>
      </c>
      <c r="C562" s="1" cm="1">
        <f t="array" ref="C562:G562">C548:G548+C561:G561</f>
        <v>-1.1255447834430674</v>
      </c>
      <c r="D562" s="1">
        <v>-1.9328398942454124</v>
      </c>
      <c r="E562" s="1">
        <v>0.3975554729813337</v>
      </c>
      <c r="F562" s="1">
        <v>-0.67495954138082226</v>
      </c>
      <c r="G562" s="1">
        <v>-0.12015140458184514</v>
      </c>
    </row>
    <row r="563" spans="1:9" x14ac:dyDescent="0.25">
      <c r="A563" s="1">
        <v>41</v>
      </c>
      <c r="B563" s="1" t="s">
        <v>19</v>
      </c>
      <c r="C563" s="1">
        <f t="shared" ref="C563:C626" si="741">2*C562-F562*(D562^2)-2*G562*C562</f>
        <v>0</v>
      </c>
      <c r="D563" s="1">
        <f t="shared" ref="D563:D626" si="742">2*D562-2*F562*C562*D562+4*G562*D562</f>
        <v>0</v>
      </c>
      <c r="E563" s="1">
        <f t="shared" ref="E563:E626" si="743">4*E562+2*F562+2*G562</f>
        <v>0</v>
      </c>
      <c r="F563" s="1">
        <f t="shared" ref="F563:F626" si="744">C562*(D562^2)-2*E562+5</f>
        <v>0</v>
      </c>
      <c r="G563" s="1">
        <f t="shared" ref="G563:G626" si="745">C562^2-2*(D562^2)-2*E562+7</f>
        <v>0</v>
      </c>
      <c r="I563" s="1">
        <f t="shared" ref="I563:I626" si="746">MAX(ABS(C563),ABS(D563),ABS(E563),ABS(F563),ABS(G563))</f>
        <v>0</v>
      </c>
    </row>
    <row r="564" spans="1:9" x14ac:dyDescent="0.25">
      <c r="C564" s="5">
        <f t="shared" ref="C564" si="747">2-2*G562</f>
        <v>2.2403028091636905</v>
      </c>
      <c r="D564" s="6">
        <f t="shared" ref="D564" si="748">-2*F562*D562</f>
        <v>-2.6091774571648809</v>
      </c>
      <c r="E564" s="6">
        <f>0</f>
        <v>0</v>
      </c>
      <c r="F564" s="6">
        <f t="shared" ref="F564" si="749">-(D562^2)</f>
        <v>-3.735870056786617</v>
      </c>
      <c r="G564" s="7">
        <f t="shared" ref="G564" si="750">-2*C562</f>
        <v>2.2510895668861348</v>
      </c>
    </row>
    <row r="565" spans="1:9" x14ac:dyDescent="0.25">
      <c r="C565" s="8">
        <f t="shared" ref="C565" si="751">-2*F562*D562</f>
        <v>-2.6091774571648809</v>
      </c>
      <c r="D565" s="1">
        <f t="shared" ref="D565" si="752">2-2*F562*C562+4*G562</f>
        <v>0</v>
      </c>
      <c r="E565" s="1">
        <f>0</f>
        <v>0</v>
      </c>
      <c r="F565" s="1">
        <f t="shared" ref="F565" si="753">-2*C562*D562</f>
        <v>-4.3509957203971483</v>
      </c>
      <c r="G565" s="9">
        <f t="shared" ref="G565" si="754">4*D562</f>
        <v>-7.7313595769816494</v>
      </c>
    </row>
    <row r="566" spans="1:9" x14ac:dyDescent="0.25">
      <c r="B566" s="1" t="s">
        <v>20</v>
      </c>
      <c r="C566" s="8">
        <f>0</f>
        <v>0</v>
      </c>
      <c r="D566" s="1">
        <f>0</f>
        <v>0</v>
      </c>
      <c r="E566" s="1">
        <f>4</f>
        <v>4</v>
      </c>
      <c r="F566" s="1">
        <f>2</f>
        <v>2</v>
      </c>
      <c r="G566" s="9">
        <f>2</f>
        <v>2</v>
      </c>
    </row>
    <row r="567" spans="1:9" x14ac:dyDescent="0.25">
      <c r="C567" s="8">
        <f t="shared" ref="C567" si="755">(D562^2)</f>
        <v>3.735870056786617</v>
      </c>
      <c r="D567" s="1">
        <f t="shared" ref="D567" si="756">2*C562*D562</f>
        <v>4.3509957203971483</v>
      </c>
      <c r="E567" s="1">
        <f t="shared" ref="E567:E630" si="757">-2</f>
        <v>-2</v>
      </c>
      <c r="F567" s="1">
        <f>0</f>
        <v>0</v>
      </c>
      <c r="G567" s="9">
        <f>0</f>
        <v>0</v>
      </c>
    </row>
    <row r="568" spans="1:9" x14ac:dyDescent="0.25">
      <c r="C568" s="10">
        <f t="shared" ref="C568" si="758">2*C562</f>
        <v>-2.2510895668861348</v>
      </c>
      <c r="D568" s="11">
        <f t="shared" ref="D568" si="759">-4*D562</f>
        <v>7.7313595769816494</v>
      </c>
      <c r="E568" s="11">
        <f t="shared" si="757"/>
        <v>-2</v>
      </c>
      <c r="F568" s="11">
        <f>0</f>
        <v>0</v>
      </c>
      <c r="G568" s="12">
        <f>0</f>
        <v>0</v>
      </c>
    </row>
    <row r="570" spans="1:9" x14ac:dyDescent="0.25">
      <c r="C570" s="5" cm="1">
        <f t="array" ref="C570:G574">MINVERSE(C564:G568)</f>
        <v>8.0700156546249843E-3</v>
      </c>
      <c r="D570" s="6">
        <v>1.4292798034902623E-2</v>
      </c>
      <c r="E570" s="6">
        <v>4.616821646213741E-2</v>
      </c>
      <c r="F570" s="6">
        <v>0.20495724468206558</v>
      </c>
      <c r="G570" s="7">
        <v>-0.11262081175779078</v>
      </c>
    </row>
    <row r="571" spans="1:9" x14ac:dyDescent="0.25">
      <c r="C571" s="8">
        <v>1.4292798034902625E-2</v>
      </c>
      <c r="D571" s="36">
        <v>2.5313962749184949E-2</v>
      </c>
      <c r="E571" s="36">
        <v>8.1768489897143928E-2</v>
      </c>
      <c r="F571" s="36">
        <v>6.7173463604647099E-2</v>
      </c>
      <c r="G571" s="9">
        <v>9.6363516189640744E-2</v>
      </c>
    </row>
    <row r="572" spans="1:9" x14ac:dyDescent="0.25">
      <c r="B572" s="37" t="s">
        <v>22</v>
      </c>
      <c r="C572" s="8">
        <v>4.616821646213741E-2</v>
      </c>
      <c r="D572" s="36">
        <v>8.1768489897143928E-2</v>
      </c>
      <c r="E572" s="36">
        <v>0.26412640353097638</v>
      </c>
      <c r="F572" s="36">
        <v>2.8982542998645042E-2</v>
      </c>
      <c r="G572" s="9">
        <v>-7.2973593669227454E-4</v>
      </c>
    </row>
    <row r="573" spans="1:9" x14ac:dyDescent="0.25">
      <c r="C573" s="8">
        <v>-0.20495724468206561</v>
      </c>
      <c r="D573" s="36">
        <v>-6.7173463604647099E-2</v>
      </c>
      <c r="E573" s="36">
        <v>-2.8982542998645028E-2</v>
      </c>
      <c r="F573" s="36">
        <v>2.562472663486581E-2</v>
      </c>
      <c r="G573" s="9">
        <v>-8.3589812632155883E-2</v>
      </c>
    </row>
    <row r="574" spans="1:9" x14ac:dyDescent="0.25">
      <c r="C574" s="10">
        <v>0.11262081175779079</v>
      </c>
      <c r="D574" s="11">
        <v>-9.6363516189640758E-2</v>
      </c>
      <c r="E574" s="11">
        <v>7.2973593669226132E-4</v>
      </c>
      <c r="F574" s="11">
        <v>-8.3589812632155897E-2</v>
      </c>
      <c r="G574" s="12">
        <v>8.5049284505540432E-2</v>
      </c>
    </row>
    <row r="575" spans="1:9" x14ac:dyDescent="0.25">
      <c r="B575" s="37" t="s">
        <v>23</v>
      </c>
      <c r="C575" s="1" cm="1">
        <f t="array" ref="C575:G575">-TRANSPOSE(MMULT(C570:G574,TRANSPOSE(C563:G563)))</f>
        <v>0</v>
      </c>
      <c r="D575" s="1">
        <v>0</v>
      </c>
      <c r="E575" s="1">
        <v>0</v>
      </c>
      <c r="F575" s="1">
        <v>0</v>
      </c>
      <c r="G575" s="1">
        <v>0</v>
      </c>
    </row>
    <row r="576" spans="1:9" x14ac:dyDescent="0.25">
      <c r="A576" s="1" t="s">
        <v>4</v>
      </c>
      <c r="B576" s="1" t="s">
        <v>18</v>
      </c>
      <c r="C576" s="1" cm="1">
        <f t="array" ref="C576:G576">C562:G562+C575:G575</f>
        <v>-1.1255447834430674</v>
      </c>
      <c r="D576" s="1">
        <v>-1.9328398942454124</v>
      </c>
      <c r="E576" s="1">
        <v>0.3975554729813337</v>
      </c>
      <c r="F576" s="1">
        <v>-0.67495954138082226</v>
      </c>
      <c r="G576" s="1">
        <v>-0.12015140458184514</v>
      </c>
    </row>
    <row r="577" spans="1:9" x14ac:dyDescent="0.25">
      <c r="A577" s="1">
        <v>42</v>
      </c>
      <c r="B577" s="1" t="s">
        <v>19</v>
      </c>
      <c r="C577" s="1">
        <f t="shared" ref="C577:C640" si="760">2*C576-F576*(D576^2)-2*G576*C576</f>
        <v>0</v>
      </c>
      <c r="D577" s="1">
        <f t="shared" ref="D577:D640" si="761">2*D576-2*F576*C576*D576+4*G576*D576</f>
        <v>0</v>
      </c>
      <c r="E577" s="1">
        <f t="shared" ref="E577:E640" si="762">4*E576+2*F576+2*G576</f>
        <v>0</v>
      </c>
      <c r="F577" s="1">
        <f t="shared" ref="F577:F640" si="763">C576*(D576^2)-2*E576+5</f>
        <v>0</v>
      </c>
      <c r="G577" s="1">
        <f t="shared" ref="G577:G640" si="764">C576^2-2*(D576^2)-2*E576+7</f>
        <v>0</v>
      </c>
      <c r="I577" s="1">
        <f t="shared" ref="I577:I640" si="765">MAX(ABS(C577),ABS(D577),ABS(E577),ABS(F577),ABS(G577))</f>
        <v>0</v>
      </c>
    </row>
    <row r="578" spans="1:9" x14ac:dyDescent="0.25">
      <c r="C578" s="5">
        <f t="shared" ref="C578" si="766">2-2*G576</f>
        <v>2.2403028091636905</v>
      </c>
      <c r="D578" s="6">
        <f t="shared" ref="D578" si="767">-2*F576*D576</f>
        <v>-2.6091774571648809</v>
      </c>
      <c r="E578" s="6">
        <f>0</f>
        <v>0</v>
      </c>
      <c r="F578" s="6">
        <f t="shared" ref="F578" si="768">-(D576^2)</f>
        <v>-3.735870056786617</v>
      </c>
      <c r="G578" s="7">
        <f t="shared" ref="G578" si="769">-2*C576</f>
        <v>2.2510895668861348</v>
      </c>
    </row>
    <row r="579" spans="1:9" x14ac:dyDescent="0.25">
      <c r="C579" s="8">
        <f t="shared" ref="C579" si="770">-2*F576*D576</f>
        <v>-2.6091774571648809</v>
      </c>
      <c r="D579" s="1">
        <f t="shared" ref="D579" si="771">2-2*F576*C576+4*G576</f>
        <v>0</v>
      </c>
      <c r="E579" s="1">
        <f>0</f>
        <v>0</v>
      </c>
      <c r="F579" s="1">
        <f t="shared" ref="F579" si="772">-2*C576*D576</f>
        <v>-4.3509957203971483</v>
      </c>
      <c r="G579" s="9">
        <f t="shared" ref="G579" si="773">4*D576</f>
        <v>-7.7313595769816494</v>
      </c>
    </row>
    <row r="580" spans="1:9" x14ac:dyDescent="0.25">
      <c r="B580" s="1" t="s">
        <v>20</v>
      </c>
      <c r="C580" s="8">
        <f>0</f>
        <v>0</v>
      </c>
      <c r="D580" s="1">
        <f>0</f>
        <v>0</v>
      </c>
      <c r="E580" s="1">
        <f>4</f>
        <v>4</v>
      </c>
      <c r="F580" s="1">
        <f>2</f>
        <v>2</v>
      </c>
      <c r="G580" s="9">
        <f>2</f>
        <v>2</v>
      </c>
    </row>
    <row r="581" spans="1:9" x14ac:dyDescent="0.25">
      <c r="C581" s="8">
        <f t="shared" ref="C581" si="774">(D576^2)</f>
        <v>3.735870056786617</v>
      </c>
      <c r="D581" s="1">
        <f t="shared" ref="D581" si="775">2*C576*D576</f>
        <v>4.3509957203971483</v>
      </c>
      <c r="E581" s="1">
        <f t="shared" ref="E581:E644" si="776">-2</f>
        <v>-2</v>
      </c>
      <c r="F581" s="1">
        <f>0</f>
        <v>0</v>
      </c>
      <c r="G581" s="9">
        <f>0</f>
        <v>0</v>
      </c>
    </row>
    <row r="582" spans="1:9" x14ac:dyDescent="0.25">
      <c r="C582" s="10">
        <f t="shared" ref="C582" si="777">2*C576</f>
        <v>-2.2510895668861348</v>
      </c>
      <c r="D582" s="11">
        <f t="shared" ref="D582" si="778">-4*D576</f>
        <v>7.7313595769816494</v>
      </c>
      <c r="E582" s="11">
        <f t="shared" si="776"/>
        <v>-2</v>
      </c>
      <c r="F582" s="11">
        <f>0</f>
        <v>0</v>
      </c>
      <c r="G582" s="12">
        <f>0</f>
        <v>0</v>
      </c>
    </row>
    <row r="584" spans="1:9" x14ac:dyDescent="0.25">
      <c r="C584" s="5" cm="1">
        <f t="array" ref="C584:G588">MINVERSE(C578:G582)</f>
        <v>8.0700156546249843E-3</v>
      </c>
      <c r="D584" s="6">
        <v>1.4292798034902623E-2</v>
      </c>
      <c r="E584" s="6">
        <v>4.616821646213741E-2</v>
      </c>
      <c r="F584" s="6">
        <v>0.20495724468206558</v>
      </c>
      <c r="G584" s="7">
        <v>-0.11262081175779078</v>
      </c>
    </row>
    <row r="585" spans="1:9" x14ac:dyDescent="0.25">
      <c r="C585" s="8">
        <v>1.4292798034902625E-2</v>
      </c>
      <c r="D585" s="36">
        <v>2.5313962749184949E-2</v>
      </c>
      <c r="E585" s="36">
        <v>8.1768489897143928E-2</v>
      </c>
      <c r="F585" s="36">
        <v>6.7173463604647099E-2</v>
      </c>
      <c r="G585" s="9">
        <v>9.6363516189640744E-2</v>
      </c>
    </row>
    <row r="586" spans="1:9" x14ac:dyDescent="0.25">
      <c r="B586" s="37" t="s">
        <v>22</v>
      </c>
      <c r="C586" s="8">
        <v>4.616821646213741E-2</v>
      </c>
      <c r="D586" s="36">
        <v>8.1768489897143928E-2</v>
      </c>
      <c r="E586" s="36">
        <v>0.26412640353097638</v>
      </c>
      <c r="F586" s="36">
        <v>2.8982542998645042E-2</v>
      </c>
      <c r="G586" s="9">
        <v>-7.2973593669227454E-4</v>
      </c>
    </row>
    <row r="587" spans="1:9" x14ac:dyDescent="0.25">
      <c r="C587" s="8">
        <v>-0.20495724468206561</v>
      </c>
      <c r="D587" s="36">
        <v>-6.7173463604647099E-2</v>
      </c>
      <c r="E587" s="36">
        <v>-2.8982542998645028E-2</v>
      </c>
      <c r="F587" s="36">
        <v>2.562472663486581E-2</v>
      </c>
      <c r="G587" s="9">
        <v>-8.3589812632155883E-2</v>
      </c>
    </row>
    <row r="588" spans="1:9" x14ac:dyDescent="0.25">
      <c r="C588" s="10">
        <v>0.11262081175779079</v>
      </c>
      <c r="D588" s="11">
        <v>-9.6363516189640758E-2</v>
      </c>
      <c r="E588" s="11">
        <v>7.2973593669226132E-4</v>
      </c>
      <c r="F588" s="11">
        <v>-8.3589812632155897E-2</v>
      </c>
      <c r="G588" s="12">
        <v>8.5049284505540432E-2</v>
      </c>
    </row>
    <row r="589" spans="1:9" x14ac:dyDescent="0.25">
      <c r="B589" s="37" t="s">
        <v>23</v>
      </c>
      <c r="C589" s="1" cm="1">
        <f t="array" ref="C589:G589">-TRANSPOSE(MMULT(C584:G588,TRANSPOSE(C577:G577)))</f>
        <v>0</v>
      </c>
      <c r="D589" s="1">
        <v>0</v>
      </c>
      <c r="E589" s="1">
        <v>0</v>
      </c>
      <c r="F589" s="1">
        <v>0</v>
      </c>
      <c r="G589" s="1">
        <v>0</v>
      </c>
    </row>
    <row r="590" spans="1:9" x14ac:dyDescent="0.25">
      <c r="A590" s="1" t="s">
        <v>4</v>
      </c>
      <c r="B590" s="1" t="s">
        <v>18</v>
      </c>
      <c r="C590" s="1" cm="1">
        <f t="array" ref="C590:G590">C576:G576+C589:G589</f>
        <v>-1.1255447834430674</v>
      </c>
      <c r="D590" s="1">
        <v>-1.9328398942454124</v>
      </c>
      <c r="E590" s="1">
        <v>0.3975554729813337</v>
      </c>
      <c r="F590" s="1">
        <v>-0.67495954138082226</v>
      </c>
      <c r="G590" s="1">
        <v>-0.12015140458184514</v>
      </c>
    </row>
    <row r="591" spans="1:9" x14ac:dyDescent="0.25">
      <c r="A591" s="1">
        <v>43</v>
      </c>
      <c r="B591" s="1" t="s">
        <v>19</v>
      </c>
      <c r="C591" s="1">
        <f t="shared" ref="C591:C654" si="779">2*C590-F590*(D590^2)-2*G590*C590</f>
        <v>0</v>
      </c>
      <c r="D591" s="1">
        <f t="shared" ref="D591:D654" si="780">2*D590-2*F590*C590*D590+4*G590*D590</f>
        <v>0</v>
      </c>
      <c r="E591" s="1">
        <f t="shared" ref="E591:E654" si="781">4*E590+2*F590+2*G590</f>
        <v>0</v>
      </c>
      <c r="F591" s="1">
        <f t="shared" ref="F591:F654" si="782">C590*(D590^2)-2*E590+5</f>
        <v>0</v>
      </c>
      <c r="G591" s="1">
        <f t="shared" ref="G591:G654" si="783">C590^2-2*(D590^2)-2*E590+7</f>
        <v>0</v>
      </c>
      <c r="I591" s="1">
        <f t="shared" ref="I591:I654" si="784">MAX(ABS(C591),ABS(D591),ABS(E591),ABS(F591),ABS(G591))</f>
        <v>0</v>
      </c>
    </row>
    <row r="592" spans="1:9" x14ac:dyDescent="0.25">
      <c r="C592" s="5">
        <f t="shared" ref="C592" si="785">2-2*G590</f>
        <v>2.2403028091636905</v>
      </c>
      <c r="D592" s="6">
        <f t="shared" ref="D592" si="786">-2*F590*D590</f>
        <v>-2.6091774571648809</v>
      </c>
      <c r="E592" s="6">
        <f>0</f>
        <v>0</v>
      </c>
      <c r="F592" s="6">
        <f t="shared" ref="F592" si="787">-(D590^2)</f>
        <v>-3.735870056786617</v>
      </c>
      <c r="G592" s="7">
        <f t="shared" ref="G592" si="788">-2*C590</f>
        <v>2.2510895668861348</v>
      </c>
    </row>
    <row r="593" spans="1:9" x14ac:dyDescent="0.25">
      <c r="C593" s="8">
        <f t="shared" ref="C593" si="789">-2*F590*D590</f>
        <v>-2.6091774571648809</v>
      </c>
      <c r="D593" s="1">
        <f t="shared" ref="D593" si="790">2-2*F590*C590+4*G590</f>
        <v>0</v>
      </c>
      <c r="E593" s="1">
        <f>0</f>
        <v>0</v>
      </c>
      <c r="F593" s="1">
        <f t="shared" ref="F593" si="791">-2*C590*D590</f>
        <v>-4.3509957203971483</v>
      </c>
      <c r="G593" s="9">
        <f t="shared" ref="G593" si="792">4*D590</f>
        <v>-7.7313595769816494</v>
      </c>
    </row>
    <row r="594" spans="1:9" x14ac:dyDescent="0.25">
      <c r="B594" s="1" t="s">
        <v>20</v>
      </c>
      <c r="C594" s="8">
        <f>0</f>
        <v>0</v>
      </c>
      <c r="D594" s="1">
        <f>0</f>
        <v>0</v>
      </c>
      <c r="E594" s="1">
        <f>4</f>
        <v>4</v>
      </c>
      <c r="F594" s="1">
        <f>2</f>
        <v>2</v>
      </c>
      <c r="G594" s="9">
        <f>2</f>
        <v>2</v>
      </c>
    </row>
    <row r="595" spans="1:9" x14ac:dyDescent="0.25">
      <c r="C595" s="8">
        <f t="shared" ref="C595" si="793">(D590^2)</f>
        <v>3.735870056786617</v>
      </c>
      <c r="D595" s="1">
        <f t="shared" ref="D595" si="794">2*C590*D590</f>
        <v>4.3509957203971483</v>
      </c>
      <c r="E595" s="1">
        <f t="shared" ref="E595:E658" si="795">-2</f>
        <v>-2</v>
      </c>
      <c r="F595" s="1">
        <f>0</f>
        <v>0</v>
      </c>
      <c r="G595" s="9">
        <f>0</f>
        <v>0</v>
      </c>
    </row>
    <row r="596" spans="1:9" x14ac:dyDescent="0.25">
      <c r="C596" s="10">
        <f t="shared" ref="C596" si="796">2*C590</f>
        <v>-2.2510895668861348</v>
      </c>
      <c r="D596" s="11">
        <f t="shared" ref="D596" si="797">-4*D590</f>
        <v>7.7313595769816494</v>
      </c>
      <c r="E596" s="11">
        <f t="shared" si="795"/>
        <v>-2</v>
      </c>
      <c r="F596" s="11">
        <f>0</f>
        <v>0</v>
      </c>
      <c r="G596" s="12">
        <f>0</f>
        <v>0</v>
      </c>
    </row>
    <row r="598" spans="1:9" x14ac:dyDescent="0.25">
      <c r="C598" s="5" cm="1">
        <f t="array" ref="C598:G602">MINVERSE(C592:G596)</f>
        <v>8.0700156546249843E-3</v>
      </c>
      <c r="D598" s="6">
        <v>1.4292798034902623E-2</v>
      </c>
      <c r="E598" s="6">
        <v>4.616821646213741E-2</v>
      </c>
      <c r="F598" s="6">
        <v>0.20495724468206558</v>
      </c>
      <c r="G598" s="7">
        <v>-0.11262081175779078</v>
      </c>
    </row>
    <row r="599" spans="1:9" x14ac:dyDescent="0.25">
      <c r="C599" s="8">
        <v>1.4292798034902625E-2</v>
      </c>
      <c r="D599" s="36">
        <v>2.5313962749184949E-2</v>
      </c>
      <c r="E599" s="36">
        <v>8.1768489897143928E-2</v>
      </c>
      <c r="F599" s="36">
        <v>6.7173463604647099E-2</v>
      </c>
      <c r="G599" s="9">
        <v>9.6363516189640744E-2</v>
      </c>
    </row>
    <row r="600" spans="1:9" x14ac:dyDescent="0.25">
      <c r="B600" s="37" t="s">
        <v>22</v>
      </c>
      <c r="C600" s="8">
        <v>4.616821646213741E-2</v>
      </c>
      <c r="D600" s="36">
        <v>8.1768489897143928E-2</v>
      </c>
      <c r="E600" s="36">
        <v>0.26412640353097638</v>
      </c>
      <c r="F600" s="36">
        <v>2.8982542998645042E-2</v>
      </c>
      <c r="G600" s="9">
        <v>-7.2973593669227454E-4</v>
      </c>
    </row>
    <row r="601" spans="1:9" x14ac:dyDescent="0.25">
      <c r="C601" s="8">
        <v>-0.20495724468206561</v>
      </c>
      <c r="D601" s="36">
        <v>-6.7173463604647099E-2</v>
      </c>
      <c r="E601" s="36">
        <v>-2.8982542998645028E-2</v>
      </c>
      <c r="F601" s="36">
        <v>2.562472663486581E-2</v>
      </c>
      <c r="G601" s="9">
        <v>-8.3589812632155883E-2</v>
      </c>
    </row>
    <row r="602" spans="1:9" x14ac:dyDescent="0.25">
      <c r="C602" s="10">
        <v>0.11262081175779079</v>
      </c>
      <c r="D602" s="11">
        <v>-9.6363516189640758E-2</v>
      </c>
      <c r="E602" s="11">
        <v>7.2973593669226132E-4</v>
      </c>
      <c r="F602" s="11">
        <v>-8.3589812632155897E-2</v>
      </c>
      <c r="G602" s="12">
        <v>8.5049284505540432E-2</v>
      </c>
    </row>
    <row r="603" spans="1:9" x14ac:dyDescent="0.25">
      <c r="B603" s="37" t="s">
        <v>23</v>
      </c>
      <c r="C603" s="1" cm="1">
        <f t="array" ref="C603:G603">-TRANSPOSE(MMULT(C598:G602,TRANSPOSE(C591:G591)))</f>
        <v>0</v>
      </c>
      <c r="D603" s="1">
        <v>0</v>
      </c>
      <c r="E603" s="1">
        <v>0</v>
      </c>
      <c r="F603" s="1">
        <v>0</v>
      </c>
      <c r="G603" s="1">
        <v>0</v>
      </c>
    </row>
    <row r="604" spans="1:9" x14ac:dyDescent="0.25">
      <c r="A604" s="1" t="s">
        <v>4</v>
      </c>
      <c r="B604" s="1" t="s">
        <v>18</v>
      </c>
      <c r="C604" s="1" cm="1">
        <f t="array" ref="C604:G604">C590:G590+C603:G603</f>
        <v>-1.1255447834430674</v>
      </c>
      <c r="D604" s="1">
        <v>-1.9328398942454124</v>
      </c>
      <c r="E604" s="1">
        <v>0.3975554729813337</v>
      </c>
      <c r="F604" s="1">
        <v>-0.67495954138082226</v>
      </c>
      <c r="G604" s="1">
        <v>-0.12015140458184514</v>
      </c>
    </row>
    <row r="605" spans="1:9" x14ac:dyDescent="0.25">
      <c r="A605" s="1">
        <v>44</v>
      </c>
      <c r="B605" s="1" t="s">
        <v>19</v>
      </c>
      <c r="C605" s="1">
        <f t="shared" ref="C605:C668" si="798">2*C604-F604*(D604^2)-2*G604*C604</f>
        <v>0</v>
      </c>
      <c r="D605" s="1">
        <f t="shared" ref="D605:D668" si="799">2*D604-2*F604*C604*D604+4*G604*D604</f>
        <v>0</v>
      </c>
      <c r="E605" s="1">
        <f t="shared" ref="E605:E668" si="800">4*E604+2*F604+2*G604</f>
        <v>0</v>
      </c>
      <c r="F605" s="1">
        <f t="shared" ref="F605:F668" si="801">C604*(D604^2)-2*E604+5</f>
        <v>0</v>
      </c>
      <c r="G605" s="1">
        <f t="shared" ref="G605:G668" si="802">C604^2-2*(D604^2)-2*E604+7</f>
        <v>0</v>
      </c>
      <c r="I605" s="1">
        <f t="shared" ref="I605:I668" si="803">MAX(ABS(C605),ABS(D605),ABS(E605),ABS(F605),ABS(G605))</f>
        <v>0</v>
      </c>
    </row>
    <row r="606" spans="1:9" x14ac:dyDescent="0.25">
      <c r="C606" s="5">
        <f t="shared" ref="C606" si="804">2-2*G604</f>
        <v>2.2403028091636905</v>
      </c>
      <c r="D606" s="6">
        <f t="shared" ref="D606" si="805">-2*F604*D604</f>
        <v>-2.6091774571648809</v>
      </c>
      <c r="E606" s="6">
        <f>0</f>
        <v>0</v>
      </c>
      <c r="F606" s="6">
        <f t="shared" ref="F606" si="806">-(D604^2)</f>
        <v>-3.735870056786617</v>
      </c>
      <c r="G606" s="7">
        <f t="shared" ref="G606" si="807">-2*C604</f>
        <v>2.2510895668861348</v>
      </c>
    </row>
    <row r="607" spans="1:9" x14ac:dyDescent="0.25">
      <c r="C607" s="8">
        <f t="shared" ref="C607" si="808">-2*F604*D604</f>
        <v>-2.6091774571648809</v>
      </c>
      <c r="D607" s="1">
        <f t="shared" ref="D607" si="809">2-2*F604*C604+4*G604</f>
        <v>0</v>
      </c>
      <c r="E607" s="1">
        <f>0</f>
        <v>0</v>
      </c>
      <c r="F607" s="1">
        <f t="shared" ref="F607" si="810">-2*C604*D604</f>
        <v>-4.3509957203971483</v>
      </c>
      <c r="G607" s="9">
        <f t="shared" ref="G607" si="811">4*D604</f>
        <v>-7.7313595769816494</v>
      </c>
    </row>
    <row r="608" spans="1:9" x14ac:dyDescent="0.25">
      <c r="B608" s="1" t="s">
        <v>20</v>
      </c>
      <c r="C608" s="8">
        <f>0</f>
        <v>0</v>
      </c>
      <c r="D608" s="1">
        <f>0</f>
        <v>0</v>
      </c>
      <c r="E608" s="1">
        <f>4</f>
        <v>4</v>
      </c>
      <c r="F608" s="1">
        <f>2</f>
        <v>2</v>
      </c>
      <c r="G608" s="9">
        <f>2</f>
        <v>2</v>
      </c>
    </row>
    <row r="609" spans="1:9" x14ac:dyDescent="0.25">
      <c r="C609" s="8">
        <f t="shared" ref="C609" si="812">(D604^2)</f>
        <v>3.735870056786617</v>
      </c>
      <c r="D609" s="1">
        <f t="shared" ref="D609" si="813">2*C604*D604</f>
        <v>4.3509957203971483</v>
      </c>
      <c r="E609" s="1">
        <f t="shared" ref="E609:E672" si="814">-2</f>
        <v>-2</v>
      </c>
      <c r="F609" s="1">
        <f>0</f>
        <v>0</v>
      </c>
      <c r="G609" s="9">
        <f>0</f>
        <v>0</v>
      </c>
    </row>
    <row r="610" spans="1:9" x14ac:dyDescent="0.25">
      <c r="C610" s="10">
        <f t="shared" ref="C610" si="815">2*C604</f>
        <v>-2.2510895668861348</v>
      </c>
      <c r="D610" s="11">
        <f t="shared" ref="D610" si="816">-4*D604</f>
        <v>7.7313595769816494</v>
      </c>
      <c r="E610" s="11">
        <f t="shared" si="814"/>
        <v>-2</v>
      </c>
      <c r="F610" s="11">
        <f>0</f>
        <v>0</v>
      </c>
      <c r="G610" s="12">
        <f>0</f>
        <v>0</v>
      </c>
    </row>
    <row r="612" spans="1:9" x14ac:dyDescent="0.25">
      <c r="C612" s="5" cm="1">
        <f t="array" ref="C612:G616">MINVERSE(C606:G610)</f>
        <v>8.0700156546249843E-3</v>
      </c>
      <c r="D612" s="6">
        <v>1.4292798034902623E-2</v>
      </c>
      <c r="E612" s="6">
        <v>4.616821646213741E-2</v>
      </c>
      <c r="F612" s="6">
        <v>0.20495724468206558</v>
      </c>
      <c r="G612" s="7">
        <v>-0.11262081175779078</v>
      </c>
    </row>
    <row r="613" spans="1:9" x14ac:dyDescent="0.25">
      <c r="C613" s="8">
        <v>1.4292798034902625E-2</v>
      </c>
      <c r="D613" s="36">
        <v>2.5313962749184949E-2</v>
      </c>
      <c r="E613" s="36">
        <v>8.1768489897143928E-2</v>
      </c>
      <c r="F613" s="36">
        <v>6.7173463604647099E-2</v>
      </c>
      <c r="G613" s="9">
        <v>9.6363516189640744E-2</v>
      </c>
    </row>
    <row r="614" spans="1:9" x14ac:dyDescent="0.25">
      <c r="B614" s="37" t="s">
        <v>22</v>
      </c>
      <c r="C614" s="8">
        <v>4.616821646213741E-2</v>
      </c>
      <c r="D614" s="36">
        <v>8.1768489897143928E-2</v>
      </c>
      <c r="E614" s="36">
        <v>0.26412640353097638</v>
      </c>
      <c r="F614" s="36">
        <v>2.8982542998645042E-2</v>
      </c>
      <c r="G614" s="9">
        <v>-7.2973593669227454E-4</v>
      </c>
    </row>
    <row r="615" spans="1:9" x14ac:dyDescent="0.25">
      <c r="C615" s="8">
        <v>-0.20495724468206561</v>
      </c>
      <c r="D615" s="36">
        <v>-6.7173463604647099E-2</v>
      </c>
      <c r="E615" s="36">
        <v>-2.8982542998645028E-2</v>
      </c>
      <c r="F615" s="36">
        <v>2.562472663486581E-2</v>
      </c>
      <c r="G615" s="9">
        <v>-8.3589812632155883E-2</v>
      </c>
    </row>
    <row r="616" spans="1:9" x14ac:dyDescent="0.25">
      <c r="C616" s="10">
        <v>0.11262081175779079</v>
      </c>
      <c r="D616" s="11">
        <v>-9.6363516189640758E-2</v>
      </c>
      <c r="E616" s="11">
        <v>7.2973593669226132E-4</v>
      </c>
      <c r="F616" s="11">
        <v>-8.3589812632155897E-2</v>
      </c>
      <c r="G616" s="12">
        <v>8.5049284505540432E-2</v>
      </c>
    </row>
    <row r="617" spans="1:9" x14ac:dyDescent="0.25">
      <c r="B617" s="37" t="s">
        <v>23</v>
      </c>
      <c r="C617" s="1" cm="1">
        <f t="array" ref="C617:G617">-TRANSPOSE(MMULT(C612:G616,TRANSPOSE(C605:G605)))</f>
        <v>0</v>
      </c>
      <c r="D617" s="1">
        <v>0</v>
      </c>
      <c r="E617" s="1">
        <v>0</v>
      </c>
      <c r="F617" s="1">
        <v>0</v>
      </c>
      <c r="G617" s="1">
        <v>0</v>
      </c>
    </row>
    <row r="618" spans="1:9" x14ac:dyDescent="0.25">
      <c r="A618" s="1" t="s">
        <v>4</v>
      </c>
      <c r="B618" s="1" t="s">
        <v>18</v>
      </c>
      <c r="C618" s="1" cm="1">
        <f t="array" ref="C618:G618">C604:G604+C617:G617</f>
        <v>-1.1255447834430674</v>
      </c>
      <c r="D618" s="1">
        <v>-1.9328398942454124</v>
      </c>
      <c r="E618" s="1">
        <v>0.3975554729813337</v>
      </c>
      <c r="F618" s="1">
        <v>-0.67495954138082226</v>
      </c>
      <c r="G618" s="1">
        <v>-0.12015140458184514</v>
      </c>
    </row>
    <row r="619" spans="1:9" x14ac:dyDescent="0.25">
      <c r="A619" s="1">
        <v>45</v>
      </c>
      <c r="B619" s="1" t="s">
        <v>19</v>
      </c>
      <c r="C619" s="1">
        <f t="shared" ref="C619:C682" si="817">2*C618-F618*(D618^2)-2*G618*C618</f>
        <v>0</v>
      </c>
      <c r="D619" s="1">
        <f t="shared" ref="D619:D682" si="818">2*D618-2*F618*C618*D618+4*G618*D618</f>
        <v>0</v>
      </c>
      <c r="E619" s="1">
        <f t="shared" ref="E619:E682" si="819">4*E618+2*F618+2*G618</f>
        <v>0</v>
      </c>
      <c r="F619" s="1">
        <f t="shared" ref="F619:F682" si="820">C618*(D618^2)-2*E618+5</f>
        <v>0</v>
      </c>
      <c r="G619" s="1">
        <f t="shared" ref="G619:G682" si="821">C618^2-2*(D618^2)-2*E618+7</f>
        <v>0</v>
      </c>
      <c r="I619" s="1">
        <f t="shared" ref="I619:I682" si="822">MAX(ABS(C619),ABS(D619),ABS(E619),ABS(F619),ABS(G619))</f>
        <v>0</v>
      </c>
    </row>
    <row r="620" spans="1:9" x14ac:dyDescent="0.25">
      <c r="C620" s="5">
        <f t="shared" ref="C620" si="823">2-2*G618</f>
        <v>2.2403028091636905</v>
      </c>
      <c r="D620" s="6">
        <f t="shared" ref="D620" si="824">-2*F618*D618</f>
        <v>-2.6091774571648809</v>
      </c>
      <c r="E620" s="6">
        <f>0</f>
        <v>0</v>
      </c>
      <c r="F620" s="6">
        <f t="shared" ref="F620" si="825">-(D618^2)</f>
        <v>-3.735870056786617</v>
      </c>
      <c r="G620" s="7">
        <f t="shared" ref="G620" si="826">-2*C618</f>
        <v>2.2510895668861348</v>
      </c>
    </row>
    <row r="621" spans="1:9" x14ac:dyDescent="0.25">
      <c r="C621" s="8">
        <f t="shared" ref="C621" si="827">-2*F618*D618</f>
        <v>-2.6091774571648809</v>
      </c>
      <c r="D621" s="1">
        <f t="shared" ref="D621" si="828">2-2*F618*C618+4*G618</f>
        <v>0</v>
      </c>
      <c r="E621" s="1">
        <f>0</f>
        <v>0</v>
      </c>
      <c r="F621" s="1">
        <f t="shared" ref="F621" si="829">-2*C618*D618</f>
        <v>-4.3509957203971483</v>
      </c>
      <c r="G621" s="9">
        <f t="shared" ref="G621" si="830">4*D618</f>
        <v>-7.7313595769816494</v>
      </c>
    </row>
    <row r="622" spans="1:9" x14ac:dyDescent="0.25">
      <c r="B622" s="1" t="s">
        <v>20</v>
      </c>
      <c r="C622" s="8">
        <f>0</f>
        <v>0</v>
      </c>
      <c r="D622" s="1">
        <f>0</f>
        <v>0</v>
      </c>
      <c r="E622" s="1">
        <f>4</f>
        <v>4</v>
      </c>
      <c r="F622" s="1">
        <f>2</f>
        <v>2</v>
      </c>
      <c r="G622" s="9">
        <f>2</f>
        <v>2</v>
      </c>
    </row>
    <row r="623" spans="1:9" x14ac:dyDescent="0.25">
      <c r="C623" s="8">
        <f t="shared" ref="C623" si="831">(D618^2)</f>
        <v>3.735870056786617</v>
      </c>
      <c r="D623" s="1">
        <f t="shared" ref="D623" si="832">2*C618*D618</f>
        <v>4.3509957203971483</v>
      </c>
      <c r="E623" s="1">
        <f t="shared" ref="E623:E686" si="833">-2</f>
        <v>-2</v>
      </c>
      <c r="F623" s="1">
        <f>0</f>
        <v>0</v>
      </c>
      <c r="G623" s="9">
        <f>0</f>
        <v>0</v>
      </c>
    </row>
    <row r="624" spans="1:9" x14ac:dyDescent="0.25">
      <c r="C624" s="10">
        <f t="shared" ref="C624" si="834">2*C618</f>
        <v>-2.2510895668861348</v>
      </c>
      <c r="D624" s="11">
        <f t="shared" ref="D624" si="835">-4*D618</f>
        <v>7.7313595769816494</v>
      </c>
      <c r="E624" s="11">
        <f t="shared" si="833"/>
        <v>-2</v>
      </c>
      <c r="F624" s="11">
        <f>0</f>
        <v>0</v>
      </c>
      <c r="G624" s="12">
        <f>0</f>
        <v>0</v>
      </c>
    </row>
    <row r="626" spans="1:9" x14ac:dyDescent="0.25">
      <c r="C626" s="5" cm="1">
        <f t="array" ref="C626:G630">MINVERSE(C620:G624)</f>
        <v>8.0700156546249843E-3</v>
      </c>
      <c r="D626" s="6">
        <v>1.4292798034902623E-2</v>
      </c>
      <c r="E626" s="6">
        <v>4.616821646213741E-2</v>
      </c>
      <c r="F626" s="6">
        <v>0.20495724468206558</v>
      </c>
      <c r="G626" s="7">
        <v>-0.11262081175779078</v>
      </c>
    </row>
    <row r="627" spans="1:9" x14ac:dyDescent="0.25">
      <c r="C627" s="8">
        <v>1.4292798034902625E-2</v>
      </c>
      <c r="D627" s="36">
        <v>2.5313962749184949E-2</v>
      </c>
      <c r="E627" s="36">
        <v>8.1768489897143928E-2</v>
      </c>
      <c r="F627" s="36">
        <v>6.7173463604647099E-2</v>
      </c>
      <c r="G627" s="9">
        <v>9.6363516189640744E-2</v>
      </c>
    </row>
    <row r="628" spans="1:9" x14ac:dyDescent="0.25">
      <c r="B628" s="37" t="s">
        <v>22</v>
      </c>
      <c r="C628" s="8">
        <v>4.616821646213741E-2</v>
      </c>
      <c r="D628" s="36">
        <v>8.1768489897143928E-2</v>
      </c>
      <c r="E628" s="36">
        <v>0.26412640353097638</v>
      </c>
      <c r="F628" s="36">
        <v>2.8982542998645042E-2</v>
      </c>
      <c r="G628" s="9">
        <v>-7.2973593669227454E-4</v>
      </c>
    </row>
    <row r="629" spans="1:9" x14ac:dyDescent="0.25">
      <c r="C629" s="8">
        <v>-0.20495724468206561</v>
      </c>
      <c r="D629" s="36">
        <v>-6.7173463604647099E-2</v>
      </c>
      <c r="E629" s="36">
        <v>-2.8982542998645028E-2</v>
      </c>
      <c r="F629" s="36">
        <v>2.562472663486581E-2</v>
      </c>
      <c r="G629" s="9">
        <v>-8.3589812632155883E-2</v>
      </c>
    </row>
    <row r="630" spans="1:9" x14ac:dyDescent="0.25">
      <c r="C630" s="10">
        <v>0.11262081175779079</v>
      </c>
      <c r="D630" s="11">
        <v>-9.6363516189640758E-2</v>
      </c>
      <c r="E630" s="11">
        <v>7.2973593669226132E-4</v>
      </c>
      <c r="F630" s="11">
        <v>-8.3589812632155897E-2</v>
      </c>
      <c r="G630" s="12">
        <v>8.5049284505540432E-2</v>
      </c>
    </row>
    <row r="631" spans="1:9" x14ac:dyDescent="0.25">
      <c r="B631" s="37" t="s">
        <v>23</v>
      </c>
      <c r="C631" s="1" cm="1">
        <f t="array" ref="C631:G631">-TRANSPOSE(MMULT(C626:G630,TRANSPOSE(C619:G619)))</f>
        <v>0</v>
      </c>
      <c r="D631" s="1">
        <v>0</v>
      </c>
      <c r="E631" s="1">
        <v>0</v>
      </c>
      <c r="F631" s="1">
        <v>0</v>
      </c>
      <c r="G631" s="1">
        <v>0</v>
      </c>
    </row>
    <row r="632" spans="1:9" x14ac:dyDescent="0.25">
      <c r="A632" s="1" t="s">
        <v>4</v>
      </c>
      <c r="B632" s="1" t="s">
        <v>18</v>
      </c>
      <c r="C632" s="1" cm="1">
        <f t="array" ref="C632:G632">C618:G618+C631:G631</f>
        <v>-1.1255447834430674</v>
      </c>
      <c r="D632" s="1">
        <v>-1.9328398942454124</v>
      </c>
      <c r="E632" s="1">
        <v>0.3975554729813337</v>
      </c>
      <c r="F632" s="1">
        <v>-0.67495954138082226</v>
      </c>
      <c r="G632" s="1">
        <v>-0.12015140458184514</v>
      </c>
    </row>
    <row r="633" spans="1:9" x14ac:dyDescent="0.25">
      <c r="A633" s="1">
        <v>46</v>
      </c>
      <c r="B633" s="1" t="s">
        <v>19</v>
      </c>
      <c r="C633" s="1">
        <f t="shared" ref="C633:C696" si="836">2*C632-F632*(D632^2)-2*G632*C632</f>
        <v>0</v>
      </c>
      <c r="D633" s="1">
        <f t="shared" ref="D633:D696" si="837">2*D632-2*F632*C632*D632+4*G632*D632</f>
        <v>0</v>
      </c>
      <c r="E633" s="1">
        <f t="shared" ref="E633:E696" si="838">4*E632+2*F632+2*G632</f>
        <v>0</v>
      </c>
      <c r="F633" s="1">
        <f t="shared" ref="F633:F696" si="839">C632*(D632^2)-2*E632+5</f>
        <v>0</v>
      </c>
      <c r="G633" s="1">
        <f t="shared" ref="G633:G696" si="840">C632^2-2*(D632^2)-2*E632+7</f>
        <v>0</v>
      </c>
      <c r="I633" s="1">
        <f t="shared" ref="I633:I696" si="841">MAX(ABS(C633),ABS(D633),ABS(E633),ABS(F633),ABS(G633))</f>
        <v>0</v>
      </c>
    </row>
    <row r="634" spans="1:9" x14ac:dyDescent="0.25">
      <c r="C634" s="5">
        <f t="shared" ref="C634" si="842">2-2*G632</f>
        <v>2.2403028091636905</v>
      </c>
      <c r="D634" s="6">
        <f t="shared" ref="D634" si="843">-2*F632*D632</f>
        <v>-2.6091774571648809</v>
      </c>
      <c r="E634" s="6">
        <f>0</f>
        <v>0</v>
      </c>
      <c r="F634" s="6">
        <f t="shared" ref="F634" si="844">-(D632^2)</f>
        <v>-3.735870056786617</v>
      </c>
      <c r="G634" s="7">
        <f t="shared" ref="G634" si="845">-2*C632</f>
        <v>2.2510895668861348</v>
      </c>
    </row>
    <row r="635" spans="1:9" x14ac:dyDescent="0.25">
      <c r="C635" s="8">
        <f t="shared" ref="C635" si="846">-2*F632*D632</f>
        <v>-2.6091774571648809</v>
      </c>
      <c r="D635" s="1">
        <f t="shared" ref="D635" si="847">2-2*F632*C632+4*G632</f>
        <v>0</v>
      </c>
      <c r="E635" s="1">
        <f>0</f>
        <v>0</v>
      </c>
      <c r="F635" s="1">
        <f t="shared" ref="F635" si="848">-2*C632*D632</f>
        <v>-4.3509957203971483</v>
      </c>
      <c r="G635" s="9">
        <f t="shared" ref="G635" si="849">4*D632</f>
        <v>-7.7313595769816494</v>
      </c>
    </row>
    <row r="636" spans="1:9" x14ac:dyDescent="0.25">
      <c r="B636" s="1" t="s">
        <v>20</v>
      </c>
      <c r="C636" s="8">
        <f>0</f>
        <v>0</v>
      </c>
      <c r="D636" s="1">
        <f>0</f>
        <v>0</v>
      </c>
      <c r="E636" s="1">
        <f>4</f>
        <v>4</v>
      </c>
      <c r="F636" s="1">
        <f>2</f>
        <v>2</v>
      </c>
      <c r="G636" s="9">
        <f>2</f>
        <v>2</v>
      </c>
    </row>
    <row r="637" spans="1:9" x14ac:dyDescent="0.25">
      <c r="C637" s="8">
        <f t="shared" ref="C637" si="850">(D632^2)</f>
        <v>3.735870056786617</v>
      </c>
      <c r="D637" s="1">
        <f t="shared" ref="D637" si="851">2*C632*D632</f>
        <v>4.3509957203971483</v>
      </c>
      <c r="E637" s="1">
        <f t="shared" ref="E637:E700" si="852">-2</f>
        <v>-2</v>
      </c>
      <c r="F637" s="1">
        <f>0</f>
        <v>0</v>
      </c>
      <c r="G637" s="9">
        <f>0</f>
        <v>0</v>
      </c>
    </row>
    <row r="638" spans="1:9" x14ac:dyDescent="0.25">
      <c r="C638" s="10">
        <f t="shared" ref="C638" si="853">2*C632</f>
        <v>-2.2510895668861348</v>
      </c>
      <c r="D638" s="11">
        <f t="shared" ref="D638" si="854">-4*D632</f>
        <v>7.7313595769816494</v>
      </c>
      <c r="E638" s="11">
        <f t="shared" si="852"/>
        <v>-2</v>
      </c>
      <c r="F638" s="11">
        <f>0</f>
        <v>0</v>
      </c>
      <c r="G638" s="12">
        <f>0</f>
        <v>0</v>
      </c>
    </row>
    <row r="640" spans="1:9" x14ac:dyDescent="0.25">
      <c r="C640" s="5" cm="1">
        <f t="array" ref="C640:G644">MINVERSE(C634:G638)</f>
        <v>8.0700156546249843E-3</v>
      </c>
      <c r="D640" s="6">
        <v>1.4292798034902623E-2</v>
      </c>
      <c r="E640" s="6">
        <v>4.616821646213741E-2</v>
      </c>
      <c r="F640" s="6">
        <v>0.20495724468206558</v>
      </c>
      <c r="G640" s="7">
        <v>-0.11262081175779078</v>
      </c>
    </row>
    <row r="641" spans="1:9" x14ac:dyDescent="0.25">
      <c r="C641" s="8">
        <v>1.4292798034902625E-2</v>
      </c>
      <c r="D641" s="36">
        <v>2.5313962749184949E-2</v>
      </c>
      <c r="E641" s="36">
        <v>8.1768489897143928E-2</v>
      </c>
      <c r="F641" s="36">
        <v>6.7173463604647099E-2</v>
      </c>
      <c r="G641" s="9">
        <v>9.6363516189640744E-2</v>
      </c>
    </row>
    <row r="642" spans="1:9" x14ac:dyDescent="0.25">
      <c r="B642" s="37" t="s">
        <v>22</v>
      </c>
      <c r="C642" s="8">
        <v>4.616821646213741E-2</v>
      </c>
      <c r="D642" s="36">
        <v>8.1768489897143928E-2</v>
      </c>
      <c r="E642" s="36">
        <v>0.26412640353097638</v>
      </c>
      <c r="F642" s="36">
        <v>2.8982542998645042E-2</v>
      </c>
      <c r="G642" s="9">
        <v>-7.2973593669227454E-4</v>
      </c>
    </row>
    <row r="643" spans="1:9" x14ac:dyDescent="0.25">
      <c r="C643" s="8">
        <v>-0.20495724468206561</v>
      </c>
      <c r="D643" s="36">
        <v>-6.7173463604647099E-2</v>
      </c>
      <c r="E643" s="36">
        <v>-2.8982542998645028E-2</v>
      </c>
      <c r="F643" s="36">
        <v>2.562472663486581E-2</v>
      </c>
      <c r="G643" s="9">
        <v>-8.3589812632155883E-2</v>
      </c>
    </row>
    <row r="644" spans="1:9" x14ac:dyDescent="0.25">
      <c r="C644" s="10">
        <v>0.11262081175779079</v>
      </c>
      <c r="D644" s="11">
        <v>-9.6363516189640758E-2</v>
      </c>
      <c r="E644" s="11">
        <v>7.2973593669226132E-4</v>
      </c>
      <c r="F644" s="11">
        <v>-8.3589812632155897E-2</v>
      </c>
      <c r="G644" s="12">
        <v>8.5049284505540432E-2</v>
      </c>
    </row>
    <row r="645" spans="1:9" x14ac:dyDescent="0.25">
      <c r="B645" s="37" t="s">
        <v>23</v>
      </c>
      <c r="C645" s="1" cm="1">
        <f t="array" ref="C645:G645">-TRANSPOSE(MMULT(C640:G644,TRANSPOSE(C633:G633)))</f>
        <v>0</v>
      </c>
      <c r="D645" s="1">
        <v>0</v>
      </c>
      <c r="E645" s="1">
        <v>0</v>
      </c>
      <c r="F645" s="1">
        <v>0</v>
      </c>
      <c r="G645" s="1">
        <v>0</v>
      </c>
    </row>
    <row r="646" spans="1:9" x14ac:dyDescent="0.25">
      <c r="A646" s="1" t="s">
        <v>4</v>
      </c>
      <c r="B646" s="1" t="s">
        <v>18</v>
      </c>
      <c r="C646" s="1" cm="1">
        <f t="array" ref="C646:G646">C632:G632+C645:G645</f>
        <v>-1.1255447834430674</v>
      </c>
      <c r="D646" s="1">
        <v>-1.9328398942454124</v>
      </c>
      <c r="E646" s="1">
        <v>0.3975554729813337</v>
      </c>
      <c r="F646" s="1">
        <v>-0.67495954138082226</v>
      </c>
      <c r="G646" s="1">
        <v>-0.12015140458184514</v>
      </c>
    </row>
    <row r="647" spans="1:9" x14ac:dyDescent="0.25">
      <c r="A647" s="1">
        <v>47</v>
      </c>
      <c r="B647" s="1" t="s">
        <v>19</v>
      </c>
      <c r="C647" s="1">
        <f t="shared" ref="C647:C678" si="855">2*C646-F646*(D646^2)-2*G646*C646</f>
        <v>0</v>
      </c>
      <c r="D647" s="1">
        <f t="shared" ref="D647:D678" si="856">2*D646-2*F646*C646*D646+4*G646*D646</f>
        <v>0</v>
      </c>
      <c r="E647" s="1">
        <f t="shared" ref="E647:E678" si="857">4*E646+2*F646+2*G646</f>
        <v>0</v>
      </c>
      <c r="F647" s="1">
        <f t="shared" ref="F647:F678" si="858">C646*(D646^2)-2*E646+5</f>
        <v>0</v>
      </c>
      <c r="G647" s="1">
        <f t="shared" ref="G647:G678" si="859">C646^2-2*(D646^2)-2*E646+7</f>
        <v>0</v>
      </c>
      <c r="I647" s="1">
        <f t="shared" ref="I647:I678" si="860">MAX(ABS(C647),ABS(D647),ABS(E647),ABS(F647),ABS(G647))</f>
        <v>0</v>
      </c>
    </row>
    <row r="648" spans="1:9" x14ac:dyDescent="0.25">
      <c r="C648" s="5">
        <f t="shared" ref="C648" si="861">2-2*G646</f>
        <v>2.2403028091636905</v>
      </c>
      <c r="D648" s="6">
        <f t="shared" ref="D648" si="862">-2*F646*D646</f>
        <v>-2.6091774571648809</v>
      </c>
      <c r="E648" s="6">
        <f>0</f>
        <v>0</v>
      </c>
      <c r="F648" s="6">
        <f t="shared" ref="F648" si="863">-(D646^2)</f>
        <v>-3.735870056786617</v>
      </c>
      <c r="G648" s="7">
        <f t="shared" ref="G648" si="864">-2*C646</f>
        <v>2.2510895668861348</v>
      </c>
    </row>
    <row r="649" spans="1:9" x14ac:dyDescent="0.25">
      <c r="C649" s="8">
        <f t="shared" ref="C649" si="865">-2*F646*D646</f>
        <v>-2.6091774571648809</v>
      </c>
      <c r="D649" s="1">
        <f t="shared" ref="D649" si="866">2-2*F646*C646+4*G646</f>
        <v>0</v>
      </c>
      <c r="E649" s="1">
        <f>0</f>
        <v>0</v>
      </c>
      <c r="F649" s="1">
        <f t="shared" ref="F649" si="867">-2*C646*D646</f>
        <v>-4.3509957203971483</v>
      </c>
      <c r="G649" s="9">
        <f t="shared" ref="G649" si="868">4*D646</f>
        <v>-7.7313595769816494</v>
      </c>
    </row>
    <row r="650" spans="1:9" x14ac:dyDescent="0.25">
      <c r="B650" s="1" t="s">
        <v>20</v>
      </c>
      <c r="C650" s="8">
        <f>0</f>
        <v>0</v>
      </c>
      <c r="D650" s="1">
        <f>0</f>
        <v>0</v>
      </c>
      <c r="E650" s="1">
        <f>4</f>
        <v>4</v>
      </c>
      <c r="F650" s="1">
        <f>2</f>
        <v>2</v>
      </c>
      <c r="G650" s="9">
        <f>2</f>
        <v>2</v>
      </c>
    </row>
    <row r="651" spans="1:9" x14ac:dyDescent="0.25">
      <c r="C651" s="8">
        <f t="shared" ref="C651" si="869">(D646^2)</f>
        <v>3.735870056786617</v>
      </c>
      <c r="D651" s="1">
        <f t="shared" ref="D651" si="870">2*C646*D646</f>
        <v>4.3509957203971483</v>
      </c>
      <c r="E651" s="1">
        <f t="shared" ref="E651:E682" si="871">-2</f>
        <v>-2</v>
      </c>
      <c r="F651" s="1">
        <f>0</f>
        <v>0</v>
      </c>
      <c r="G651" s="9">
        <f>0</f>
        <v>0</v>
      </c>
    </row>
    <row r="652" spans="1:9" x14ac:dyDescent="0.25">
      <c r="C652" s="10">
        <f t="shared" ref="C652" si="872">2*C646</f>
        <v>-2.2510895668861348</v>
      </c>
      <c r="D652" s="11">
        <f t="shared" ref="D652" si="873">-4*D646</f>
        <v>7.7313595769816494</v>
      </c>
      <c r="E652" s="11">
        <f t="shared" si="871"/>
        <v>-2</v>
      </c>
      <c r="F652" s="11">
        <f>0</f>
        <v>0</v>
      </c>
      <c r="G652" s="12">
        <f>0</f>
        <v>0</v>
      </c>
    </row>
    <row r="654" spans="1:9" x14ac:dyDescent="0.25">
      <c r="C654" s="5" cm="1">
        <f t="array" ref="C654:G658">MINVERSE(C648:G652)</f>
        <v>8.0700156546249843E-3</v>
      </c>
      <c r="D654" s="6">
        <v>1.4292798034902623E-2</v>
      </c>
      <c r="E654" s="6">
        <v>4.616821646213741E-2</v>
      </c>
      <c r="F654" s="6">
        <v>0.20495724468206558</v>
      </c>
      <c r="G654" s="7">
        <v>-0.11262081175779078</v>
      </c>
    </row>
    <row r="655" spans="1:9" x14ac:dyDescent="0.25">
      <c r="C655" s="8">
        <v>1.4292798034902625E-2</v>
      </c>
      <c r="D655" s="36">
        <v>2.5313962749184949E-2</v>
      </c>
      <c r="E655" s="36">
        <v>8.1768489897143928E-2</v>
      </c>
      <c r="F655" s="36">
        <v>6.7173463604647099E-2</v>
      </c>
      <c r="G655" s="9">
        <v>9.6363516189640744E-2</v>
      </c>
    </row>
    <row r="656" spans="1:9" x14ac:dyDescent="0.25">
      <c r="B656" s="37" t="s">
        <v>22</v>
      </c>
      <c r="C656" s="8">
        <v>4.616821646213741E-2</v>
      </c>
      <c r="D656" s="36">
        <v>8.1768489897143928E-2</v>
      </c>
      <c r="E656" s="36">
        <v>0.26412640353097638</v>
      </c>
      <c r="F656" s="36">
        <v>2.8982542998645042E-2</v>
      </c>
      <c r="G656" s="9">
        <v>-7.2973593669227454E-4</v>
      </c>
    </row>
    <row r="657" spans="1:9" x14ac:dyDescent="0.25">
      <c r="C657" s="8">
        <v>-0.20495724468206561</v>
      </c>
      <c r="D657" s="36">
        <v>-6.7173463604647099E-2</v>
      </c>
      <c r="E657" s="36">
        <v>-2.8982542998645028E-2</v>
      </c>
      <c r="F657" s="36">
        <v>2.562472663486581E-2</v>
      </c>
      <c r="G657" s="9">
        <v>-8.3589812632155883E-2</v>
      </c>
    </row>
    <row r="658" spans="1:9" x14ac:dyDescent="0.25">
      <c r="C658" s="10">
        <v>0.11262081175779079</v>
      </c>
      <c r="D658" s="11">
        <v>-9.6363516189640758E-2</v>
      </c>
      <c r="E658" s="11">
        <v>7.2973593669226132E-4</v>
      </c>
      <c r="F658" s="11">
        <v>-8.3589812632155897E-2</v>
      </c>
      <c r="G658" s="12">
        <v>8.5049284505540432E-2</v>
      </c>
    </row>
    <row r="659" spans="1:9" x14ac:dyDescent="0.25">
      <c r="B659" s="37" t="s">
        <v>23</v>
      </c>
      <c r="C659" s="1" cm="1">
        <f t="array" ref="C659:G659">-TRANSPOSE(MMULT(C654:G658,TRANSPOSE(C647:G647)))</f>
        <v>0</v>
      </c>
      <c r="D659" s="1">
        <v>0</v>
      </c>
      <c r="E659" s="1">
        <v>0</v>
      </c>
      <c r="F659" s="1">
        <v>0</v>
      </c>
      <c r="G659" s="1">
        <v>0</v>
      </c>
    </row>
    <row r="660" spans="1:9" x14ac:dyDescent="0.25">
      <c r="A660" s="1" t="s">
        <v>4</v>
      </c>
      <c r="B660" s="1" t="s">
        <v>18</v>
      </c>
      <c r="C660" s="1" cm="1">
        <f t="array" ref="C660:G660">C646:G646+C659:G659</f>
        <v>-1.1255447834430674</v>
      </c>
      <c r="D660" s="1">
        <v>-1.9328398942454124</v>
      </c>
      <c r="E660" s="1">
        <v>0.3975554729813337</v>
      </c>
      <c r="F660" s="1">
        <v>-0.67495954138082226</v>
      </c>
      <c r="G660" s="1">
        <v>-0.12015140458184514</v>
      </c>
    </row>
    <row r="661" spans="1:9" x14ac:dyDescent="0.25">
      <c r="A661" s="1">
        <v>48</v>
      </c>
      <c r="B661" s="1" t="s">
        <v>19</v>
      </c>
      <c r="C661" s="1">
        <f t="shared" ref="C661:C692" si="874">2*C660-F660*(D660^2)-2*G660*C660</f>
        <v>0</v>
      </c>
      <c r="D661" s="1">
        <f t="shared" ref="D661:D692" si="875">2*D660-2*F660*C660*D660+4*G660*D660</f>
        <v>0</v>
      </c>
      <c r="E661" s="1">
        <f t="shared" ref="E661:E692" si="876">4*E660+2*F660+2*G660</f>
        <v>0</v>
      </c>
      <c r="F661" s="1">
        <f t="shared" ref="F661:F692" si="877">C660*(D660^2)-2*E660+5</f>
        <v>0</v>
      </c>
      <c r="G661" s="1">
        <f t="shared" ref="G661:G692" si="878">C660^2-2*(D660^2)-2*E660+7</f>
        <v>0</v>
      </c>
      <c r="I661" s="1">
        <f t="shared" ref="I661:I692" si="879">MAX(ABS(C661),ABS(D661),ABS(E661),ABS(F661),ABS(G661))</f>
        <v>0</v>
      </c>
    </row>
    <row r="662" spans="1:9" x14ac:dyDescent="0.25">
      <c r="C662" s="5">
        <f t="shared" ref="C662" si="880">2-2*G660</f>
        <v>2.2403028091636905</v>
      </c>
      <c r="D662" s="6">
        <f t="shared" ref="D662" si="881">-2*F660*D660</f>
        <v>-2.6091774571648809</v>
      </c>
      <c r="E662" s="6">
        <f>0</f>
        <v>0</v>
      </c>
      <c r="F662" s="6">
        <f t="shared" ref="F662" si="882">-(D660^2)</f>
        <v>-3.735870056786617</v>
      </c>
      <c r="G662" s="7">
        <f t="shared" ref="G662" si="883">-2*C660</f>
        <v>2.2510895668861348</v>
      </c>
    </row>
    <row r="663" spans="1:9" x14ac:dyDescent="0.25">
      <c r="C663" s="8">
        <f t="shared" ref="C663" si="884">-2*F660*D660</f>
        <v>-2.6091774571648809</v>
      </c>
      <c r="D663" s="1">
        <f t="shared" ref="D663" si="885">2-2*F660*C660+4*G660</f>
        <v>0</v>
      </c>
      <c r="E663" s="1">
        <f>0</f>
        <v>0</v>
      </c>
      <c r="F663" s="1">
        <f t="shared" ref="F663" si="886">-2*C660*D660</f>
        <v>-4.3509957203971483</v>
      </c>
      <c r="G663" s="9">
        <f t="shared" ref="G663" si="887">4*D660</f>
        <v>-7.7313595769816494</v>
      </c>
    </row>
    <row r="664" spans="1:9" x14ac:dyDescent="0.25">
      <c r="B664" s="1" t="s">
        <v>20</v>
      </c>
      <c r="C664" s="8">
        <f>0</f>
        <v>0</v>
      </c>
      <c r="D664" s="1">
        <f>0</f>
        <v>0</v>
      </c>
      <c r="E664" s="1">
        <f>4</f>
        <v>4</v>
      </c>
      <c r="F664" s="1">
        <f>2</f>
        <v>2</v>
      </c>
      <c r="G664" s="9">
        <f>2</f>
        <v>2</v>
      </c>
    </row>
    <row r="665" spans="1:9" x14ac:dyDescent="0.25">
      <c r="C665" s="8">
        <f t="shared" ref="C665" si="888">(D660^2)</f>
        <v>3.735870056786617</v>
      </c>
      <c r="D665" s="1">
        <f t="shared" ref="D665" si="889">2*C660*D660</f>
        <v>4.3509957203971483</v>
      </c>
      <c r="E665" s="1">
        <f t="shared" ref="E665:E696" si="890">-2</f>
        <v>-2</v>
      </c>
      <c r="F665" s="1">
        <f>0</f>
        <v>0</v>
      </c>
      <c r="G665" s="9">
        <f>0</f>
        <v>0</v>
      </c>
    </row>
    <row r="666" spans="1:9" x14ac:dyDescent="0.25">
      <c r="C666" s="10">
        <f t="shared" ref="C666" si="891">2*C660</f>
        <v>-2.2510895668861348</v>
      </c>
      <c r="D666" s="11">
        <f t="shared" ref="D666" si="892">-4*D660</f>
        <v>7.7313595769816494</v>
      </c>
      <c r="E666" s="11">
        <f t="shared" si="890"/>
        <v>-2</v>
      </c>
      <c r="F666" s="11">
        <f>0</f>
        <v>0</v>
      </c>
      <c r="G666" s="12">
        <f>0</f>
        <v>0</v>
      </c>
    </row>
    <row r="668" spans="1:9" x14ac:dyDescent="0.25">
      <c r="C668" s="5" cm="1">
        <f t="array" ref="C668:G672">MINVERSE(C662:G666)</f>
        <v>8.0700156546249843E-3</v>
      </c>
      <c r="D668" s="6">
        <v>1.4292798034902623E-2</v>
      </c>
      <c r="E668" s="6">
        <v>4.616821646213741E-2</v>
      </c>
      <c r="F668" s="6">
        <v>0.20495724468206558</v>
      </c>
      <c r="G668" s="7">
        <v>-0.11262081175779078</v>
      </c>
    </row>
    <row r="669" spans="1:9" x14ac:dyDescent="0.25">
      <c r="C669" s="8">
        <v>1.4292798034902625E-2</v>
      </c>
      <c r="D669" s="36">
        <v>2.5313962749184949E-2</v>
      </c>
      <c r="E669" s="36">
        <v>8.1768489897143928E-2</v>
      </c>
      <c r="F669" s="36">
        <v>6.7173463604647099E-2</v>
      </c>
      <c r="G669" s="9">
        <v>9.6363516189640744E-2</v>
      </c>
    </row>
    <row r="670" spans="1:9" x14ac:dyDescent="0.25">
      <c r="B670" s="37" t="s">
        <v>22</v>
      </c>
      <c r="C670" s="8">
        <v>4.616821646213741E-2</v>
      </c>
      <c r="D670" s="36">
        <v>8.1768489897143928E-2</v>
      </c>
      <c r="E670" s="36">
        <v>0.26412640353097638</v>
      </c>
      <c r="F670" s="36">
        <v>2.8982542998645042E-2</v>
      </c>
      <c r="G670" s="9">
        <v>-7.2973593669227454E-4</v>
      </c>
    </row>
    <row r="671" spans="1:9" x14ac:dyDescent="0.25">
      <c r="C671" s="8">
        <v>-0.20495724468206561</v>
      </c>
      <c r="D671" s="36">
        <v>-6.7173463604647099E-2</v>
      </c>
      <c r="E671" s="36">
        <v>-2.8982542998645028E-2</v>
      </c>
      <c r="F671" s="36">
        <v>2.562472663486581E-2</v>
      </c>
      <c r="G671" s="9">
        <v>-8.3589812632155883E-2</v>
      </c>
    </row>
    <row r="672" spans="1:9" x14ac:dyDescent="0.25">
      <c r="C672" s="10">
        <v>0.11262081175779079</v>
      </c>
      <c r="D672" s="11">
        <v>-9.6363516189640758E-2</v>
      </c>
      <c r="E672" s="11">
        <v>7.2973593669226132E-4</v>
      </c>
      <c r="F672" s="11">
        <v>-8.3589812632155897E-2</v>
      </c>
      <c r="G672" s="12">
        <v>8.5049284505540432E-2</v>
      </c>
    </row>
    <row r="673" spans="1:9" x14ac:dyDescent="0.25">
      <c r="B673" s="37" t="s">
        <v>23</v>
      </c>
      <c r="C673" s="1" cm="1">
        <f t="array" ref="C673:G673">-TRANSPOSE(MMULT(C668:G672,TRANSPOSE(C661:G661)))</f>
        <v>0</v>
      </c>
      <c r="D673" s="1">
        <v>0</v>
      </c>
      <c r="E673" s="1">
        <v>0</v>
      </c>
      <c r="F673" s="1">
        <v>0</v>
      </c>
      <c r="G673" s="1">
        <v>0</v>
      </c>
    </row>
    <row r="674" spans="1:9" x14ac:dyDescent="0.25">
      <c r="A674" s="1" t="s">
        <v>4</v>
      </c>
      <c r="B674" s="1" t="s">
        <v>18</v>
      </c>
      <c r="C674" s="1" cm="1">
        <f t="array" ref="C674:G674">C660:G660+C673:G673</f>
        <v>-1.1255447834430674</v>
      </c>
      <c r="D674" s="1">
        <v>-1.9328398942454124</v>
      </c>
      <c r="E674" s="1">
        <v>0.3975554729813337</v>
      </c>
      <c r="F674" s="1">
        <v>-0.67495954138082226</v>
      </c>
      <c r="G674" s="1">
        <v>-0.12015140458184514</v>
      </c>
    </row>
    <row r="675" spans="1:9" x14ac:dyDescent="0.25">
      <c r="A675" s="1">
        <v>49</v>
      </c>
      <c r="B675" s="1" t="s">
        <v>19</v>
      </c>
      <c r="C675" s="1">
        <f t="shared" ref="C675:C706" si="893">2*C674-F674*(D674^2)-2*G674*C674</f>
        <v>0</v>
      </c>
      <c r="D675" s="1">
        <f t="shared" ref="D675:D706" si="894">2*D674-2*F674*C674*D674+4*G674*D674</f>
        <v>0</v>
      </c>
      <c r="E675" s="1">
        <f t="shared" ref="E675:E706" si="895">4*E674+2*F674+2*G674</f>
        <v>0</v>
      </c>
      <c r="F675" s="1">
        <f t="shared" ref="F675:F706" si="896">C674*(D674^2)-2*E674+5</f>
        <v>0</v>
      </c>
      <c r="G675" s="1">
        <f t="shared" ref="G675:G706" si="897">C674^2-2*(D674^2)-2*E674+7</f>
        <v>0</v>
      </c>
      <c r="I675" s="1">
        <f t="shared" ref="I675:I706" si="898">MAX(ABS(C675),ABS(D675),ABS(E675),ABS(F675),ABS(G675))</f>
        <v>0</v>
      </c>
    </row>
    <row r="676" spans="1:9" x14ac:dyDescent="0.25">
      <c r="C676" s="5">
        <f t="shared" ref="C676" si="899">2-2*G674</f>
        <v>2.2403028091636905</v>
      </c>
      <c r="D676" s="6">
        <f t="shared" ref="D676" si="900">-2*F674*D674</f>
        <v>-2.6091774571648809</v>
      </c>
      <c r="E676" s="6">
        <f>0</f>
        <v>0</v>
      </c>
      <c r="F676" s="6">
        <f t="shared" ref="F676" si="901">-(D674^2)</f>
        <v>-3.735870056786617</v>
      </c>
      <c r="G676" s="7">
        <f t="shared" ref="G676" si="902">-2*C674</f>
        <v>2.2510895668861348</v>
      </c>
    </row>
    <row r="677" spans="1:9" x14ac:dyDescent="0.25">
      <c r="C677" s="8">
        <f t="shared" ref="C677" si="903">-2*F674*D674</f>
        <v>-2.6091774571648809</v>
      </c>
      <c r="D677" s="1">
        <f t="shared" ref="D677" si="904">2-2*F674*C674+4*G674</f>
        <v>0</v>
      </c>
      <c r="E677" s="1">
        <f>0</f>
        <v>0</v>
      </c>
      <c r="F677" s="1">
        <f t="shared" ref="F677" si="905">-2*C674*D674</f>
        <v>-4.3509957203971483</v>
      </c>
      <c r="G677" s="9">
        <f t="shared" ref="G677" si="906">4*D674</f>
        <v>-7.7313595769816494</v>
      </c>
    </row>
    <row r="678" spans="1:9" x14ac:dyDescent="0.25">
      <c r="B678" s="1" t="s">
        <v>20</v>
      </c>
      <c r="C678" s="8">
        <f>0</f>
        <v>0</v>
      </c>
      <c r="D678" s="1">
        <f>0</f>
        <v>0</v>
      </c>
      <c r="E678" s="1">
        <f>4</f>
        <v>4</v>
      </c>
      <c r="F678" s="1">
        <f>2</f>
        <v>2</v>
      </c>
      <c r="G678" s="9">
        <f>2</f>
        <v>2</v>
      </c>
    </row>
    <row r="679" spans="1:9" x14ac:dyDescent="0.25">
      <c r="C679" s="8">
        <f t="shared" ref="C679" si="907">(D674^2)</f>
        <v>3.735870056786617</v>
      </c>
      <c r="D679" s="1">
        <f t="shared" ref="D679" si="908">2*C674*D674</f>
        <v>4.3509957203971483</v>
      </c>
      <c r="E679" s="1">
        <f t="shared" ref="E679:E710" si="909">-2</f>
        <v>-2</v>
      </c>
      <c r="F679" s="1">
        <f>0</f>
        <v>0</v>
      </c>
      <c r="G679" s="9">
        <f>0</f>
        <v>0</v>
      </c>
    </row>
    <row r="680" spans="1:9" x14ac:dyDescent="0.25">
      <c r="C680" s="10">
        <f t="shared" ref="C680" si="910">2*C674</f>
        <v>-2.2510895668861348</v>
      </c>
      <c r="D680" s="11">
        <f t="shared" ref="D680" si="911">-4*D674</f>
        <v>7.7313595769816494</v>
      </c>
      <c r="E680" s="11">
        <f t="shared" si="909"/>
        <v>-2</v>
      </c>
      <c r="F680" s="11">
        <f>0</f>
        <v>0</v>
      </c>
      <c r="G680" s="12">
        <f>0</f>
        <v>0</v>
      </c>
    </row>
    <row r="682" spans="1:9" x14ac:dyDescent="0.25">
      <c r="C682" s="5" cm="1">
        <f t="array" ref="C682:G686">MINVERSE(C676:G680)</f>
        <v>8.0700156546249843E-3</v>
      </c>
      <c r="D682" s="6">
        <v>1.4292798034902623E-2</v>
      </c>
      <c r="E682" s="6">
        <v>4.616821646213741E-2</v>
      </c>
      <c r="F682" s="6">
        <v>0.20495724468206558</v>
      </c>
      <c r="G682" s="7">
        <v>-0.11262081175779078</v>
      </c>
    </row>
    <row r="683" spans="1:9" x14ac:dyDescent="0.25">
      <c r="C683" s="8">
        <v>1.4292798034902625E-2</v>
      </c>
      <c r="D683" s="36">
        <v>2.5313962749184949E-2</v>
      </c>
      <c r="E683" s="36">
        <v>8.1768489897143928E-2</v>
      </c>
      <c r="F683" s="36">
        <v>6.7173463604647099E-2</v>
      </c>
      <c r="G683" s="9">
        <v>9.6363516189640744E-2</v>
      </c>
    </row>
    <row r="684" spans="1:9" x14ac:dyDescent="0.25">
      <c r="B684" s="37" t="s">
        <v>22</v>
      </c>
      <c r="C684" s="8">
        <v>4.616821646213741E-2</v>
      </c>
      <c r="D684" s="36">
        <v>8.1768489897143928E-2</v>
      </c>
      <c r="E684" s="36">
        <v>0.26412640353097638</v>
      </c>
      <c r="F684" s="36">
        <v>2.8982542998645042E-2</v>
      </c>
      <c r="G684" s="9">
        <v>-7.2973593669227454E-4</v>
      </c>
    </row>
    <row r="685" spans="1:9" x14ac:dyDescent="0.25">
      <c r="C685" s="8">
        <v>-0.20495724468206561</v>
      </c>
      <c r="D685" s="36">
        <v>-6.7173463604647099E-2</v>
      </c>
      <c r="E685" s="36">
        <v>-2.8982542998645028E-2</v>
      </c>
      <c r="F685" s="36">
        <v>2.562472663486581E-2</v>
      </c>
      <c r="G685" s="9">
        <v>-8.3589812632155883E-2</v>
      </c>
    </row>
    <row r="686" spans="1:9" x14ac:dyDescent="0.25">
      <c r="C686" s="10">
        <v>0.11262081175779079</v>
      </c>
      <c r="D686" s="11">
        <v>-9.6363516189640758E-2</v>
      </c>
      <c r="E686" s="11">
        <v>7.2973593669226132E-4</v>
      </c>
      <c r="F686" s="11">
        <v>-8.3589812632155897E-2</v>
      </c>
      <c r="G686" s="12">
        <v>8.5049284505540432E-2</v>
      </c>
    </row>
    <row r="687" spans="1:9" x14ac:dyDescent="0.25">
      <c r="B687" s="37" t="s">
        <v>23</v>
      </c>
      <c r="C687" s="1" cm="1">
        <f t="array" ref="C687:G687">-TRANSPOSE(MMULT(C682:G686,TRANSPOSE(C675:G675)))</f>
        <v>0</v>
      </c>
      <c r="D687" s="1">
        <v>0</v>
      </c>
      <c r="E687" s="1">
        <v>0</v>
      </c>
      <c r="F687" s="1">
        <v>0</v>
      </c>
      <c r="G687" s="1">
        <v>0</v>
      </c>
    </row>
    <row r="688" spans="1:9" x14ac:dyDescent="0.25">
      <c r="A688" s="1" t="s">
        <v>4</v>
      </c>
      <c r="B688" s="1" t="s">
        <v>18</v>
      </c>
      <c r="C688" s="1" cm="1">
        <f t="array" ref="C688:G688">C674:G674+C687:G687</f>
        <v>-1.1255447834430674</v>
      </c>
      <c r="D688" s="1">
        <v>-1.9328398942454124</v>
      </c>
      <c r="E688" s="1">
        <v>0.3975554729813337</v>
      </c>
      <c r="F688" s="1">
        <v>-0.67495954138082226</v>
      </c>
      <c r="G688" s="1">
        <v>-0.12015140458184514</v>
      </c>
    </row>
    <row r="689" spans="1:9" x14ac:dyDescent="0.25">
      <c r="A689" s="1">
        <v>50</v>
      </c>
      <c r="B689" s="1" t="s">
        <v>19</v>
      </c>
      <c r="C689" s="1">
        <f t="shared" ref="C689:C720" si="912">2*C688-F688*(D688^2)-2*G688*C688</f>
        <v>0</v>
      </c>
      <c r="D689" s="1">
        <f t="shared" ref="D689:D720" si="913">2*D688-2*F688*C688*D688+4*G688*D688</f>
        <v>0</v>
      </c>
      <c r="E689" s="1">
        <f t="shared" ref="E689:E720" si="914">4*E688+2*F688+2*G688</f>
        <v>0</v>
      </c>
      <c r="F689" s="1">
        <f t="shared" ref="F689:F720" si="915">C688*(D688^2)-2*E688+5</f>
        <v>0</v>
      </c>
      <c r="G689" s="1">
        <f t="shared" ref="G689:G720" si="916">C688^2-2*(D688^2)-2*E688+7</f>
        <v>0</v>
      </c>
      <c r="I689" s="1">
        <f t="shared" ref="I689:I720" si="917">MAX(ABS(C689),ABS(D689),ABS(E689),ABS(F689),ABS(G689))</f>
        <v>0</v>
      </c>
    </row>
    <row r="690" spans="1:9" x14ac:dyDescent="0.25">
      <c r="C690" s="5">
        <f t="shared" ref="C690" si="918">2-2*G688</f>
        <v>2.2403028091636905</v>
      </c>
      <c r="D690" s="6">
        <f t="shared" ref="D690" si="919">-2*F688*D688</f>
        <v>-2.6091774571648809</v>
      </c>
      <c r="E690" s="6">
        <f>0</f>
        <v>0</v>
      </c>
      <c r="F690" s="6">
        <f t="shared" ref="F690" si="920">-(D688^2)</f>
        <v>-3.735870056786617</v>
      </c>
      <c r="G690" s="7">
        <f t="shared" ref="G690" si="921">-2*C688</f>
        <v>2.2510895668861348</v>
      </c>
    </row>
    <row r="691" spans="1:9" x14ac:dyDescent="0.25">
      <c r="C691" s="8">
        <f t="shared" ref="C691" si="922">-2*F688*D688</f>
        <v>-2.6091774571648809</v>
      </c>
      <c r="D691" s="1">
        <f t="shared" ref="D691" si="923">2-2*F688*C688+4*G688</f>
        <v>0</v>
      </c>
      <c r="E691" s="1">
        <f>0</f>
        <v>0</v>
      </c>
      <c r="F691" s="1">
        <f t="shared" ref="F691" si="924">-2*C688*D688</f>
        <v>-4.3509957203971483</v>
      </c>
      <c r="G691" s="9">
        <f t="shared" ref="G691" si="925">4*D688</f>
        <v>-7.7313595769816494</v>
      </c>
    </row>
    <row r="692" spans="1:9" x14ac:dyDescent="0.25">
      <c r="B692" s="1" t="s">
        <v>20</v>
      </c>
      <c r="C692" s="8">
        <f>0</f>
        <v>0</v>
      </c>
      <c r="D692" s="1">
        <f>0</f>
        <v>0</v>
      </c>
      <c r="E692" s="1">
        <f>4</f>
        <v>4</v>
      </c>
      <c r="F692" s="1">
        <f>2</f>
        <v>2</v>
      </c>
      <c r="G692" s="9">
        <f>2</f>
        <v>2</v>
      </c>
    </row>
    <row r="693" spans="1:9" x14ac:dyDescent="0.25">
      <c r="C693" s="8">
        <f t="shared" ref="C693" si="926">(D688^2)</f>
        <v>3.735870056786617</v>
      </c>
      <c r="D693" s="1">
        <f t="shared" ref="D693" si="927">2*C688*D688</f>
        <v>4.3509957203971483</v>
      </c>
      <c r="E693" s="1">
        <f t="shared" ref="E693:E724" si="928">-2</f>
        <v>-2</v>
      </c>
      <c r="F693" s="1">
        <f>0</f>
        <v>0</v>
      </c>
      <c r="G693" s="9">
        <f>0</f>
        <v>0</v>
      </c>
    </row>
    <row r="694" spans="1:9" x14ac:dyDescent="0.25">
      <c r="C694" s="10">
        <f t="shared" ref="C694" si="929">2*C688</f>
        <v>-2.2510895668861348</v>
      </c>
      <c r="D694" s="11">
        <f t="shared" ref="D694" si="930">-4*D688</f>
        <v>7.7313595769816494</v>
      </c>
      <c r="E694" s="11">
        <f t="shared" si="928"/>
        <v>-2</v>
      </c>
      <c r="F694" s="11">
        <f>0</f>
        <v>0</v>
      </c>
      <c r="G694" s="12">
        <f>0</f>
        <v>0</v>
      </c>
    </row>
    <row r="696" spans="1:9" x14ac:dyDescent="0.25">
      <c r="C696" s="5" cm="1">
        <f t="array" ref="C696:G700">MINVERSE(C690:G694)</f>
        <v>8.0700156546249843E-3</v>
      </c>
      <c r="D696" s="6">
        <v>1.4292798034902623E-2</v>
      </c>
      <c r="E696" s="6">
        <v>4.616821646213741E-2</v>
      </c>
      <c r="F696" s="6">
        <v>0.20495724468206558</v>
      </c>
      <c r="G696" s="7">
        <v>-0.11262081175779078</v>
      </c>
    </row>
    <row r="697" spans="1:9" x14ac:dyDescent="0.25">
      <c r="C697" s="8">
        <v>1.4292798034902625E-2</v>
      </c>
      <c r="D697" s="36">
        <v>2.5313962749184949E-2</v>
      </c>
      <c r="E697" s="36">
        <v>8.1768489897143928E-2</v>
      </c>
      <c r="F697" s="36">
        <v>6.7173463604647099E-2</v>
      </c>
      <c r="G697" s="9">
        <v>9.6363516189640744E-2</v>
      </c>
    </row>
    <row r="698" spans="1:9" x14ac:dyDescent="0.25">
      <c r="B698" s="37" t="s">
        <v>22</v>
      </c>
      <c r="C698" s="8">
        <v>4.616821646213741E-2</v>
      </c>
      <c r="D698" s="36">
        <v>8.1768489897143928E-2</v>
      </c>
      <c r="E698" s="36">
        <v>0.26412640353097638</v>
      </c>
      <c r="F698" s="36">
        <v>2.8982542998645042E-2</v>
      </c>
      <c r="G698" s="9">
        <v>-7.2973593669227454E-4</v>
      </c>
    </row>
    <row r="699" spans="1:9" x14ac:dyDescent="0.25">
      <c r="C699" s="8">
        <v>-0.20495724468206561</v>
      </c>
      <c r="D699" s="36">
        <v>-6.7173463604647099E-2</v>
      </c>
      <c r="E699" s="36">
        <v>-2.8982542998645028E-2</v>
      </c>
      <c r="F699" s="36">
        <v>2.562472663486581E-2</v>
      </c>
      <c r="G699" s="9">
        <v>-8.3589812632155883E-2</v>
      </c>
    </row>
    <row r="700" spans="1:9" x14ac:dyDescent="0.25">
      <c r="C700" s="10">
        <v>0.11262081175779079</v>
      </c>
      <c r="D700" s="11">
        <v>-9.6363516189640758E-2</v>
      </c>
      <c r="E700" s="11">
        <v>7.2973593669226132E-4</v>
      </c>
      <c r="F700" s="11">
        <v>-8.3589812632155897E-2</v>
      </c>
      <c r="G700" s="12">
        <v>8.5049284505540432E-2</v>
      </c>
    </row>
    <row r="701" spans="1:9" x14ac:dyDescent="0.25">
      <c r="B701" s="37" t="s">
        <v>23</v>
      </c>
      <c r="C701" s="1" cm="1">
        <f t="array" ref="C701:G701">-TRANSPOSE(MMULT(C696:G700,TRANSPOSE(C689:G689)))</f>
        <v>0</v>
      </c>
      <c r="D701" s="1">
        <v>0</v>
      </c>
      <c r="E701" s="1">
        <v>0</v>
      </c>
      <c r="F701" s="1">
        <v>0</v>
      </c>
      <c r="G701" s="1">
        <v>0</v>
      </c>
    </row>
    <row r="702" spans="1:9" x14ac:dyDescent="0.25">
      <c r="A702" s="1" t="s">
        <v>4</v>
      </c>
      <c r="B702" s="1" t="s">
        <v>18</v>
      </c>
      <c r="C702" s="1" cm="1">
        <f t="array" ref="C702:G702">C688:G688+C701:G701</f>
        <v>-1.1255447834430674</v>
      </c>
      <c r="D702" s="1">
        <v>-1.9328398942454124</v>
      </c>
      <c r="E702" s="1">
        <v>0.3975554729813337</v>
      </c>
      <c r="F702" s="1">
        <v>-0.67495954138082226</v>
      </c>
      <c r="G702" s="1">
        <v>-0.12015140458184514</v>
      </c>
    </row>
    <row r="703" spans="1:9" x14ac:dyDescent="0.25">
      <c r="A703" s="1">
        <v>51</v>
      </c>
      <c r="B703" s="1" t="s">
        <v>19</v>
      </c>
      <c r="C703" s="1">
        <f t="shared" ref="C703:C734" si="931">2*C702-F702*(D702^2)-2*G702*C702</f>
        <v>0</v>
      </c>
      <c r="D703" s="1">
        <f t="shared" ref="D703:D734" si="932">2*D702-2*F702*C702*D702+4*G702*D702</f>
        <v>0</v>
      </c>
      <c r="E703" s="1">
        <f t="shared" ref="E703:E734" si="933">4*E702+2*F702+2*G702</f>
        <v>0</v>
      </c>
      <c r="F703" s="1">
        <f t="shared" ref="F703:F734" si="934">C702*(D702^2)-2*E702+5</f>
        <v>0</v>
      </c>
      <c r="G703" s="1">
        <f t="shared" ref="G703:G734" si="935">C702^2-2*(D702^2)-2*E702+7</f>
        <v>0</v>
      </c>
      <c r="I703" s="1">
        <f t="shared" ref="I703:I734" si="936">MAX(ABS(C703),ABS(D703),ABS(E703),ABS(F703),ABS(G703))</f>
        <v>0</v>
      </c>
    </row>
    <row r="704" spans="1:9" x14ac:dyDescent="0.25">
      <c r="C704" s="5">
        <f t="shared" ref="C704" si="937">2-2*G702</f>
        <v>2.2403028091636905</v>
      </c>
      <c r="D704" s="6">
        <f t="shared" ref="D704" si="938">-2*F702*D702</f>
        <v>-2.6091774571648809</v>
      </c>
      <c r="E704" s="6">
        <f>0</f>
        <v>0</v>
      </c>
      <c r="F704" s="6">
        <f t="shared" ref="F704" si="939">-(D702^2)</f>
        <v>-3.735870056786617</v>
      </c>
      <c r="G704" s="7">
        <f t="shared" ref="G704" si="940">-2*C702</f>
        <v>2.2510895668861348</v>
      </c>
    </row>
    <row r="705" spans="1:9" x14ac:dyDescent="0.25">
      <c r="C705" s="8">
        <f t="shared" ref="C705" si="941">-2*F702*D702</f>
        <v>-2.6091774571648809</v>
      </c>
      <c r="D705" s="1">
        <f t="shared" ref="D705" si="942">2-2*F702*C702+4*G702</f>
        <v>0</v>
      </c>
      <c r="E705" s="1">
        <f>0</f>
        <v>0</v>
      </c>
      <c r="F705" s="1">
        <f t="shared" ref="F705" si="943">-2*C702*D702</f>
        <v>-4.3509957203971483</v>
      </c>
      <c r="G705" s="9">
        <f t="shared" ref="G705" si="944">4*D702</f>
        <v>-7.7313595769816494</v>
      </c>
    </row>
    <row r="706" spans="1:9" x14ac:dyDescent="0.25">
      <c r="B706" s="1" t="s">
        <v>20</v>
      </c>
      <c r="C706" s="8">
        <f>0</f>
        <v>0</v>
      </c>
      <c r="D706" s="1">
        <f>0</f>
        <v>0</v>
      </c>
      <c r="E706" s="1">
        <f>4</f>
        <v>4</v>
      </c>
      <c r="F706" s="1">
        <f>2</f>
        <v>2</v>
      </c>
      <c r="G706" s="9">
        <f>2</f>
        <v>2</v>
      </c>
    </row>
    <row r="707" spans="1:9" x14ac:dyDescent="0.25">
      <c r="C707" s="8">
        <f t="shared" ref="C707" si="945">(D702^2)</f>
        <v>3.735870056786617</v>
      </c>
      <c r="D707" s="1">
        <f t="shared" ref="D707" si="946">2*C702*D702</f>
        <v>4.3509957203971483</v>
      </c>
      <c r="E707" s="1">
        <f t="shared" ref="E707:E738" si="947">-2</f>
        <v>-2</v>
      </c>
      <c r="F707" s="1">
        <f>0</f>
        <v>0</v>
      </c>
      <c r="G707" s="9">
        <f>0</f>
        <v>0</v>
      </c>
    </row>
    <row r="708" spans="1:9" x14ac:dyDescent="0.25">
      <c r="C708" s="10">
        <f t="shared" ref="C708" si="948">2*C702</f>
        <v>-2.2510895668861348</v>
      </c>
      <c r="D708" s="11">
        <f t="shared" ref="D708" si="949">-4*D702</f>
        <v>7.7313595769816494</v>
      </c>
      <c r="E708" s="11">
        <f t="shared" si="947"/>
        <v>-2</v>
      </c>
      <c r="F708" s="11">
        <f>0</f>
        <v>0</v>
      </c>
      <c r="G708" s="12">
        <f>0</f>
        <v>0</v>
      </c>
    </row>
    <row r="710" spans="1:9" x14ac:dyDescent="0.25">
      <c r="C710" s="5" cm="1">
        <f t="array" ref="C710:G714">MINVERSE(C704:G708)</f>
        <v>8.0700156546249843E-3</v>
      </c>
      <c r="D710" s="6">
        <v>1.4292798034902623E-2</v>
      </c>
      <c r="E710" s="6">
        <v>4.616821646213741E-2</v>
      </c>
      <c r="F710" s="6">
        <v>0.20495724468206558</v>
      </c>
      <c r="G710" s="7">
        <v>-0.11262081175779078</v>
      </c>
    </row>
    <row r="711" spans="1:9" x14ac:dyDescent="0.25">
      <c r="C711" s="8">
        <v>1.4292798034902625E-2</v>
      </c>
      <c r="D711" s="36">
        <v>2.5313962749184949E-2</v>
      </c>
      <c r="E711" s="36">
        <v>8.1768489897143928E-2</v>
      </c>
      <c r="F711" s="36">
        <v>6.7173463604647099E-2</v>
      </c>
      <c r="G711" s="9">
        <v>9.6363516189640744E-2</v>
      </c>
    </row>
    <row r="712" spans="1:9" x14ac:dyDescent="0.25">
      <c r="B712" s="37" t="s">
        <v>22</v>
      </c>
      <c r="C712" s="8">
        <v>4.616821646213741E-2</v>
      </c>
      <c r="D712" s="36">
        <v>8.1768489897143928E-2</v>
      </c>
      <c r="E712" s="36">
        <v>0.26412640353097638</v>
      </c>
      <c r="F712" s="36">
        <v>2.8982542998645042E-2</v>
      </c>
      <c r="G712" s="9">
        <v>-7.2973593669227454E-4</v>
      </c>
    </row>
    <row r="713" spans="1:9" x14ac:dyDescent="0.25">
      <c r="C713" s="8">
        <v>-0.20495724468206561</v>
      </c>
      <c r="D713" s="36">
        <v>-6.7173463604647099E-2</v>
      </c>
      <c r="E713" s="36">
        <v>-2.8982542998645028E-2</v>
      </c>
      <c r="F713" s="36">
        <v>2.562472663486581E-2</v>
      </c>
      <c r="G713" s="9">
        <v>-8.3589812632155883E-2</v>
      </c>
    </row>
    <row r="714" spans="1:9" x14ac:dyDescent="0.25">
      <c r="C714" s="10">
        <v>0.11262081175779079</v>
      </c>
      <c r="D714" s="11">
        <v>-9.6363516189640758E-2</v>
      </c>
      <c r="E714" s="11">
        <v>7.2973593669226132E-4</v>
      </c>
      <c r="F714" s="11">
        <v>-8.3589812632155897E-2</v>
      </c>
      <c r="G714" s="12">
        <v>8.5049284505540432E-2</v>
      </c>
    </row>
    <row r="715" spans="1:9" x14ac:dyDescent="0.25">
      <c r="B715" s="37" t="s">
        <v>23</v>
      </c>
      <c r="C715" s="1" cm="1">
        <f t="array" ref="C715:G715">-TRANSPOSE(MMULT(C710:G714,TRANSPOSE(C703:G703)))</f>
        <v>0</v>
      </c>
      <c r="D715" s="1">
        <v>0</v>
      </c>
      <c r="E715" s="1">
        <v>0</v>
      </c>
      <c r="F715" s="1">
        <v>0</v>
      </c>
      <c r="G715" s="1">
        <v>0</v>
      </c>
    </row>
    <row r="716" spans="1:9" x14ac:dyDescent="0.25">
      <c r="A716" s="1" t="s">
        <v>4</v>
      </c>
      <c r="B716" s="1" t="s">
        <v>18</v>
      </c>
      <c r="C716" s="1" cm="1">
        <f t="array" ref="C716:G716">C702:G702+C715:G715</f>
        <v>-1.1255447834430674</v>
      </c>
      <c r="D716" s="1">
        <v>-1.9328398942454124</v>
      </c>
      <c r="E716" s="1">
        <v>0.3975554729813337</v>
      </c>
      <c r="F716" s="1">
        <v>-0.67495954138082226</v>
      </c>
      <c r="G716" s="1">
        <v>-0.12015140458184514</v>
      </c>
    </row>
    <row r="717" spans="1:9" x14ac:dyDescent="0.25">
      <c r="A717" s="1">
        <v>52</v>
      </c>
      <c r="B717" s="1" t="s">
        <v>19</v>
      </c>
      <c r="C717" s="1">
        <f t="shared" ref="C717:C748" si="950">2*C716-F716*(D716^2)-2*G716*C716</f>
        <v>0</v>
      </c>
      <c r="D717" s="1">
        <f t="shared" ref="D717:D748" si="951">2*D716-2*F716*C716*D716+4*G716*D716</f>
        <v>0</v>
      </c>
      <c r="E717" s="1">
        <f t="shared" ref="E717:E748" si="952">4*E716+2*F716+2*G716</f>
        <v>0</v>
      </c>
      <c r="F717" s="1">
        <f t="shared" ref="F717:F748" si="953">C716*(D716^2)-2*E716+5</f>
        <v>0</v>
      </c>
      <c r="G717" s="1">
        <f t="shared" ref="G717:G748" si="954">C716^2-2*(D716^2)-2*E716+7</f>
        <v>0</v>
      </c>
      <c r="I717" s="1">
        <f t="shared" ref="I717:I748" si="955">MAX(ABS(C717),ABS(D717),ABS(E717),ABS(F717),ABS(G717))</f>
        <v>0</v>
      </c>
    </row>
    <row r="718" spans="1:9" x14ac:dyDescent="0.25">
      <c r="C718" s="5">
        <f t="shared" ref="C718" si="956">2-2*G716</f>
        <v>2.2403028091636905</v>
      </c>
      <c r="D718" s="6">
        <f t="shared" ref="D718" si="957">-2*F716*D716</f>
        <v>-2.6091774571648809</v>
      </c>
      <c r="E718" s="6">
        <f>0</f>
        <v>0</v>
      </c>
      <c r="F718" s="6">
        <f t="shared" ref="F718" si="958">-(D716^2)</f>
        <v>-3.735870056786617</v>
      </c>
      <c r="G718" s="7">
        <f t="shared" ref="G718" si="959">-2*C716</f>
        <v>2.2510895668861348</v>
      </c>
    </row>
    <row r="719" spans="1:9" x14ac:dyDescent="0.25">
      <c r="C719" s="8">
        <f t="shared" ref="C719" si="960">-2*F716*D716</f>
        <v>-2.6091774571648809</v>
      </c>
      <c r="D719" s="1">
        <f t="shared" ref="D719" si="961">2-2*F716*C716+4*G716</f>
        <v>0</v>
      </c>
      <c r="E719" s="1">
        <f>0</f>
        <v>0</v>
      </c>
      <c r="F719" s="1">
        <f t="shared" ref="F719" si="962">-2*C716*D716</f>
        <v>-4.3509957203971483</v>
      </c>
      <c r="G719" s="9">
        <f t="shared" ref="G719" si="963">4*D716</f>
        <v>-7.7313595769816494</v>
      </c>
    </row>
    <row r="720" spans="1:9" x14ac:dyDescent="0.25">
      <c r="B720" s="1" t="s">
        <v>20</v>
      </c>
      <c r="C720" s="8">
        <f>0</f>
        <v>0</v>
      </c>
      <c r="D720" s="1">
        <f>0</f>
        <v>0</v>
      </c>
      <c r="E720" s="1">
        <f>4</f>
        <v>4</v>
      </c>
      <c r="F720" s="1">
        <f>2</f>
        <v>2</v>
      </c>
      <c r="G720" s="9">
        <f>2</f>
        <v>2</v>
      </c>
    </row>
    <row r="721" spans="1:9" x14ac:dyDescent="0.25">
      <c r="C721" s="8">
        <f t="shared" ref="C721" si="964">(D716^2)</f>
        <v>3.735870056786617</v>
      </c>
      <c r="D721" s="1">
        <f t="shared" ref="D721" si="965">2*C716*D716</f>
        <v>4.3509957203971483</v>
      </c>
      <c r="E721" s="1">
        <f t="shared" ref="E721:E752" si="966">-2</f>
        <v>-2</v>
      </c>
      <c r="F721" s="1">
        <f>0</f>
        <v>0</v>
      </c>
      <c r="G721" s="9">
        <f>0</f>
        <v>0</v>
      </c>
    </row>
    <row r="722" spans="1:9" x14ac:dyDescent="0.25">
      <c r="C722" s="10">
        <f t="shared" ref="C722" si="967">2*C716</f>
        <v>-2.2510895668861348</v>
      </c>
      <c r="D722" s="11">
        <f t="shared" ref="D722" si="968">-4*D716</f>
        <v>7.7313595769816494</v>
      </c>
      <c r="E722" s="11">
        <f t="shared" si="966"/>
        <v>-2</v>
      </c>
      <c r="F722" s="11">
        <f>0</f>
        <v>0</v>
      </c>
      <c r="G722" s="12">
        <f>0</f>
        <v>0</v>
      </c>
    </row>
    <row r="724" spans="1:9" x14ac:dyDescent="0.25">
      <c r="C724" s="5" cm="1">
        <f t="array" ref="C724:G728">MINVERSE(C718:G722)</f>
        <v>8.0700156546249843E-3</v>
      </c>
      <c r="D724" s="6">
        <v>1.4292798034902623E-2</v>
      </c>
      <c r="E724" s="6">
        <v>4.616821646213741E-2</v>
      </c>
      <c r="F724" s="6">
        <v>0.20495724468206558</v>
      </c>
      <c r="G724" s="7">
        <v>-0.11262081175779078</v>
      </c>
    </row>
    <row r="725" spans="1:9" x14ac:dyDescent="0.25">
      <c r="C725" s="8">
        <v>1.4292798034902625E-2</v>
      </c>
      <c r="D725" s="36">
        <v>2.5313962749184949E-2</v>
      </c>
      <c r="E725" s="36">
        <v>8.1768489897143928E-2</v>
      </c>
      <c r="F725" s="36">
        <v>6.7173463604647099E-2</v>
      </c>
      <c r="G725" s="9">
        <v>9.6363516189640744E-2</v>
      </c>
    </row>
    <row r="726" spans="1:9" x14ac:dyDescent="0.25">
      <c r="B726" s="37" t="s">
        <v>22</v>
      </c>
      <c r="C726" s="8">
        <v>4.616821646213741E-2</v>
      </c>
      <c r="D726" s="36">
        <v>8.1768489897143928E-2</v>
      </c>
      <c r="E726" s="36">
        <v>0.26412640353097638</v>
      </c>
      <c r="F726" s="36">
        <v>2.8982542998645042E-2</v>
      </c>
      <c r="G726" s="9">
        <v>-7.2973593669227454E-4</v>
      </c>
    </row>
    <row r="727" spans="1:9" x14ac:dyDescent="0.25">
      <c r="C727" s="8">
        <v>-0.20495724468206561</v>
      </c>
      <c r="D727" s="36">
        <v>-6.7173463604647099E-2</v>
      </c>
      <c r="E727" s="36">
        <v>-2.8982542998645028E-2</v>
      </c>
      <c r="F727" s="36">
        <v>2.562472663486581E-2</v>
      </c>
      <c r="G727" s="9">
        <v>-8.3589812632155883E-2</v>
      </c>
    </row>
    <row r="728" spans="1:9" x14ac:dyDescent="0.25">
      <c r="C728" s="10">
        <v>0.11262081175779079</v>
      </c>
      <c r="D728" s="11">
        <v>-9.6363516189640758E-2</v>
      </c>
      <c r="E728" s="11">
        <v>7.2973593669226132E-4</v>
      </c>
      <c r="F728" s="11">
        <v>-8.3589812632155897E-2</v>
      </c>
      <c r="G728" s="12">
        <v>8.5049284505540432E-2</v>
      </c>
    </row>
    <row r="729" spans="1:9" x14ac:dyDescent="0.25">
      <c r="B729" s="37" t="s">
        <v>23</v>
      </c>
      <c r="C729" s="1" cm="1">
        <f t="array" ref="C729:G729">-TRANSPOSE(MMULT(C724:G728,TRANSPOSE(C717:G717)))</f>
        <v>0</v>
      </c>
      <c r="D729" s="1">
        <v>0</v>
      </c>
      <c r="E729" s="1">
        <v>0</v>
      </c>
      <c r="F729" s="1">
        <v>0</v>
      </c>
      <c r="G729" s="1">
        <v>0</v>
      </c>
    </row>
    <row r="730" spans="1:9" x14ac:dyDescent="0.25">
      <c r="A730" s="1" t="s">
        <v>4</v>
      </c>
      <c r="B730" s="1" t="s">
        <v>18</v>
      </c>
      <c r="C730" s="1" cm="1">
        <f t="array" ref="C730:G730">C716:G716+C729:G729</f>
        <v>-1.1255447834430674</v>
      </c>
      <c r="D730" s="1">
        <v>-1.9328398942454124</v>
      </c>
      <c r="E730" s="1">
        <v>0.3975554729813337</v>
      </c>
      <c r="F730" s="1">
        <v>-0.67495954138082226</v>
      </c>
      <c r="G730" s="1">
        <v>-0.12015140458184514</v>
      </c>
    </row>
    <row r="731" spans="1:9" x14ac:dyDescent="0.25">
      <c r="A731" s="1">
        <v>53</v>
      </c>
      <c r="B731" s="1" t="s">
        <v>19</v>
      </c>
      <c r="C731" s="1">
        <f t="shared" ref="C731:C762" si="969">2*C730-F730*(D730^2)-2*G730*C730</f>
        <v>0</v>
      </c>
      <c r="D731" s="1">
        <f t="shared" ref="D731:D762" si="970">2*D730-2*F730*C730*D730+4*G730*D730</f>
        <v>0</v>
      </c>
      <c r="E731" s="1">
        <f t="shared" ref="E731:E762" si="971">4*E730+2*F730+2*G730</f>
        <v>0</v>
      </c>
      <c r="F731" s="1">
        <f t="shared" ref="F731:F762" si="972">C730*(D730^2)-2*E730+5</f>
        <v>0</v>
      </c>
      <c r="G731" s="1">
        <f t="shared" ref="G731:G762" si="973">C730^2-2*(D730^2)-2*E730+7</f>
        <v>0</v>
      </c>
      <c r="I731" s="1">
        <f t="shared" ref="I731:I762" si="974">MAX(ABS(C731),ABS(D731),ABS(E731),ABS(F731),ABS(G731))</f>
        <v>0</v>
      </c>
    </row>
    <row r="732" spans="1:9" x14ac:dyDescent="0.25">
      <c r="C732" s="5">
        <f t="shared" ref="C732" si="975">2-2*G730</f>
        <v>2.2403028091636905</v>
      </c>
      <c r="D732" s="6">
        <f t="shared" ref="D732" si="976">-2*F730*D730</f>
        <v>-2.6091774571648809</v>
      </c>
      <c r="E732" s="6">
        <f>0</f>
        <v>0</v>
      </c>
      <c r="F732" s="6">
        <f t="shared" ref="F732" si="977">-(D730^2)</f>
        <v>-3.735870056786617</v>
      </c>
      <c r="G732" s="7">
        <f t="shared" ref="G732" si="978">-2*C730</f>
        <v>2.2510895668861348</v>
      </c>
    </row>
    <row r="733" spans="1:9" x14ac:dyDescent="0.25">
      <c r="C733" s="8">
        <f t="shared" ref="C733" si="979">-2*F730*D730</f>
        <v>-2.6091774571648809</v>
      </c>
      <c r="D733" s="1">
        <f t="shared" ref="D733" si="980">2-2*F730*C730+4*G730</f>
        <v>0</v>
      </c>
      <c r="E733" s="1">
        <f>0</f>
        <v>0</v>
      </c>
      <c r="F733" s="1">
        <f t="shared" ref="F733" si="981">-2*C730*D730</f>
        <v>-4.3509957203971483</v>
      </c>
      <c r="G733" s="9">
        <f t="shared" ref="G733" si="982">4*D730</f>
        <v>-7.7313595769816494</v>
      </c>
    </row>
    <row r="734" spans="1:9" x14ac:dyDescent="0.25">
      <c r="B734" s="1" t="s">
        <v>20</v>
      </c>
      <c r="C734" s="8">
        <f>0</f>
        <v>0</v>
      </c>
      <c r="D734" s="1">
        <f>0</f>
        <v>0</v>
      </c>
      <c r="E734" s="1">
        <f>4</f>
        <v>4</v>
      </c>
      <c r="F734" s="1">
        <f>2</f>
        <v>2</v>
      </c>
      <c r="G734" s="9">
        <f>2</f>
        <v>2</v>
      </c>
    </row>
    <row r="735" spans="1:9" x14ac:dyDescent="0.25">
      <c r="C735" s="8">
        <f t="shared" ref="C735" si="983">(D730^2)</f>
        <v>3.735870056786617</v>
      </c>
      <c r="D735" s="1">
        <f t="shared" ref="D735" si="984">2*C730*D730</f>
        <v>4.3509957203971483</v>
      </c>
      <c r="E735" s="1">
        <f t="shared" ref="E735:E766" si="985">-2</f>
        <v>-2</v>
      </c>
      <c r="F735" s="1">
        <f>0</f>
        <v>0</v>
      </c>
      <c r="G735" s="9">
        <f>0</f>
        <v>0</v>
      </c>
    </row>
    <row r="736" spans="1:9" x14ac:dyDescent="0.25">
      <c r="C736" s="10">
        <f t="shared" ref="C736" si="986">2*C730</f>
        <v>-2.2510895668861348</v>
      </c>
      <c r="D736" s="11">
        <f t="shared" ref="D736" si="987">-4*D730</f>
        <v>7.7313595769816494</v>
      </c>
      <c r="E736" s="11">
        <f t="shared" si="985"/>
        <v>-2</v>
      </c>
      <c r="F736" s="11">
        <f>0</f>
        <v>0</v>
      </c>
      <c r="G736" s="12">
        <f>0</f>
        <v>0</v>
      </c>
    </row>
    <row r="738" spans="1:9" x14ac:dyDescent="0.25">
      <c r="C738" s="5" cm="1">
        <f t="array" ref="C738:G742">MINVERSE(C732:G736)</f>
        <v>8.0700156546249843E-3</v>
      </c>
      <c r="D738" s="6">
        <v>1.4292798034902623E-2</v>
      </c>
      <c r="E738" s="6">
        <v>4.616821646213741E-2</v>
      </c>
      <c r="F738" s="6">
        <v>0.20495724468206558</v>
      </c>
      <c r="G738" s="7">
        <v>-0.11262081175779078</v>
      </c>
    </row>
    <row r="739" spans="1:9" x14ac:dyDescent="0.25">
      <c r="C739" s="8">
        <v>1.4292798034902625E-2</v>
      </c>
      <c r="D739" s="36">
        <v>2.5313962749184949E-2</v>
      </c>
      <c r="E739" s="36">
        <v>8.1768489897143928E-2</v>
      </c>
      <c r="F739" s="36">
        <v>6.7173463604647099E-2</v>
      </c>
      <c r="G739" s="9">
        <v>9.6363516189640744E-2</v>
      </c>
    </row>
    <row r="740" spans="1:9" x14ac:dyDescent="0.25">
      <c r="B740" s="37" t="s">
        <v>22</v>
      </c>
      <c r="C740" s="8">
        <v>4.616821646213741E-2</v>
      </c>
      <c r="D740" s="36">
        <v>8.1768489897143928E-2</v>
      </c>
      <c r="E740" s="36">
        <v>0.26412640353097638</v>
      </c>
      <c r="F740" s="36">
        <v>2.8982542998645042E-2</v>
      </c>
      <c r="G740" s="9">
        <v>-7.2973593669227454E-4</v>
      </c>
    </row>
    <row r="741" spans="1:9" x14ac:dyDescent="0.25">
      <c r="C741" s="8">
        <v>-0.20495724468206561</v>
      </c>
      <c r="D741" s="36">
        <v>-6.7173463604647099E-2</v>
      </c>
      <c r="E741" s="36">
        <v>-2.8982542998645028E-2</v>
      </c>
      <c r="F741" s="36">
        <v>2.562472663486581E-2</v>
      </c>
      <c r="G741" s="9">
        <v>-8.3589812632155883E-2</v>
      </c>
    </row>
    <row r="742" spans="1:9" x14ac:dyDescent="0.25">
      <c r="C742" s="10">
        <v>0.11262081175779079</v>
      </c>
      <c r="D742" s="11">
        <v>-9.6363516189640758E-2</v>
      </c>
      <c r="E742" s="11">
        <v>7.2973593669226132E-4</v>
      </c>
      <c r="F742" s="11">
        <v>-8.3589812632155897E-2</v>
      </c>
      <c r="G742" s="12">
        <v>8.5049284505540432E-2</v>
      </c>
    </row>
    <row r="743" spans="1:9" x14ac:dyDescent="0.25">
      <c r="B743" s="37" t="s">
        <v>23</v>
      </c>
      <c r="C743" s="1" cm="1">
        <f t="array" ref="C743:G743">-TRANSPOSE(MMULT(C738:G742,TRANSPOSE(C731:G731)))</f>
        <v>0</v>
      </c>
      <c r="D743" s="1">
        <v>0</v>
      </c>
      <c r="E743" s="1">
        <v>0</v>
      </c>
      <c r="F743" s="1">
        <v>0</v>
      </c>
      <c r="G743" s="1">
        <v>0</v>
      </c>
    </row>
    <row r="744" spans="1:9" x14ac:dyDescent="0.25">
      <c r="A744" s="1" t="s">
        <v>4</v>
      </c>
      <c r="B744" s="1" t="s">
        <v>18</v>
      </c>
      <c r="C744" s="1" cm="1">
        <f t="array" ref="C744:G744">C730:G730+C743:G743</f>
        <v>-1.1255447834430674</v>
      </c>
      <c r="D744" s="1">
        <v>-1.9328398942454124</v>
      </c>
      <c r="E744" s="1">
        <v>0.3975554729813337</v>
      </c>
      <c r="F744" s="1">
        <v>-0.67495954138082226</v>
      </c>
      <c r="G744" s="1">
        <v>-0.12015140458184514</v>
      </c>
    </row>
    <row r="745" spans="1:9" x14ac:dyDescent="0.25">
      <c r="A745" s="1">
        <v>54</v>
      </c>
      <c r="B745" s="1" t="s">
        <v>19</v>
      </c>
      <c r="C745" s="1">
        <f t="shared" ref="C745:C776" si="988">2*C744-F744*(D744^2)-2*G744*C744</f>
        <v>0</v>
      </c>
      <c r="D745" s="1">
        <f t="shared" ref="D745:D776" si="989">2*D744-2*F744*C744*D744+4*G744*D744</f>
        <v>0</v>
      </c>
      <c r="E745" s="1">
        <f t="shared" ref="E745:E776" si="990">4*E744+2*F744+2*G744</f>
        <v>0</v>
      </c>
      <c r="F745" s="1">
        <f t="shared" ref="F745:F776" si="991">C744*(D744^2)-2*E744+5</f>
        <v>0</v>
      </c>
      <c r="G745" s="1">
        <f t="shared" ref="G745:G776" si="992">C744^2-2*(D744^2)-2*E744+7</f>
        <v>0</v>
      </c>
      <c r="I745" s="1">
        <f t="shared" ref="I745:I776" si="993">MAX(ABS(C745),ABS(D745),ABS(E745),ABS(F745),ABS(G745))</f>
        <v>0</v>
      </c>
    </row>
    <row r="746" spans="1:9" x14ac:dyDescent="0.25">
      <c r="C746" s="5">
        <f t="shared" ref="C746" si="994">2-2*G744</f>
        <v>2.2403028091636905</v>
      </c>
      <c r="D746" s="6">
        <f t="shared" ref="D746" si="995">-2*F744*D744</f>
        <v>-2.6091774571648809</v>
      </c>
      <c r="E746" s="6">
        <f>0</f>
        <v>0</v>
      </c>
      <c r="F746" s="6">
        <f t="shared" ref="F746" si="996">-(D744^2)</f>
        <v>-3.735870056786617</v>
      </c>
      <c r="G746" s="7">
        <f t="shared" ref="G746" si="997">-2*C744</f>
        <v>2.2510895668861348</v>
      </c>
    </row>
    <row r="747" spans="1:9" x14ac:dyDescent="0.25">
      <c r="C747" s="8">
        <f t="shared" ref="C747" si="998">-2*F744*D744</f>
        <v>-2.6091774571648809</v>
      </c>
      <c r="D747" s="1">
        <f t="shared" ref="D747" si="999">2-2*F744*C744+4*G744</f>
        <v>0</v>
      </c>
      <c r="E747" s="1">
        <f>0</f>
        <v>0</v>
      </c>
      <c r="F747" s="1">
        <f t="shared" ref="F747" si="1000">-2*C744*D744</f>
        <v>-4.3509957203971483</v>
      </c>
      <c r="G747" s="9">
        <f t="shared" ref="G747" si="1001">4*D744</f>
        <v>-7.7313595769816494</v>
      </c>
    </row>
    <row r="748" spans="1:9" x14ac:dyDescent="0.25">
      <c r="B748" s="1" t="s">
        <v>20</v>
      </c>
      <c r="C748" s="8">
        <f>0</f>
        <v>0</v>
      </c>
      <c r="D748" s="1">
        <f>0</f>
        <v>0</v>
      </c>
      <c r="E748" s="1">
        <f>4</f>
        <v>4</v>
      </c>
      <c r="F748" s="1">
        <f>2</f>
        <v>2</v>
      </c>
      <c r="G748" s="9">
        <f>2</f>
        <v>2</v>
      </c>
    </row>
    <row r="749" spans="1:9" x14ac:dyDescent="0.25">
      <c r="C749" s="8">
        <f t="shared" ref="C749" si="1002">(D744^2)</f>
        <v>3.735870056786617</v>
      </c>
      <c r="D749" s="1">
        <f t="shared" ref="D749" si="1003">2*C744*D744</f>
        <v>4.3509957203971483</v>
      </c>
      <c r="E749" s="1">
        <f t="shared" ref="E749:E780" si="1004">-2</f>
        <v>-2</v>
      </c>
      <c r="F749" s="1">
        <f>0</f>
        <v>0</v>
      </c>
      <c r="G749" s="9">
        <f>0</f>
        <v>0</v>
      </c>
    </row>
    <row r="750" spans="1:9" x14ac:dyDescent="0.25">
      <c r="C750" s="10">
        <f t="shared" ref="C750" si="1005">2*C744</f>
        <v>-2.2510895668861348</v>
      </c>
      <c r="D750" s="11">
        <f t="shared" ref="D750" si="1006">-4*D744</f>
        <v>7.7313595769816494</v>
      </c>
      <c r="E750" s="11">
        <f t="shared" si="1004"/>
        <v>-2</v>
      </c>
      <c r="F750" s="11">
        <f>0</f>
        <v>0</v>
      </c>
      <c r="G750" s="12">
        <f>0</f>
        <v>0</v>
      </c>
    </row>
    <row r="752" spans="1:9" x14ac:dyDescent="0.25">
      <c r="C752" s="5" cm="1">
        <f t="array" ref="C752:G756">MINVERSE(C746:G750)</f>
        <v>8.0700156546249843E-3</v>
      </c>
      <c r="D752" s="6">
        <v>1.4292798034902623E-2</v>
      </c>
      <c r="E752" s="6">
        <v>4.616821646213741E-2</v>
      </c>
      <c r="F752" s="6">
        <v>0.20495724468206558</v>
      </c>
      <c r="G752" s="7">
        <v>-0.11262081175779078</v>
      </c>
    </row>
    <row r="753" spans="1:9" x14ac:dyDescent="0.25">
      <c r="C753" s="8">
        <v>1.4292798034902625E-2</v>
      </c>
      <c r="D753" s="36">
        <v>2.5313962749184949E-2</v>
      </c>
      <c r="E753" s="36">
        <v>8.1768489897143928E-2</v>
      </c>
      <c r="F753" s="36">
        <v>6.7173463604647099E-2</v>
      </c>
      <c r="G753" s="9">
        <v>9.6363516189640744E-2</v>
      </c>
    </row>
    <row r="754" spans="1:9" x14ac:dyDescent="0.25">
      <c r="B754" s="37" t="s">
        <v>22</v>
      </c>
      <c r="C754" s="8">
        <v>4.616821646213741E-2</v>
      </c>
      <c r="D754" s="36">
        <v>8.1768489897143928E-2</v>
      </c>
      <c r="E754" s="36">
        <v>0.26412640353097638</v>
      </c>
      <c r="F754" s="36">
        <v>2.8982542998645042E-2</v>
      </c>
      <c r="G754" s="9">
        <v>-7.2973593669227454E-4</v>
      </c>
    </row>
    <row r="755" spans="1:9" x14ac:dyDescent="0.25">
      <c r="C755" s="8">
        <v>-0.20495724468206561</v>
      </c>
      <c r="D755" s="36">
        <v>-6.7173463604647099E-2</v>
      </c>
      <c r="E755" s="36">
        <v>-2.8982542998645028E-2</v>
      </c>
      <c r="F755" s="36">
        <v>2.562472663486581E-2</v>
      </c>
      <c r="G755" s="9">
        <v>-8.3589812632155883E-2</v>
      </c>
    </row>
    <row r="756" spans="1:9" x14ac:dyDescent="0.25">
      <c r="C756" s="10">
        <v>0.11262081175779079</v>
      </c>
      <c r="D756" s="11">
        <v>-9.6363516189640758E-2</v>
      </c>
      <c r="E756" s="11">
        <v>7.2973593669226132E-4</v>
      </c>
      <c r="F756" s="11">
        <v>-8.3589812632155897E-2</v>
      </c>
      <c r="G756" s="12">
        <v>8.5049284505540432E-2</v>
      </c>
    </row>
    <row r="757" spans="1:9" x14ac:dyDescent="0.25">
      <c r="B757" s="37" t="s">
        <v>23</v>
      </c>
      <c r="C757" s="1" cm="1">
        <f t="array" ref="C757:G757">-TRANSPOSE(MMULT(C752:G756,TRANSPOSE(C745:G745)))</f>
        <v>0</v>
      </c>
      <c r="D757" s="1">
        <v>0</v>
      </c>
      <c r="E757" s="1">
        <v>0</v>
      </c>
      <c r="F757" s="1">
        <v>0</v>
      </c>
      <c r="G757" s="1">
        <v>0</v>
      </c>
    </row>
    <row r="758" spans="1:9" x14ac:dyDescent="0.25">
      <c r="A758" s="1" t="s">
        <v>4</v>
      </c>
      <c r="B758" s="1" t="s">
        <v>18</v>
      </c>
      <c r="C758" s="1" cm="1">
        <f t="array" ref="C758:G758">C744:G744+C757:G757</f>
        <v>-1.1255447834430674</v>
      </c>
      <c r="D758" s="1">
        <v>-1.9328398942454124</v>
      </c>
      <c r="E758" s="1">
        <v>0.3975554729813337</v>
      </c>
      <c r="F758" s="1">
        <v>-0.67495954138082226</v>
      </c>
      <c r="G758" s="1">
        <v>-0.12015140458184514</v>
      </c>
    </row>
    <row r="759" spans="1:9" x14ac:dyDescent="0.25">
      <c r="A759" s="1">
        <v>55</v>
      </c>
      <c r="B759" s="1" t="s">
        <v>19</v>
      </c>
      <c r="C759" s="1">
        <f t="shared" ref="C759:C790" si="1007">2*C758-F758*(D758^2)-2*G758*C758</f>
        <v>0</v>
      </c>
      <c r="D759" s="1">
        <f t="shared" ref="D759:D790" si="1008">2*D758-2*F758*C758*D758+4*G758*D758</f>
        <v>0</v>
      </c>
      <c r="E759" s="1">
        <f t="shared" ref="E759:E790" si="1009">4*E758+2*F758+2*G758</f>
        <v>0</v>
      </c>
      <c r="F759" s="1">
        <f t="shared" ref="F759:F790" si="1010">C758*(D758^2)-2*E758+5</f>
        <v>0</v>
      </c>
      <c r="G759" s="1">
        <f t="shared" ref="G759:G790" si="1011">C758^2-2*(D758^2)-2*E758+7</f>
        <v>0</v>
      </c>
      <c r="I759" s="1">
        <f t="shared" ref="I759:I790" si="1012">MAX(ABS(C759),ABS(D759),ABS(E759),ABS(F759),ABS(G759))</f>
        <v>0</v>
      </c>
    </row>
    <row r="760" spans="1:9" x14ac:dyDescent="0.25">
      <c r="C760" s="5">
        <f t="shared" ref="C760" si="1013">2-2*G758</f>
        <v>2.2403028091636905</v>
      </c>
      <c r="D760" s="6">
        <f t="shared" ref="D760" si="1014">-2*F758*D758</f>
        <v>-2.6091774571648809</v>
      </c>
      <c r="E760" s="6">
        <f>0</f>
        <v>0</v>
      </c>
      <c r="F760" s="6">
        <f t="shared" ref="F760" si="1015">-(D758^2)</f>
        <v>-3.735870056786617</v>
      </c>
      <c r="G760" s="7">
        <f t="shared" ref="G760" si="1016">-2*C758</f>
        <v>2.2510895668861348</v>
      </c>
    </row>
    <row r="761" spans="1:9" x14ac:dyDescent="0.25">
      <c r="C761" s="8">
        <f t="shared" ref="C761" si="1017">-2*F758*D758</f>
        <v>-2.6091774571648809</v>
      </c>
      <c r="D761" s="1">
        <f t="shared" ref="D761" si="1018">2-2*F758*C758+4*G758</f>
        <v>0</v>
      </c>
      <c r="E761" s="1">
        <f>0</f>
        <v>0</v>
      </c>
      <c r="F761" s="1">
        <f t="shared" ref="F761" si="1019">-2*C758*D758</f>
        <v>-4.3509957203971483</v>
      </c>
      <c r="G761" s="9">
        <f t="shared" ref="G761" si="1020">4*D758</f>
        <v>-7.7313595769816494</v>
      </c>
    </row>
    <row r="762" spans="1:9" x14ac:dyDescent="0.25">
      <c r="B762" s="1" t="s">
        <v>20</v>
      </c>
      <c r="C762" s="8">
        <f>0</f>
        <v>0</v>
      </c>
      <c r="D762" s="1">
        <f>0</f>
        <v>0</v>
      </c>
      <c r="E762" s="1">
        <f>4</f>
        <v>4</v>
      </c>
      <c r="F762" s="1">
        <f>2</f>
        <v>2</v>
      </c>
      <c r="G762" s="9">
        <f>2</f>
        <v>2</v>
      </c>
    </row>
    <row r="763" spans="1:9" x14ac:dyDescent="0.25">
      <c r="C763" s="8">
        <f t="shared" ref="C763" si="1021">(D758^2)</f>
        <v>3.735870056786617</v>
      </c>
      <c r="D763" s="1">
        <f t="shared" ref="D763" si="1022">2*C758*D758</f>
        <v>4.3509957203971483</v>
      </c>
      <c r="E763" s="1">
        <f t="shared" ref="E763:E794" si="1023">-2</f>
        <v>-2</v>
      </c>
      <c r="F763" s="1">
        <f>0</f>
        <v>0</v>
      </c>
      <c r="G763" s="9">
        <f>0</f>
        <v>0</v>
      </c>
    </row>
    <row r="764" spans="1:9" x14ac:dyDescent="0.25">
      <c r="C764" s="10">
        <f t="shared" ref="C764" si="1024">2*C758</f>
        <v>-2.2510895668861348</v>
      </c>
      <c r="D764" s="11">
        <f t="shared" ref="D764" si="1025">-4*D758</f>
        <v>7.7313595769816494</v>
      </c>
      <c r="E764" s="11">
        <f t="shared" si="1023"/>
        <v>-2</v>
      </c>
      <c r="F764" s="11">
        <f>0</f>
        <v>0</v>
      </c>
      <c r="G764" s="12">
        <f>0</f>
        <v>0</v>
      </c>
    </row>
    <row r="766" spans="1:9" x14ac:dyDescent="0.25">
      <c r="C766" s="5" cm="1">
        <f t="array" ref="C766:G770">MINVERSE(C760:G764)</f>
        <v>8.0700156546249843E-3</v>
      </c>
      <c r="D766" s="6">
        <v>1.4292798034902623E-2</v>
      </c>
      <c r="E766" s="6">
        <v>4.616821646213741E-2</v>
      </c>
      <c r="F766" s="6">
        <v>0.20495724468206558</v>
      </c>
      <c r="G766" s="7">
        <v>-0.11262081175779078</v>
      </c>
    </row>
    <row r="767" spans="1:9" x14ac:dyDescent="0.25">
      <c r="C767" s="8">
        <v>1.4292798034902625E-2</v>
      </c>
      <c r="D767" s="36">
        <v>2.5313962749184949E-2</v>
      </c>
      <c r="E767" s="36">
        <v>8.1768489897143928E-2</v>
      </c>
      <c r="F767" s="36">
        <v>6.7173463604647099E-2</v>
      </c>
      <c r="G767" s="9">
        <v>9.6363516189640744E-2</v>
      </c>
    </row>
    <row r="768" spans="1:9" x14ac:dyDescent="0.25">
      <c r="B768" s="37" t="s">
        <v>22</v>
      </c>
      <c r="C768" s="8">
        <v>4.616821646213741E-2</v>
      </c>
      <c r="D768" s="36">
        <v>8.1768489897143928E-2</v>
      </c>
      <c r="E768" s="36">
        <v>0.26412640353097638</v>
      </c>
      <c r="F768" s="36">
        <v>2.8982542998645042E-2</v>
      </c>
      <c r="G768" s="9">
        <v>-7.2973593669227454E-4</v>
      </c>
    </row>
    <row r="769" spans="1:9" x14ac:dyDescent="0.25">
      <c r="C769" s="8">
        <v>-0.20495724468206561</v>
      </c>
      <c r="D769" s="36">
        <v>-6.7173463604647099E-2</v>
      </c>
      <c r="E769" s="36">
        <v>-2.8982542998645028E-2</v>
      </c>
      <c r="F769" s="36">
        <v>2.562472663486581E-2</v>
      </c>
      <c r="G769" s="9">
        <v>-8.3589812632155883E-2</v>
      </c>
    </row>
    <row r="770" spans="1:9" x14ac:dyDescent="0.25">
      <c r="C770" s="10">
        <v>0.11262081175779079</v>
      </c>
      <c r="D770" s="11">
        <v>-9.6363516189640758E-2</v>
      </c>
      <c r="E770" s="11">
        <v>7.2973593669226132E-4</v>
      </c>
      <c r="F770" s="11">
        <v>-8.3589812632155897E-2</v>
      </c>
      <c r="G770" s="12">
        <v>8.5049284505540432E-2</v>
      </c>
    </row>
    <row r="771" spans="1:9" x14ac:dyDescent="0.25">
      <c r="B771" s="37" t="s">
        <v>23</v>
      </c>
      <c r="C771" s="1" cm="1">
        <f t="array" ref="C771:G771">-TRANSPOSE(MMULT(C766:G770,TRANSPOSE(C759:G759)))</f>
        <v>0</v>
      </c>
      <c r="D771" s="1">
        <v>0</v>
      </c>
      <c r="E771" s="1">
        <v>0</v>
      </c>
      <c r="F771" s="1">
        <v>0</v>
      </c>
      <c r="G771" s="1">
        <v>0</v>
      </c>
    </row>
    <row r="772" spans="1:9" x14ac:dyDescent="0.25">
      <c r="A772" s="1" t="s">
        <v>4</v>
      </c>
      <c r="B772" s="1" t="s">
        <v>18</v>
      </c>
      <c r="C772" s="1" cm="1">
        <f t="array" ref="C772:G772">C758:G758+C771:G771</f>
        <v>-1.1255447834430674</v>
      </c>
      <c r="D772" s="1">
        <v>-1.9328398942454124</v>
      </c>
      <c r="E772" s="1">
        <v>0.3975554729813337</v>
      </c>
      <c r="F772" s="1">
        <v>-0.67495954138082226</v>
      </c>
      <c r="G772" s="1">
        <v>-0.12015140458184514</v>
      </c>
    </row>
    <row r="773" spans="1:9" x14ac:dyDescent="0.25">
      <c r="A773" s="1">
        <v>56</v>
      </c>
      <c r="B773" s="1" t="s">
        <v>19</v>
      </c>
      <c r="C773" s="1">
        <f t="shared" ref="C773:C804" si="1026">2*C772-F772*(D772^2)-2*G772*C772</f>
        <v>0</v>
      </c>
      <c r="D773" s="1">
        <f t="shared" ref="D773:D804" si="1027">2*D772-2*F772*C772*D772+4*G772*D772</f>
        <v>0</v>
      </c>
      <c r="E773" s="1">
        <f t="shared" ref="E773:E804" si="1028">4*E772+2*F772+2*G772</f>
        <v>0</v>
      </c>
      <c r="F773" s="1">
        <f t="shared" ref="F773:F804" si="1029">C772*(D772^2)-2*E772+5</f>
        <v>0</v>
      </c>
      <c r="G773" s="1">
        <f t="shared" ref="G773:G804" si="1030">C772^2-2*(D772^2)-2*E772+7</f>
        <v>0</v>
      </c>
      <c r="I773" s="1">
        <f t="shared" ref="I773:I804" si="1031">MAX(ABS(C773),ABS(D773),ABS(E773),ABS(F773),ABS(G773))</f>
        <v>0</v>
      </c>
    </row>
    <row r="774" spans="1:9" x14ac:dyDescent="0.25">
      <c r="C774" s="5">
        <f t="shared" ref="C774" si="1032">2-2*G772</f>
        <v>2.2403028091636905</v>
      </c>
      <c r="D774" s="6">
        <f t="shared" ref="D774" si="1033">-2*F772*D772</f>
        <v>-2.6091774571648809</v>
      </c>
      <c r="E774" s="6">
        <f>0</f>
        <v>0</v>
      </c>
      <c r="F774" s="6">
        <f t="shared" ref="F774" si="1034">-(D772^2)</f>
        <v>-3.735870056786617</v>
      </c>
      <c r="G774" s="7">
        <f t="shared" ref="G774" si="1035">-2*C772</f>
        <v>2.2510895668861348</v>
      </c>
    </row>
    <row r="775" spans="1:9" x14ac:dyDescent="0.25">
      <c r="C775" s="8">
        <f t="shared" ref="C775" si="1036">-2*F772*D772</f>
        <v>-2.6091774571648809</v>
      </c>
      <c r="D775" s="1">
        <f t="shared" ref="D775" si="1037">2-2*F772*C772+4*G772</f>
        <v>0</v>
      </c>
      <c r="E775" s="1">
        <f>0</f>
        <v>0</v>
      </c>
      <c r="F775" s="1">
        <f t="shared" ref="F775" si="1038">-2*C772*D772</f>
        <v>-4.3509957203971483</v>
      </c>
      <c r="G775" s="9">
        <f t="shared" ref="G775" si="1039">4*D772</f>
        <v>-7.7313595769816494</v>
      </c>
    </row>
    <row r="776" spans="1:9" x14ac:dyDescent="0.25">
      <c r="B776" s="1" t="s">
        <v>20</v>
      </c>
      <c r="C776" s="8">
        <f>0</f>
        <v>0</v>
      </c>
      <c r="D776" s="1">
        <f>0</f>
        <v>0</v>
      </c>
      <c r="E776" s="1">
        <f>4</f>
        <v>4</v>
      </c>
      <c r="F776" s="1">
        <f>2</f>
        <v>2</v>
      </c>
      <c r="G776" s="9">
        <f>2</f>
        <v>2</v>
      </c>
    </row>
    <row r="777" spans="1:9" x14ac:dyDescent="0.25">
      <c r="C777" s="8">
        <f t="shared" ref="C777" si="1040">(D772^2)</f>
        <v>3.735870056786617</v>
      </c>
      <c r="D777" s="1">
        <f t="shared" ref="D777" si="1041">2*C772*D772</f>
        <v>4.3509957203971483</v>
      </c>
      <c r="E777" s="1">
        <f t="shared" ref="E777:E808" si="1042">-2</f>
        <v>-2</v>
      </c>
      <c r="F777" s="1">
        <f>0</f>
        <v>0</v>
      </c>
      <c r="G777" s="9">
        <f>0</f>
        <v>0</v>
      </c>
    </row>
    <row r="778" spans="1:9" x14ac:dyDescent="0.25">
      <c r="C778" s="10">
        <f t="shared" ref="C778" si="1043">2*C772</f>
        <v>-2.2510895668861348</v>
      </c>
      <c r="D778" s="11">
        <f t="shared" ref="D778" si="1044">-4*D772</f>
        <v>7.7313595769816494</v>
      </c>
      <c r="E778" s="11">
        <f t="shared" si="1042"/>
        <v>-2</v>
      </c>
      <c r="F778" s="11">
        <f>0</f>
        <v>0</v>
      </c>
      <c r="G778" s="12">
        <f>0</f>
        <v>0</v>
      </c>
    </row>
    <row r="780" spans="1:9" x14ac:dyDescent="0.25">
      <c r="C780" s="5" cm="1">
        <f t="array" ref="C780:G784">MINVERSE(C774:G778)</f>
        <v>8.0700156546249843E-3</v>
      </c>
      <c r="D780" s="6">
        <v>1.4292798034902623E-2</v>
      </c>
      <c r="E780" s="6">
        <v>4.616821646213741E-2</v>
      </c>
      <c r="F780" s="6">
        <v>0.20495724468206558</v>
      </c>
      <c r="G780" s="7">
        <v>-0.11262081175779078</v>
      </c>
    </row>
    <row r="781" spans="1:9" x14ac:dyDescent="0.25">
      <c r="C781" s="8">
        <v>1.4292798034902625E-2</v>
      </c>
      <c r="D781" s="36">
        <v>2.5313962749184949E-2</v>
      </c>
      <c r="E781" s="36">
        <v>8.1768489897143928E-2</v>
      </c>
      <c r="F781" s="36">
        <v>6.7173463604647099E-2</v>
      </c>
      <c r="G781" s="9">
        <v>9.6363516189640744E-2</v>
      </c>
    </row>
    <row r="782" spans="1:9" x14ac:dyDescent="0.25">
      <c r="B782" s="37" t="s">
        <v>22</v>
      </c>
      <c r="C782" s="8">
        <v>4.616821646213741E-2</v>
      </c>
      <c r="D782" s="36">
        <v>8.1768489897143928E-2</v>
      </c>
      <c r="E782" s="36">
        <v>0.26412640353097638</v>
      </c>
      <c r="F782" s="36">
        <v>2.8982542998645042E-2</v>
      </c>
      <c r="G782" s="9">
        <v>-7.2973593669227454E-4</v>
      </c>
    </row>
    <row r="783" spans="1:9" x14ac:dyDescent="0.25">
      <c r="C783" s="8">
        <v>-0.20495724468206561</v>
      </c>
      <c r="D783" s="36">
        <v>-6.7173463604647099E-2</v>
      </c>
      <c r="E783" s="36">
        <v>-2.8982542998645028E-2</v>
      </c>
      <c r="F783" s="36">
        <v>2.562472663486581E-2</v>
      </c>
      <c r="G783" s="9">
        <v>-8.3589812632155883E-2</v>
      </c>
    </row>
    <row r="784" spans="1:9" x14ac:dyDescent="0.25">
      <c r="C784" s="10">
        <v>0.11262081175779079</v>
      </c>
      <c r="D784" s="11">
        <v>-9.6363516189640758E-2</v>
      </c>
      <c r="E784" s="11">
        <v>7.2973593669226132E-4</v>
      </c>
      <c r="F784" s="11">
        <v>-8.3589812632155897E-2</v>
      </c>
      <c r="G784" s="12">
        <v>8.5049284505540432E-2</v>
      </c>
    </row>
    <row r="785" spans="1:9" x14ac:dyDescent="0.25">
      <c r="B785" s="37" t="s">
        <v>23</v>
      </c>
      <c r="C785" s="1" cm="1">
        <f t="array" ref="C785:G785">-TRANSPOSE(MMULT(C780:G784,TRANSPOSE(C773:G773)))</f>
        <v>0</v>
      </c>
      <c r="D785" s="1">
        <v>0</v>
      </c>
      <c r="E785" s="1">
        <v>0</v>
      </c>
      <c r="F785" s="1">
        <v>0</v>
      </c>
      <c r="G785" s="1">
        <v>0</v>
      </c>
    </row>
    <row r="786" spans="1:9" x14ac:dyDescent="0.25">
      <c r="A786" s="1" t="s">
        <v>4</v>
      </c>
      <c r="B786" s="1" t="s">
        <v>18</v>
      </c>
      <c r="C786" s="1" cm="1">
        <f t="array" ref="C786:G786">C772:G772+C785:G785</f>
        <v>-1.1255447834430674</v>
      </c>
      <c r="D786" s="1">
        <v>-1.9328398942454124</v>
      </c>
      <c r="E786" s="1">
        <v>0.3975554729813337</v>
      </c>
      <c r="F786" s="1">
        <v>-0.67495954138082226</v>
      </c>
      <c r="G786" s="1">
        <v>-0.12015140458184514</v>
      </c>
    </row>
    <row r="787" spans="1:9" x14ac:dyDescent="0.25">
      <c r="A787" s="1">
        <v>57</v>
      </c>
      <c r="B787" s="1" t="s">
        <v>19</v>
      </c>
      <c r="C787" s="1">
        <f t="shared" ref="C787:C818" si="1045">2*C786-F786*(D786^2)-2*G786*C786</f>
        <v>0</v>
      </c>
      <c r="D787" s="1">
        <f t="shared" ref="D787:D818" si="1046">2*D786-2*F786*C786*D786+4*G786*D786</f>
        <v>0</v>
      </c>
      <c r="E787" s="1">
        <f t="shared" ref="E787:E818" si="1047">4*E786+2*F786+2*G786</f>
        <v>0</v>
      </c>
      <c r="F787" s="1">
        <f t="shared" ref="F787:F818" si="1048">C786*(D786^2)-2*E786+5</f>
        <v>0</v>
      </c>
      <c r="G787" s="1">
        <f t="shared" ref="G787:G818" si="1049">C786^2-2*(D786^2)-2*E786+7</f>
        <v>0</v>
      </c>
      <c r="I787" s="1">
        <f t="shared" ref="I787:I818" si="1050">MAX(ABS(C787),ABS(D787),ABS(E787),ABS(F787),ABS(G787))</f>
        <v>0</v>
      </c>
    </row>
    <row r="788" spans="1:9" x14ac:dyDescent="0.25">
      <c r="C788" s="5">
        <f t="shared" ref="C788" si="1051">2-2*G786</f>
        <v>2.2403028091636905</v>
      </c>
      <c r="D788" s="6">
        <f t="shared" ref="D788" si="1052">-2*F786*D786</f>
        <v>-2.6091774571648809</v>
      </c>
      <c r="E788" s="6">
        <f>0</f>
        <v>0</v>
      </c>
      <c r="F788" s="6">
        <f t="shared" ref="F788" si="1053">-(D786^2)</f>
        <v>-3.735870056786617</v>
      </c>
      <c r="G788" s="7">
        <f t="shared" ref="G788" si="1054">-2*C786</f>
        <v>2.2510895668861348</v>
      </c>
    </row>
    <row r="789" spans="1:9" x14ac:dyDescent="0.25">
      <c r="C789" s="8">
        <f t="shared" ref="C789" si="1055">-2*F786*D786</f>
        <v>-2.6091774571648809</v>
      </c>
      <c r="D789" s="1">
        <f t="shared" ref="D789" si="1056">2-2*F786*C786+4*G786</f>
        <v>0</v>
      </c>
      <c r="E789" s="1">
        <f>0</f>
        <v>0</v>
      </c>
      <c r="F789" s="1">
        <f t="shared" ref="F789" si="1057">-2*C786*D786</f>
        <v>-4.3509957203971483</v>
      </c>
      <c r="G789" s="9">
        <f t="shared" ref="G789" si="1058">4*D786</f>
        <v>-7.7313595769816494</v>
      </c>
    </row>
    <row r="790" spans="1:9" x14ac:dyDescent="0.25">
      <c r="B790" s="1" t="s">
        <v>20</v>
      </c>
      <c r="C790" s="8">
        <f>0</f>
        <v>0</v>
      </c>
      <c r="D790" s="1">
        <f>0</f>
        <v>0</v>
      </c>
      <c r="E790" s="1">
        <f>4</f>
        <v>4</v>
      </c>
      <c r="F790" s="1">
        <f>2</f>
        <v>2</v>
      </c>
      <c r="G790" s="9">
        <f>2</f>
        <v>2</v>
      </c>
    </row>
    <row r="791" spans="1:9" x14ac:dyDescent="0.25">
      <c r="C791" s="8">
        <f t="shared" ref="C791" si="1059">(D786^2)</f>
        <v>3.735870056786617</v>
      </c>
      <c r="D791" s="1">
        <f t="shared" ref="D791" si="1060">2*C786*D786</f>
        <v>4.3509957203971483</v>
      </c>
      <c r="E791" s="1">
        <f t="shared" ref="E791:E822" si="1061">-2</f>
        <v>-2</v>
      </c>
      <c r="F791" s="1">
        <f>0</f>
        <v>0</v>
      </c>
      <c r="G791" s="9">
        <f>0</f>
        <v>0</v>
      </c>
    </row>
    <row r="792" spans="1:9" x14ac:dyDescent="0.25">
      <c r="C792" s="10">
        <f t="shared" ref="C792" si="1062">2*C786</f>
        <v>-2.2510895668861348</v>
      </c>
      <c r="D792" s="11">
        <f t="shared" ref="D792" si="1063">-4*D786</f>
        <v>7.7313595769816494</v>
      </c>
      <c r="E792" s="11">
        <f t="shared" si="1061"/>
        <v>-2</v>
      </c>
      <c r="F792" s="11">
        <f>0</f>
        <v>0</v>
      </c>
      <c r="G792" s="12">
        <f>0</f>
        <v>0</v>
      </c>
    </row>
    <row r="794" spans="1:9" x14ac:dyDescent="0.25">
      <c r="C794" s="5" cm="1">
        <f t="array" ref="C794:G798">MINVERSE(C788:G792)</f>
        <v>8.0700156546249843E-3</v>
      </c>
      <c r="D794" s="6">
        <v>1.4292798034902623E-2</v>
      </c>
      <c r="E794" s="6">
        <v>4.616821646213741E-2</v>
      </c>
      <c r="F794" s="6">
        <v>0.20495724468206558</v>
      </c>
      <c r="G794" s="7">
        <v>-0.11262081175779078</v>
      </c>
    </row>
    <row r="795" spans="1:9" x14ac:dyDescent="0.25">
      <c r="C795" s="8">
        <v>1.4292798034902625E-2</v>
      </c>
      <c r="D795" s="36">
        <v>2.5313962749184949E-2</v>
      </c>
      <c r="E795" s="36">
        <v>8.1768489897143928E-2</v>
      </c>
      <c r="F795" s="36">
        <v>6.7173463604647099E-2</v>
      </c>
      <c r="G795" s="9">
        <v>9.6363516189640744E-2</v>
      </c>
    </row>
    <row r="796" spans="1:9" x14ac:dyDescent="0.25">
      <c r="B796" s="37" t="s">
        <v>22</v>
      </c>
      <c r="C796" s="8">
        <v>4.616821646213741E-2</v>
      </c>
      <c r="D796" s="36">
        <v>8.1768489897143928E-2</v>
      </c>
      <c r="E796" s="36">
        <v>0.26412640353097638</v>
      </c>
      <c r="F796" s="36">
        <v>2.8982542998645042E-2</v>
      </c>
      <c r="G796" s="9">
        <v>-7.2973593669227454E-4</v>
      </c>
    </row>
    <row r="797" spans="1:9" x14ac:dyDescent="0.25">
      <c r="C797" s="8">
        <v>-0.20495724468206561</v>
      </c>
      <c r="D797" s="36">
        <v>-6.7173463604647099E-2</v>
      </c>
      <c r="E797" s="36">
        <v>-2.8982542998645028E-2</v>
      </c>
      <c r="F797" s="36">
        <v>2.562472663486581E-2</v>
      </c>
      <c r="G797" s="9">
        <v>-8.3589812632155883E-2</v>
      </c>
    </row>
    <row r="798" spans="1:9" x14ac:dyDescent="0.25">
      <c r="C798" s="10">
        <v>0.11262081175779079</v>
      </c>
      <c r="D798" s="11">
        <v>-9.6363516189640758E-2</v>
      </c>
      <c r="E798" s="11">
        <v>7.2973593669226132E-4</v>
      </c>
      <c r="F798" s="11">
        <v>-8.3589812632155897E-2</v>
      </c>
      <c r="G798" s="12">
        <v>8.5049284505540432E-2</v>
      </c>
    </row>
    <row r="799" spans="1:9" x14ac:dyDescent="0.25">
      <c r="B799" s="37" t="s">
        <v>23</v>
      </c>
      <c r="C799" s="1" cm="1">
        <f t="array" ref="C799:G799">-TRANSPOSE(MMULT(C794:G798,TRANSPOSE(C787:G787)))</f>
        <v>0</v>
      </c>
      <c r="D799" s="1">
        <v>0</v>
      </c>
      <c r="E799" s="1">
        <v>0</v>
      </c>
      <c r="F799" s="1">
        <v>0</v>
      </c>
      <c r="G799" s="1">
        <v>0</v>
      </c>
    </row>
    <row r="800" spans="1:9" x14ac:dyDescent="0.25">
      <c r="A800" s="1" t="s">
        <v>4</v>
      </c>
      <c r="B800" s="1" t="s">
        <v>18</v>
      </c>
      <c r="C800" s="1" cm="1">
        <f t="array" ref="C800:G800">C786:G786+C799:G799</f>
        <v>-1.1255447834430674</v>
      </c>
      <c r="D800" s="1">
        <v>-1.9328398942454124</v>
      </c>
      <c r="E800" s="1">
        <v>0.3975554729813337</v>
      </c>
      <c r="F800" s="1">
        <v>-0.67495954138082226</v>
      </c>
      <c r="G800" s="1">
        <v>-0.12015140458184514</v>
      </c>
    </row>
    <row r="801" spans="1:9" x14ac:dyDescent="0.25">
      <c r="A801" s="1">
        <v>58</v>
      </c>
      <c r="B801" s="1" t="s">
        <v>19</v>
      </c>
      <c r="C801" s="1">
        <f t="shared" ref="C801:C842" si="1064">2*C800-F800*(D800^2)-2*G800*C800</f>
        <v>0</v>
      </c>
      <c r="D801" s="1">
        <f t="shared" ref="D801:D842" si="1065">2*D800-2*F800*C800*D800+4*G800*D800</f>
        <v>0</v>
      </c>
      <c r="E801" s="1">
        <f t="shared" ref="E801:E842" si="1066">4*E800+2*F800+2*G800</f>
        <v>0</v>
      </c>
      <c r="F801" s="1">
        <f t="shared" ref="F801:F842" si="1067">C800*(D800^2)-2*E800+5</f>
        <v>0</v>
      </c>
      <c r="G801" s="1">
        <f t="shared" ref="G801:G842" si="1068">C800^2-2*(D800^2)-2*E800+7</f>
        <v>0</v>
      </c>
      <c r="I801" s="1">
        <f t="shared" ref="I801:I842" si="1069">MAX(ABS(C801),ABS(D801),ABS(E801),ABS(F801),ABS(G801))</f>
        <v>0</v>
      </c>
    </row>
    <row r="802" spans="1:9" x14ac:dyDescent="0.25">
      <c r="C802" s="5">
        <f t="shared" ref="C802" si="1070">2-2*G800</f>
        <v>2.2403028091636905</v>
      </c>
      <c r="D802" s="6">
        <f t="shared" ref="D802" si="1071">-2*F800*D800</f>
        <v>-2.6091774571648809</v>
      </c>
      <c r="E802" s="6">
        <f>0</f>
        <v>0</v>
      </c>
      <c r="F802" s="6">
        <f t="shared" ref="F802" si="1072">-(D800^2)</f>
        <v>-3.735870056786617</v>
      </c>
      <c r="G802" s="7">
        <f t="shared" ref="G802" si="1073">-2*C800</f>
        <v>2.2510895668861348</v>
      </c>
    </row>
    <row r="803" spans="1:9" x14ac:dyDescent="0.25">
      <c r="C803" s="8">
        <f t="shared" ref="C803" si="1074">-2*F800*D800</f>
        <v>-2.6091774571648809</v>
      </c>
      <c r="D803" s="1">
        <f t="shared" ref="D803" si="1075">2-2*F800*C800+4*G800</f>
        <v>0</v>
      </c>
      <c r="E803" s="1">
        <f>0</f>
        <v>0</v>
      </c>
      <c r="F803" s="1">
        <f t="shared" ref="F803" si="1076">-2*C800*D800</f>
        <v>-4.3509957203971483</v>
      </c>
      <c r="G803" s="9">
        <f t="shared" ref="G803" si="1077">4*D800</f>
        <v>-7.7313595769816494</v>
      </c>
    </row>
    <row r="804" spans="1:9" x14ac:dyDescent="0.25">
      <c r="B804" s="1" t="s">
        <v>20</v>
      </c>
      <c r="C804" s="8">
        <f>0</f>
        <v>0</v>
      </c>
      <c r="D804" s="1">
        <f>0</f>
        <v>0</v>
      </c>
      <c r="E804" s="1">
        <f>4</f>
        <v>4</v>
      </c>
      <c r="F804" s="1">
        <f>2</f>
        <v>2</v>
      </c>
      <c r="G804" s="9">
        <f>2</f>
        <v>2</v>
      </c>
    </row>
    <row r="805" spans="1:9" x14ac:dyDescent="0.25">
      <c r="C805" s="8">
        <f t="shared" ref="C805" si="1078">(D800^2)</f>
        <v>3.735870056786617</v>
      </c>
      <c r="D805" s="1">
        <f t="shared" ref="D805" si="1079">2*C800*D800</f>
        <v>4.3509957203971483</v>
      </c>
      <c r="E805" s="1">
        <f t="shared" ref="E805:E842" si="1080">-2</f>
        <v>-2</v>
      </c>
      <c r="F805" s="1">
        <f>0</f>
        <v>0</v>
      </c>
      <c r="G805" s="9">
        <f>0</f>
        <v>0</v>
      </c>
    </row>
    <row r="806" spans="1:9" x14ac:dyDescent="0.25">
      <c r="C806" s="10">
        <f t="shared" ref="C806" si="1081">2*C800</f>
        <v>-2.2510895668861348</v>
      </c>
      <c r="D806" s="11">
        <f t="shared" ref="D806" si="1082">-4*D800</f>
        <v>7.7313595769816494</v>
      </c>
      <c r="E806" s="11">
        <f t="shared" si="1080"/>
        <v>-2</v>
      </c>
      <c r="F806" s="11">
        <f>0</f>
        <v>0</v>
      </c>
      <c r="G806" s="12">
        <f>0</f>
        <v>0</v>
      </c>
    </row>
    <row r="808" spans="1:9" x14ac:dyDescent="0.25">
      <c r="C808" s="5" cm="1">
        <f t="array" ref="C808:G812">MINVERSE(C802:G806)</f>
        <v>8.0700156546249843E-3</v>
      </c>
      <c r="D808" s="6">
        <v>1.4292798034902623E-2</v>
      </c>
      <c r="E808" s="6">
        <v>4.616821646213741E-2</v>
      </c>
      <c r="F808" s="6">
        <v>0.20495724468206558</v>
      </c>
      <c r="G808" s="7">
        <v>-0.11262081175779078</v>
      </c>
    </row>
    <row r="809" spans="1:9" x14ac:dyDescent="0.25">
      <c r="C809" s="8">
        <v>1.4292798034902625E-2</v>
      </c>
      <c r="D809" s="36">
        <v>2.5313962749184949E-2</v>
      </c>
      <c r="E809" s="36">
        <v>8.1768489897143928E-2</v>
      </c>
      <c r="F809" s="36">
        <v>6.7173463604647099E-2</v>
      </c>
      <c r="G809" s="9">
        <v>9.6363516189640744E-2</v>
      </c>
    </row>
    <row r="810" spans="1:9" x14ac:dyDescent="0.25">
      <c r="B810" s="37" t="s">
        <v>22</v>
      </c>
      <c r="C810" s="8">
        <v>4.616821646213741E-2</v>
      </c>
      <c r="D810" s="36">
        <v>8.1768489897143928E-2</v>
      </c>
      <c r="E810" s="36">
        <v>0.26412640353097638</v>
      </c>
      <c r="F810" s="36">
        <v>2.8982542998645042E-2</v>
      </c>
      <c r="G810" s="9">
        <v>-7.2973593669227454E-4</v>
      </c>
    </row>
    <row r="811" spans="1:9" x14ac:dyDescent="0.25">
      <c r="C811" s="8">
        <v>-0.20495724468206561</v>
      </c>
      <c r="D811" s="36">
        <v>-6.7173463604647099E-2</v>
      </c>
      <c r="E811" s="36">
        <v>-2.8982542998645028E-2</v>
      </c>
      <c r="F811" s="36">
        <v>2.562472663486581E-2</v>
      </c>
      <c r="G811" s="9">
        <v>-8.3589812632155883E-2</v>
      </c>
    </row>
    <row r="812" spans="1:9" x14ac:dyDescent="0.25">
      <c r="C812" s="10">
        <v>0.11262081175779079</v>
      </c>
      <c r="D812" s="11">
        <v>-9.6363516189640758E-2</v>
      </c>
      <c r="E812" s="11">
        <v>7.2973593669226132E-4</v>
      </c>
      <c r="F812" s="11">
        <v>-8.3589812632155897E-2</v>
      </c>
      <c r="G812" s="12">
        <v>8.5049284505540432E-2</v>
      </c>
    </row>
    <row r="813" spans="1:9" x14ac:dyDescent="0.25">
      <c r="B813" s="37" t="s">
        <v>23</v>
      </c>
      <c r="C813" s="1" cm="1">
        <f t="array" ref="C813:G813">-TRANSPOSE(MMULT(C808:G812,TRANSPOSE(C801:G801)))</f>
        <v>0</v>
      </c>
      <c r="D813" s="1">
        <v>0</v>
      </c>
      <c r="E813" s="1">
        <v>0</v>
      </c>
      <c r="F813" s="1">
        <v>0</v>
      </c>
      <c r="G813" s="1">
        <v>0</v>
      </c>
    </row>
    <row r="814" spans="1:9" x14ac:dyDescent="0.25">
      <c r="A814" s="1" t="s">
        <v>4</v>
      </c>
      <c r="B814" s="1" t="s">
        <v>18</v>
      </c>
      <c r="C814" s="1" cm="1">
        <f t="array" ref="C814:G814">C800:G800+C813:G813</f>
        <v>-1.1255447834430674</v>
      </c>
      <c r="D814" s="1">
        <v>-1.9328398942454124</v>
      </c>
      <c r="E814" s="1">
        <v>0.3975554729813337</v>
      </c>
      <c r="F814" s="1">
        <v>-0.67495954138082226</v>
      </c>
      <c r="G814" s="1">
        <v>-0.12015140458184514</v>
      </c>
    </row>
    <row r="815" spans="1:9" x14ac:dyDescent="0.25">
      <c r="A815" s="1">
        <v>59</v>
      </c>
      <c r="B815" s="1" t="s">
        <v>19</v>
      </c>
      <c r="C815" s="1">
        <f t="shared" ref="C815:C842" si="1083">2*C814-F814*(D814^2)-2*G814*C814</f>
        <v>0</v>
      </c>
      <c r="D815" s="1">
        <f t="shared" ref="D815:D842" si="1084">2*D814-2*F814*C814*D814+4*G814*D814</f>
        <v>0</v>
      </c>
      <c r="E815" s="1">
        <f t="shared" ref="E815:E842" si="1085">4*E814+2*F814+2*G814</f>
        <v>0</v>
      </c>
      <c r="F815" s="1">
        <f t="shared" ref="F815:F842" si="1086">C814*(D814^2)-2*E814+5</f>
        <v>0</v>
      </c>
      <c r="G815" s="1">
        <f t="shared" ref="G815:G842" si="1087">C814^2-2*(D814^2)-2*E814+7</f>
        <v>0</v>
      </c>
      <c r="I815" s="1">
        <f t="shared" ref="I815:I842" si="1088">MAX(ABS(C815),ABS(D815),ABS(E815),ABS(F815),ABS(G815))</f>
        <v>0</v>
      </c>
    </row>
    <row r="816" spans="1:9" x14ac:dyDescent="0.25">
      <c r="C816" s="5">
        <f t="shared" ref="C816" si="1089">2-2*G814</f>
        <v>2.2403028091636905</v>
      </c>
      <c r="D816" s="6">
        <f t="shared" ref="D816" si="1090">-2*F814*D814</f>
        <v>-2.6091774571648809</v>
      </c>
      <c r="E816" s="6">
        <f>0</f>
        <v>0</v>
      </c>
      <c r="F816" s="6">
        <f t="shared" ref="F816" si="1091">-(D814^2)</f>
        <v>-3.735870056786617</v>
      </c>
      <c r="G816" s="7">
        <f t="shared" ref="G816" si="1092">-2*C814</f>
        <v>2.2510895668861348</v>
      </c>
    </row>
    <row r="817" spans="1:9" x14ac:dyDescent="0.25">
      <c r="C817" s="8">
        <f t="shared" ref="C817" si="1093">-2*F814*D814</f>
        <v>-2.6091774571648809</v>
      </c>
      <c r="D817" s="1">
        <f t="shared" ref="D817" si="1094">2-2*F814*C814+4*G814</f>
        <v>0</v>
      </c>
      <c r="E817" s="1">
        <f>0</f>
        <v>0</v>
      </c>
      <c r="F817" s="1">
        <f t="shared" ref="F817" si="1095">-2*C814*D814</f>
        <v>-4.3509957203971483</v>
      </c>
      <c r="G817" s="9">
        <f t="shared" ref="G817" si="1096">4*D814</f>
        <v>-7.7313595769816494</v>
      </c>
    </row>
    <row r="818" spans="1:9" x14ac:dyDescent="0.25">
      <c r="B818" s="1" t="s">
        <v>20</v>
      </c>
      <c r="C818" s="8">
        <f>0</f>
        <v>0</v>
      </c>
      <c r="D818" s="1">
        <f>0</f>
        <v>0</v>
      </c>
      <c r="E818" s="1">
        <f>4</f>
        <v>4</v>
      </c>
      <c r="F818" s="1">
        <f>2</f>
        <v>2</v>
      </c>
      <c r="G818" s="9">
        <f>2</f>
        <v>2</v>
      </c>
    </row>
    <row r="819" spans="1:9" x14ac:dyDescent="0.25">
      <c r="C819" s="8">
        <f t="shared" ref="C819" si="1097">(D814^2)</f>
        <v>3.735870056786617</v>
      </c>
      <c r="D819" s="1">
        <f t="shared" ref="D819" si="1098">2*C814*D814</f>
        <v>4.3509957203971483</v>
      </c>
      <c r="E819" s="1">
        <f t="shared" ref="E819:E842" si="1099">-2</f>
        <v>-2</v>
      </c>
      <c r="F819" s="1">
        <f>0</f>
        <v>0</v>
      </c>
      <c r="G819" s="9">
        <f>0</f>
        <v>0</v>
      </c>
    </row>
    <row r="820" spans="1:9" x14ac:dyDescent="0.25">
      <c r="C820" s="10">
        <f t="shared" ref="C820" si="1100">2*C814</f>
        <v>-2.2510895668861348</v>
      </c>
      <c r="D820" s="11">
        <f t="shared" ref="D820" si="1101">-4*D814</f>
        <v>7.7313595769816494</v>
      </c>
      <c r="E820" s="11">
        <f t="shared" si="1099"/>
        <v>-2</v>
      </c>
      <c r="F820" s="11">
        <f>0</f>
        <v>0</v>
      </c>
      <c r="G820" s="12">
        <f>0</f>
        <v>0</v>
      </c>
    </row>
    <row r="822" spans="1:9" x14ac:dyDescent="0.25">
      <c r="C822" s="5" cm="1">
        <f t="array" ref="C822:G826">MINVERSE(C816:G820)</f>
        <v>8.0700156546249843E-3</v>
      </c>
      <c r="D822" s="6">
        <v>1.4292798034902623E-2</v>
      </c>
      <c r="E822" s="6">
        <v>4.616821646213741E-2</v>
      </c>
      <c r="F822" s="6">
        <v>0.20495724468206558</v>
      </c>
      <c r="G822" s="7">
        <v>-0.11262081175779078</v>
      </c>
    </row>
    <row r="823" spans="1:9" x14ac:dyDescent="0.25">
      <c r="C823" s="8">
        <v>1.4292798034902625E-2</v>
      </c>
      <c r="D823" s="36">
        <v>2.5313962749184949E-2</v>
      </c>
      <c r="E823" s="36">
        <v>8.1768489897143928E-2</v>
      </c>
      <c r="F823" s="36">
        <v>6.7173463604647099E-2</v>
      </c>
      <c r="G823" s="9">
        <v>9.6363516189640744E-2</v>
      </c>
    </row>
    <row r="824" spans="1:9" x14ac:dyDescent="0.25">
      <c r="B824" s="37" t="s">
        <v>22</v>
      </c>
      <c r="C824" s="8">
        <v>4.616821646213741E-2</v>
      </c>
      <c r="D824" s="36">
        <v>8.1768489897143928E-2</v>
      </c>
      <c r="E824" s="36">
        <v>0.26412640353097638</v>
      </c>
      <c r="F824" s="36">
        <v>2.8982542998645042E-2</v>
      </c>
      <c r="G824" s="9">
        <v>-7.2973593669227454E-4</v>
      </c>
    </row>
    <row r="825" spans="1:9" x14ac:dyDescent="0.25">
      <c r="C825" s="8">
        <v>-0.20495724468206561</v>
      </c>
      <c r="D825" s="36">
        <v>-6.7173463604647099E-2</v>
      </c>
      <c r="E825" s="36">
        <v>-2.8982542998645028E-2</v>
      </c>
      <c r="F825" s="36">
        <v>2.562472663486581E-2</v>
      </c>
      <c r="G825" s="9">
        <v>-8.3589812632155883E-2</v>
      </c>
    </row>
    <row r="826" spans="1:9" x14ac:dyDescent="0.25">
      <c r="C826" s="10">
        <v>0.11262081175779079</v>
      </c>
      <c r="D826" s="11">
        <v>-9.6363516189640758E-2</v>
      </c>
      <c r="E826" s="11">
        <v>7.2973593669226132E-4</v>
      </c>
      <c r="F826" s="11">
        <v>-8.3589812632155897E-2</v>
      </c>
      <c r="G826" s="12">
        <v>8.5049284505540432E-2</v>
      </c>
    </row>
    <row r="827" spans="1:9" x14ac:dyDescent="0.25">
      <c r="B827" s="37" t="s">
        <v>23</v>
      </c>
      <c r="C827" s="1" cm="1">
        <f t="array" ref="C827:G827">-TRANSPOSE(MMULT(C822:G826,TRANSPOSE(C815:G815)))</f>
        <v>0</v>
      </c>
      <c r="D827" s="1">
        <v>0</v>
      </c>
      <c r="E827" s="1">
        <v>0</v>
      </c>
      <c r="F827" s="1">
        <v>0</v>
      </c>
      <c r="G827" s="1">
        <v>0</v>
      </c>
    </row>
    <row r="828" spans="1:9" x14ac:dyDescent="0.25">
      <c r="A828" s="1" t="s">
        <v>4</v>
      </c>
      <c r="B828" s="1" t="s">
        <v>18</v>
      </c>
      <c r="C828" s="1" cm="1">
        <f t="array" ref="C828:G828">C814:G814+C827:G827</f>
        <v>-1.1255447834430674</v>
      </c>
      <c r="D828" s="1">
        <v>-1.9328398942454124</v>
      </c>
      <c r="E828" s="1">
        <v>0.3975554729813337</v>
      </c>
      <c r="F828" s="1">
        <v>-0.67495954138082226</v>
      </c>
      <c r="G828" s="1">
        <v>-0.12015140458184514</v>
      </c>
    </row>
    <row r="829" spans="1:9" x14ac:dyDescent="0.25">
      <c r="A829" s="1">
        <v>60</v>
      </c>
      <c r="B829" s="1" t="s">
        <v>19</v>
      </c>
      <c r="C829" s="1">
        <f t="shared" ref="C829:C842" si="1102">2*C828-F828*(D828^2)-2*G828*C828</f>
        <v>0</v>
      </c>
      <c r="D829" s="1">
        <f t="shared" ref="D829:D842" si="1103">2*D828-2*F828*C828*D828+4*G828*D828</f>
        <v>0</v>
      </c>
      <c r="E829" s="1">
        <f t="shared" ref="E829:E842" si="1104">4*E828+2*F828+2*G828</f>
        <v>0</v>
      </c>
      <c r="F829" s="1">
        <f t="shared" ref="F829:F842" si="1105">C828*(D828^2)-2*E828+5</f>
        <v>0</v>
      </c>
      <c r="G829" s="1">
        <f t="shared" ref="G829:G842" si="1106">C828^2-2*(D828^2)-2*E828+7</f>
        <v>0</v>
      </c>
      <c r="I829" s="1">
        <f t="shared" ref="I829:I842" si="1107">MAX(ABS(C829),ABS(D829),ABS(E829),ABS(F829),ABS(G829))</f>
        <v>0</v>
      </c>
    </row>
    <row r="830" spans="1:9" x14ac:dyDescent="0.25">
      <c r="C830" s="5">
        <f t="shared" ref="C830" si="1108">2-2*G828</f>
        <v>2.2403028091636905</v>
      </c>
      <c r="D830" s="6">
        <f t="shared" ref="D830" si="1109">-2*F828*D828</f>
        <v>-2.6091774571648809</v>
      </c>
      <c r="E830" s="6">
        <f>0</f>
        <v>0</v>
      </c>
      <c r="F830" s="6">
        <f t="shared" ref="F830" si="1110">-(D828^2)</f>
        <v>-3.735870056786617</v>
      </c>
      <c r="G830" s="7">
        <f t="shared" ref="G830" si="1111">-2*C828</f>
        <v>2.2510895668861348</v>
      </c>
    </row>
    <row r="831" spans="1:9" x14ac:dyDescent="0.25">
      <c r="C831" s="8">
        <f t="shared" ref="C831" si="1112">-2*F828*D828</f>
        <v>-2.6091774571648809</v>
      </c>
      <c r="D831" s="1">
        <f t="shared" ref="D831" si="1113">2-2*F828*C828+4*G828</f>
        <v>0</v>
      </c>
      <c r="E831" s="1">
        <f>0</f>
        <v>0</v>
      </c>
      <c r="F831" s="1">
        <f t="shared" ref="F831" si="1114">-2*C828*D828</f>
        <v>-4.3509957203971483</v>
      </c>
      <c r="G831" s="9">
        <f t="shared" ref="G831" si="1115">4*D828</f>
        <v>-7.7313595769816494</v>
      </c>
    </row>
    <row r="832" spans="1:9" x14ac:dyDescent="0.25">
      <c r="B832" s="1" t="s">
        <v>20</v>
      </c>
      <c r="C832" s="8">
        <f>0</f>
        <v>0</v>
      </c>
      <c r="D832" s="1">
        <f>0</f>
        <v>0</v>
      </c>
      <c r="E832" s="1">
        <f>4</f>
        <v>4</v>
      </c>
      <c r="F832" s="1">
        <f>2</f>
        <v>2</v>
      </c>
      <c r="G832" s="9">
        <f>2</f>
        <v>2</v>
      </c>
    </row>
    <row r="833" spans="1:7" x14ac:dyDescent="0.25">
      <c r="C833" s="8">
        <f t="shared" ref="C833" si="1116">(D828^2)</f>
        <v>3.735870056786617</v>
      </c>
      <c r="D833" s="1">
        <f t="shared" ref="D833" si="1117">2*C828*D828</f>
        <v>4.3509957203971483</v>
      </c>
      <c r="E833" s="1">
        <f t="shared" ref="E833:E842" si="1118">-2</f>
        <v>-2</v>
      </c>
      <c r="F833" s="1">
        <f>0</f>
        <v>0</v>
      </c>
      <c r="G833" s="9">
        <f>0</f>
        <v>0</v>
      </c>
    </row>
    <row r="834" spans="1:7" x14ac:dyDescent="0.25">
      <c r="C834" s="10">
        <f t="shared" ref="C834" si="1119">2*C828</f>
        <v>-2.2510895668861348</v>
      </c>
      <c r="D834" s="11">
        <f t="shared" ref="D834" si="1120">-4*D828</f>
        <v>7.7313595769816494</v>
      </c>
      <c r="E834" s="11">
        <f t="shared" si="1118"/>
        <v>-2</v>
      </c>
      <c r="F834" s="11">
        <f>0</f>
        <v>0</v>
      </c>
      <c r="G834" s="12">
        <f>0</f>
        <v>0</v>
      </c>
    </row>
    <row r="836" spans="1:7" x14ac:dyDescent="0.25">
      <c r="C836" s="5" cm="1">
        <f t="array" ref="C836:G840">MINVERSE(C830:G834)</f>
        <v>8.0700156546249843E-3</v>
      </c>
      <c r="D836" s="6">
        <v>1.4292798034902623E-2</v>
      </c>
      <c r="E836" s="6">
        <v>4.616821646213741E-2</v>
      </c>
      <c r="F836" s="6">
        <v>0.20495724468206558</v>
      </c>
      <c r="G836" s="7">
        <v>-0.11262081175779078</v>
      </c>
    </row>
    <row r="837" spans="1:7" x14ac:dyDescent="0.25">
      <c r="C837" s="8">
        <v>1.4292798034902625E-2</v>
      </c>
      <c r="D837" s="36">
        <v>2.5313962749184949E-2</v>
      </c>
      <c r="E837" s="36">
        <v>8.1768489897143928E-2</v>
      </c>
      <c r="F837" s="36">
        <v>6.7173463604647099E-2</v>
      </c>
      <c r="G837" s="9">
        <v>9.6363516189640744E-2</v>
      </c>
    </row>
    <row r="838" spans="1:7" x14ac:dyDescent="0.25">
      <c r="B838" s="37" t="s">
        <v>22</v>
      </c>
      <c r="C838" s="8">
        <v>4.616821646213741E-2</v>
      </c>
      <c r="D838" s="36">
        <v>8.1768489897143928E-2</v>
      </c>
      <c r="E838" s="36">
        <v>0.26412640353097638</v>
      </c>
      <c r="F838" s="36">
        <v>2.8982542998645042E-2</v>
      </c>
      <c r="G838" s="9">
        <v>-7.2973593669227454E-4</v>
      </c>
    </row>
    <row r="839" spans="1:7" x14ac:dyDescent="0.25">
      <c r="C839" s="8">
        <v>-0.20495724468206561</v>
      </c>
      <c r="D839" s="36">
        <v>-6.7173463604647099E-2</v>
      </c>
      <c r="E839" s="36">
        <v>-2.8982542998645028E-2</v>
      </c>
      <c r="F839" s="36">
        <v>2.562472663486581E-2</v>
      </c>
      <c r="G839" s="9">
        <v>-8.3589812632155883E-2</v>
      </c>
    </row>
    <row r="840" spans="1:7" x14ac:dyDescent="0.25">
      <c r="C840" s="10">
        <v>0.11262081175779079</v>
      </c>
      <c r="D840" s="11">
        <v>-9.6363516189640758E-2</v>
      </c>
      <c r="E840" s="11">
        <v>7.2973593669226132E-4</v>
      </c>
      <c r="F840" s="11">
        <v>-8.3589812632155897E-2</v>
      </c>
      <c r="G840" s="12">
        <v>8.5049284505540432E-2</v>
      </c>
    </row>
    <row r="841" spans="1:7" x14ac:dyDescent="0.25">
      <c r="B841" s="37" t="s">
        <v>23</v>
      </c>
      <c r="C841" s="1" cm="1">
        <f t="array" ref="C841:G841">-TRANSPOSE(MMULT(C836:G840,TRANSPOSE(C829:G829)))</f>
        <v>0</v>
      </c>
      <c r="D841" s="1">
        <v>0</v>
      </c>
      <c r="E841" s="1">
        <v>0</v>
      </c>
      <c r="F841" s="1">
        <v>0</v>
      </c>
      <c r="G841" s="1">
        <v>0</v>
      </c>
    </row>
    <row r="842" spans="1:7" x14ac:dyDescent="0.25">
      <c r="A842" s="1" t="s">
        <v>4</v>
      </c>
      <c r="B842" s="1" t="s">
        <v>18</v>
      </c>
      <c r="C842" s="1" cm="1">
        <f t="array" ref="C842:G842">C828:G828+C841:G841</f>
        <v>-1.1255447834430674</v>
      </c>
      <c r="D842" s="1">
        <v>-1.9328398942454124</v>
      </c>
      <c r="E842" s="1">
        <v>0.3975554729813337</v>
      </c>
      <c r="F842" s="1">
        <v>-0.67495954138082226</v>
      </c>
      <c r="G842" s="1">
        <v>-0.12015140458184514</v>
      </c>
    </row>
    <row r="843" spans="1:7" x14ac:dyDescent="0.25">
      <c r="A843" s="1">
        <v>61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牛顿法求解方程组1</vt:lpstr>
      <vt:lpstr>最速下降法</vt:lpstr>
      <vt:lpstr>最速下降法（其他例子）</vt:lpstr>
      <vt:lpstr>牛顿法（其他例子）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逸凡 高</cp:lastModifiedBy>
  <dcterms:created xsi:type="dcterms:W3CDTF">2021-04-16T14:58:00Z</dcterms:created>
  <dcterms:modified xsi:type="dcterms:W3CDTF">2026-03-28T15:11:28Z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06DE6DE4A3D74B7A852940F5AC08D2EB_13</vt:lpwstr>
  </property>
</Properties>
</file>