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1"/>
  </bookViews>
  <sheets>
    <sheet name="牛顿法求解方程组1" sheetId="1" r:id="rId1"/>
    <sheet name="最速下降法" sheetId="5" r:id="rId2"/>
    <sheet name="最速下降法（其他例子）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<sst xmlns="http://schemas.openxmlformats.org/spreadsheetml/2006/main" count="997" uniqueCount="22">
  <si>
    <t>x1</t>
  </si>
  <si>
    <t>x2</t>
  </si>
  <si>
    <t>x3</t>
  </si>
  <si>
    <t>||F(x)||</t>
  </si>
  <si>
    <t>k=</t>
  </si>
  <si>
    <t>xk=</t>
  </si>
  <si>
    <t>F(x)=</t>
  </si>
  <si>
    <t>J(x)=</t>
  </si>
  <si>
    <t>J(x)逆=</t>
  </si>
  <si>
    <t>dk=</t>
  </si>
  <si>
    <t>系数</t>
  </si>
  <si>
    <r>
      <rPr>
        <sz val="11"/>
        <color theme="1"/>
        <rFont val="Times New Roman"/>
        <charset val="134"/>
      </rPr>
      <t>Phi</t>
    </r>
    <r>
      <rPr>
        <sz val="11"/>
        <color theme="1"/>
        <rFont val="宋体"/>
        <charset val="134"/>
      </rPr>
      <t>函数</t>
    </r>
  </si>
  <si>
    <t>下降方向=</t>
  </si>
  <si>
    <t>步长=</t>
  </si>
  <si>
    <t>lamda_1</t>
  </si>
  <si>
    <t>lamda_2</t>
  </si>
  <si>
    <t>alpha</t>
  </si>
  <si>
    <t>phi</t>
  </si>
  <si>
    <t>xk</t>
  </si>
  <si>
    <t>F(xk)=</t>
  </si>
  <si>
    <t>J(xk)=</t>
  </si>
  <si>
    <t>梯度=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</si>
</sst>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0"/>
    <numFmt numFmtId="178" formatCode="0.00000000E+00"/>
  </numFmts>
  <fonts count="24">
    <font>
      <sz val="11"/>
      <color theme="1"/>
      <name val="宋体"/>
      <charset val="134"/>
      <scheme val="minor"/>
    </font>
    <font>
      <sz val="10"/>
      <color rgb="FF000000"/>
      <name val="Times New Roman"/>
      <charset val="134"/>
    </font>
    <font>
      <sz val="7.5"/>
      <color rgb="FF000000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177" fontId="0" fillId="0" borderId="1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178" fontId="0" fillId="0" borderId="2" xfId="0" applyNumberFormat="1" applyBorder="1" applyAlignment="1">
      <alignment horizontal="center" vertical="center" wrapText="1"/>
    </xf>
    <xf numFmtId="178" fontId="0" fillId="0" borderId="3" xfId="0" applyNumberFormat="1" applyBorder="1" applyAlignment="1">
      <alignment horizontal="center" vertical="center" wrapText="1"/>
    </xf>
    <xf numFmtId="177" fontId="0" fillId="0" borderId="4" xfId="0" applyNumberForma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178" fontId="0" fillId="0" borderId="8" xfId="0" applyNumberFormat="1" applyBorder="1" applyAlignment="1">
      <alignment horizontal="center" vertical="center" wrapText="1"/>
    </xf>
    <xf numFmtId="177" fontId="0" fillId="2" borderId="0" xfId="0" applyNumberFormat="1" applyFill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4" Type="http://schemas.openxmlformats.org/officeDocument/2006/relationships/image" Target="../media/image2.wmf"/><Relationship Id="rId3" Type="http://schemas.openxmlformats.org/officeDocument/2006/relationships/image" Target="../media/image1.wmf"/><Relationship Id="rId2" Type="http://schemas.openxmlformats.org/officeDocument/2006/relationships/image" Target="../media/image5.wmf"/><Relationship Id="rId1" Type="http://schemas.openxmlformats.org/officeDocument/2006/relationships/image" Target="../media/image4.wmf"/></Relationships>
</file>

<file path=xl/drawings/_rels/vmlDrawing3.vml.rels><?xml version="1.0" encoding="UTF-8" standalone="yes"?>
<Relationships xmlns="http://schemas.openxmlformats.org/package/2006/relationships"><Relationship Id="rId4" Type="http://schemas.openxmlformats.org/officeDocument/2006/relationships/image" Target="../media/image9.wmf"/><Relationship Id="rId3" Type="http://schemas.openxmlformats.org/officeDocument/2006/relationships/image" Target="../media/image8.wmf"/><Relationship Id="rId2" Type="http://schemas.openxmlformats.org/officeDocument/2006/relationships/image" Target="../media/image7.wmf"/><Relationship Id="rId1" Type="http://schemas.openxmlformats.org/officeDocument/2006/relationships/image" Target="../media/image6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361950</xdr:colOff>
          <xdr:row>9</xdr:row>
          <xdr:rowOff>95250</xdr:rowOff>
        </xdr:from>
        <xdr:to>
          <xdr:col>18</xdr:col>
          <xdr:colOff>533400</xdr:colOff>
          <xdr:row>17</xdr:row>
          <xdr:rowOff>146050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6268720" y="2015490"/>
              <a:ext cx="6709410" cy="17576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393700</xdr:colOff>
          <xdr:row>2</xdr:row>
          <xdr:rowOff>88900</xdr:rowOff>
        </xdr:from>
        <xdr:to>
          <xdr:col>18</xdr:col>
          <xdr:colOff>419100</xdr:colOff>
          <xdr:row>8</xdr:row>
          <xdr:rowOff>57150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6300470" y="515620"/>
              <a:ext cx="6563360" cy="12484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495300</xdr:colOff>
          <xdr:row>21</xdr:row>
          <xdr:rowOff>0</xdr:rowOff>
        </xdr:from>
        <xdr:to>
          <xdr:col>18</xdr:col>
          <xdr:colOff>228600</xdr:colOff>
          <xdr:row>28</xdr:row>
          <xdr:rowOff>146050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6402070" y="4480560"/>
              <a:ext cx="6271260" cy="163957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15</xdr:row>
          <xdr:rowOff>127000</xdr:rowOff>
        </xdr:from>
        <xdr:to>
          <xdr:col>12</xdr:col>
          <xdr:colOff>622300</xdr:colOff>
          <xdr:row>22</xdr:row>
          <xdr:rowOff>19050</xdr:rowOff>
        </xdr:to>
        <xdr:sp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6833870" y="3329940"/>
              <a:ext cx="2948940" cy="1385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50800</xdr:colOff>
          <xdr:row>23</xdr:row>
          <xdr:rowOff>133350</xdr:rowOff>
        </xdr:from>
        <xdr:to>
          <xdr:col>14</xdr:col>
          <xdr:colOff>419100</xdr:colOff>
          <xdr:row>35</xdr:row>
          <xdr:rowOff>146050</xdr:rowOff>
        </xdr:to>
        <xdr:sp>
          <xdr:nvSpPr>
            <xdr:cNvPr id="6148" name="Object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7428230" y="5043170"/>
              <a:ext cx="3430270" cy="2573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508000</xdr:colOff>
          <xdr:row>7</xdr:row>
          <xdr:rowOff>57150</xdr:rowOff>
        </xdr:from>
        <xdr:to>
          <xdr:col>18</xdr:col>
          <xdr:colOff>304800</xdr:colOff>
          <xdr:row>15</xdr:row>
          <xdr:rowOff>165100</xdr:rowOff>
        </xdr:to>
        <xdr:sp>
          <xdr:nvSpPr>
            <xdr:cNvPr id="6149" name="Object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6606540" y="1553210"/>
              <a:ext cx="6605270" cy="181483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488950</xdr:colOff>
          <xdr:row>0</xdr:row>
          <xdr:rowOff>127000</xdr:rowOff>
        </xdr:from>
        <xdr:to>
          <xdr:col>18</xdr:col>
          <xdr:colOff>209550</xdr:colOff>
          <xdr:row>6</xdr:row>
          <xdr:rowOff>95250</xdr:rowOff>
        </xdr:to>
        <xdr:sp>
          <xdr:nvSpPr>
            <xdr:cNvPr id="6150" name="Object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6587490" y="127000"/>
              <a:ext cx="6529070" cy="12509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17</xdr:row>
          <xdr:rowOff>31750</xdr:rowOff>
        </xdr:from>
        <xdr:to>
          <xdr:col>19</xdr:col>
          <xdr:colOff>57150</xdr:colOff>
          <xdr:row>27</xdr:row>
          <xdr:rowOff>88900</xdr:rowOff>
        </xdr:to>
        <xdr:sp>
          <xdr:nvSpPr>
            <xdr:cNvPr id="5124" name="Object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7580630" y="3658870"/>
              <a:ext cx="5586730" cy="21907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0</xdr:row>
          <xdr:rowOff>12700</xdr:rowOff>
        </xdr:from>
        <xdr:to>
          <xdr:col>16</xdr:col>
          <xdr:colOff>355600</xdr:colOff>
          <xdr:row>17</xdr:row>
          <xdr:rowOff>57150</xdr:rowOff>
        </xdr:to>
        <xdr:sp>
          <xdr:nvSpPr>
            <xdr:cNvPr id="5125" name="Object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7580630" y="12700"/>
              <a:ext cx="4102100" cy="36715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165100</xdr:colOff>
          <xdr:row>28</xdr:row>
          <xdr:rowOff>38100</xdr:rowOff>
        </xdr:from>
        <xdr:to>
          <xdr:col>15</xdr:col>
          <xdr:colOff>450850</xdr:colOff>
          <xdr:row>39</xdr:row>
          <xdr:rowOff>31750</xdr:rowOff>
        </xdr:to>
        <xdr:sp>
          <xdr:nvSpPr>
            <xdr:cNvPr id="5126" name="Object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7745730" y="6012180"/>
              <a:ext cx="3347720" cy="23406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393700</xdr:colOff>
          <xdr:row>27</xdr:row>
          <xdr:rowOff>95250</xdr:rowOff>
        </xdr:from>
        <xdr:to>
          <xdr:col>21</xdr:col>
          <xdr:colOff>0</xdr:colOff>
          <xdr:row>39</xdr:row>
          <xdr:rowOff>107950</xdr:rowOff>
        </xdr:to>
        <xdr:sp>
          <xdr:nvSpPr>
            <xdr:cNvPr id="5127" name="Object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11036300" y="5855970"/>
              <a:ext cx="3352800" cy="25730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richData/rdrichvalue.xml><?xml version="1.0" encoding="utf-8"?>
<rvData xmlns="http://schemas.microsoft.com/office/spreadsheetml/2017/richdata" count="2">
  <rv s="0">
    <v>0</v>
    <v>8</v>
    <v>0</v>
    <v>2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7.bin"/><Relationship Id="rId8" Type="http://schemas.openxmlformats.org/officeDocument/2006/relationships/image" Target="../media/image1.wmf"/><Relationship Id="rId7" Type="http://schemas.openxmlformats.org/officeDocument/2006/relationships/oleObject" Target="../embeddings/oleObject6.bin"/><Relationship Id="rId6" Type="http://schemas.openxmlformats.org/officeDocument/2006/relationships/image" Target="../media/image5.wmf"/><Relationship Id="rId5" Type="http://schemas.openxmlformats.org/officeDocument/2006/relationships/oleObject" Target="../embeddings/oleObject5.bin"/><Relationship Id="rId4" Type="http://schemas.openxmlformats.org/officeDocument/2006/relationships/image" Target="../media/image4.wmf"/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2.vml"/><Relationship Id="rId10" Type="http://schemas.openxmlformats.org/officeDocument/2006/relationships/image" Target="../media/image2.wmf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11.bin"/><Relationship Id="rId8" Type="http://schemas.openxmlformats.org/officeDocument/2006/relationships/image" Target="../media/image8.wmf"/><Relationship Id="rId7" Type="http://schemas.openxmlformats.org/officeDocument/2006/relationships/oleObject" Target="../embeddings/oleObject10.bin"/><Relationship Id="rId6" Type="http://schemas.openxmlformats.org/officeDocument/2006/relationships/image" Target="../media/image7.wmf"/><Relationship Id="rId5" Type="http://schemas.openxmlformats.org/officeDocument/2006/relationships/oleObject" Target="../embeddings/oleObject9.bin"/><Relationship Id="rId4" Type="http://schemas.openxmlformats.org/officeDocument/2006/relationships/image" Target="../media/image6.wmf"/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3.vml"/><Relationship Id="rId10" Type="http://schemas.openxmlformats.org/officeDocument/2006/relationships/image" Target="../media/image9.wmf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65"/>
  <sheetViews>
    <sheetView workbookViewId="0">
      <selection activeCell="C5" sqref="C5:E8"/>
    </sheetView>
  </sheetViews>
  <sheetFormatPr defaultColWidth="9" defaultRowHeight="16.8" outlineLevelCol="6"/>
  <cols>
    <col min="3" max="3" width="18.9038461538462" style="14" customWidth="1"/>
    <col min="4" max="4" width="17.3653846153846" style="15" customWidth="1"/>
    <col min="5" max="5" width="16.2692307692308" style="15" customWidth="1"/>
    <col min="6" max="6" width="5.53846153846154" customWidth="1"/>
    <col min="7" max="7" width="13.3653846153846" style="1" customWidth="1"/>
  </cols>
  <sheetData>
    <row r="2" spans="1:7">
      <c r="A2" s="1"/>
    </row>
    <row r="3" spans="1:7">
      <c r="C3" s="14" t="s">
        <v>0</v>
      </c>
      <c r="D3" s="15" t="s">
        <v>1</v>
      </c>
      <c r="E3" s="15" t="s">
        <v>2</v>
      </c>
      <c r="G3" s="16" t="s">
        <v>3</v>
      </c>
    </row>
    <row r="4" spans="1:7">
      <c r="A4" t="s">
        <v>4</v>
      </c>
      <c r="B4" s="17" t="s">
        <v>5</v>
      </c>
      <c r="C4" s="4">
        <v>1</v>
      </c>
      <c r="D4" s="4">
        <v>1</v>
      </c>
      <c r="E4" s="4">
        <v>1</v>
      </c>
    </row>
    <row r="5" spans="1:7">
      <c r="A5" s="1">
        <v>1</v>
      </c>
      <c r="B5" t="s">
        <v>6</v>
      </c>
      <c r="C5" s="14">
        <f>3*C4-D4^3-0.5*C4*E4</f>
        <v>1.5</v>
      </c>
      <c r="D5" s="15">
        <f>C4^2-(D4+0.1)^2+2*E4+0.9</f>
        <v>2.69</v>
      </c>
      <c r="E5" s="15">
        <f>EXP(-C4)+1/D4+1.5*E4+2</f>
        <v>4.86787944117144</v>
      </c>
      <c r="G5" s="1">
        <f>MAX(ABS(C5),ABS(D5),ABS(E5))</f>
        <v>4.86787944117144</v>
      </c>
    </row>
    <row r="6" spans="1:7">
      <c r="C6" s="18">
        <f>3-0.5*E4</f>
        <v>2.5</v>
      </c>
      <c r="D6" s="19">
        <f>-3*D4^2</f>
        <v>-3</v>
      </c>
      <c r="E6" s="20">
        <f>-0.5*C4</f>
        <v>-0.5</v>
      </c>
    </row>
    <row r="7" spans="1:7">
      <c r="B7" t="s">
        <v>7</v>
      </c>
      <c r="C7" s="21">
        <f>2*C4</f>
        <v>2</v>
      </c>
      <c r="D7" s="15">
        <f>-2*(D4+0.1)</f>
        <v>-2.2</v>
      </c>
      <c r="E7" s="22">
        <f>2</f>
        <v>2</v>
      </c>
    </row>
    <row r="8" spans="1:7">
      <c r="C8" s="23">
        <f>-EXP(-C4)</f>
        <v>-0.367879441171442</v>
      </c>
      <c r="D8" s="24">
        <f>-1/D4^2</f>
        <v>-1</v>
      </c>
      <c r="E8" s="25">
        <f>1.5</f>
        <v>1.5</v>
      </c>
    </row>
    <row r="10" spans="1:7">
      <c r="C10" s="26" cm="1">
        <f t="array" ref="C10:E12">MINVERSE(C6:E8)</f>
        <v>-0.138860048245581</v>
      </c>
      <c r="D10" s="27">
        <v>0.534077108636849</v>
      </c>
      <c r="E10" s="28">
        <v>-0.758389494264326</v>
      </c>
    </row>
    <row r="11" spans="1:7">
      <c r="B11" t="s">
        <v>8</v>
      </c>
      <c r="C11" s="29">
        <v>-0.399036660489223</v>
      </c>
      <c r="D11" s="30">
        <v>0.380910232650859</v>
      </c>
      <c r="E11" s="31">
        <v>-0.640892530364219</v>
      </c>
    </row>
    <row r="12" spans="1:7">
      <c r="C12" s="32">
        <v>-0.300080278292565</v>
      </c>
      <c r="D12" s="33">
        <v>0.384924147279095</v>
      </c>
      <c r="E12" s="34">
        <v>0.053407710863685</v>
      </c>
    </row>
    <row r="13" spans="1:7">
      <c r="B13" t="s">
        <v>9</v>
      </c>
      <c r="C13" s="14" cm="1">
        <f t="array" ref="C13:E13">-TRANSPOSE(MMULT(C10:E12,TRANSPOSE(C5:E5)))</f>
        <v>2.46337127766497</v>
      </c>
      <c r="D13" s="15">
        <v>2.69369403746335</v>
      </c>
      <c r="E13" s="15">
        <v>-0.84530783645528</v>
      </c>
    </row>
    <row r="14" spans="1:7">
      <c r="A14" t="s">
        <v>4</v>
      </c>
      <c r="B14" s="17" t="s">
        <v>5</v>
      </c>
      <c r="C14" s="35">
        <f>C4+C13</f>
        <v>3.46337127766497</v>
      </c>
      <c r="D14" s="35">
        <f>D4+D13</f>
        <v>3.69369403746335</v>
      </c>
      <c r="E14" s="35">
        <f>E4+E13</f>
        <v>0.15469216354472</v>
      </c>
    </row>
    <row r="15" spans="1:7">
      <c r="A15" s="1">
        <f>1+A5</f>
        <v>2</v>
      </c>
      <c r="B15" t="s">
        <v>6</v>
      </c>
      <c r="C15" s="14">
        <f t="shared" ref="C15:C46" si="0">3*C14-D14^3-0.5*C14*E14</f>
        <v>-40.2722196262327</v>
      </c>
      <c r="D15" s="15">
        <f t="shared" ref="D15:D46" si="1">C14^2-(D14+0.1)^2+2*E14+0.9</f>
        <v>-1.18778951584088</v>
      </c>
      <c r="E15" s="15">
        <f t="shared" ref="E15:E46" si="2">EXP(-C14)+1/D14+1.5*E14+2</f>
        <v>2.53409390940814</v>
      </c>
      <c r="G15" s="1">
        <f>MAX(ABS(C15),ABS(D15),ABS(E15))</f>
        <v>40.2722196262327</v>
      </c>
    </row>
    <row r="16" spans="1:7">
      <c r="C16" s="18">
        <f t="shared" ref="C16" si="3">3-0.5*E14</f>
        <v>2.92265391822764</v>
      </c>
      <c r="D16" s="19">
        <f t="shared" ref="D16" si="4">-3*D14^2</f>
        <v>-40.930126927177</v>
      </c>
      <c r="E16" s="20">
        <f t="shared" ref="E16" si="5">-0.5*C14</f>
        <v>-1.73168563883248</v>
      </c>
    </row>
    <row r="17" spans="1:7">
      <c r="B17" t="s">
        <v>7</v>
      </c>
      <c r="C17" s="21">
        <f t="shared" ref="C17" si="6">2*C14</f>
        <v>6.92674255532994</v>
      </c>
      <c r="D17" s="15">
        <f t="shared" ref="D17" si="7">-2*(D14+0.1)</f>
        <v>-7.58738807492671</v>
      </c>
      <c r="E17" s="22">
        <f>2</f>
        <v>2</v>
      </c>
    </row>
    <row r="18" spans="1:7">
      <c r="C18" s="23">
        <f t="shared" ref="C18" si="8">-EXP(-C14)</f>
        <v>-0.0313239819708028</v>
      </c>
      <c r="D18" s="24">
        <f t="shared" ref="D18" si="9">-1/D14^2</f>
        <v>-0.0732956437036614</v>
      </c>
      <c r="E18" s="25">
        <f t="shared" ref="E18:E49" si="10">1.5</f>
        <v>1.5</v>
      </c>
    </row>
    <row r="20" spans="1:7">
      <c r="C20" s="26" cm="1">
        <f t="array" ref="C20:E22">MINVERSE(C16:E18)</f>
        <v>-0.0283492313695008</v>
      </c>
      <c r="D20" s="27">
        <v>0.155245547938921</v>
      </c>
      <c r="E20" s="28">
        <v>-0.239722035141563</v>
      </c>
    </row>
    <row r="21" spans="1:7">
      <c r="B21" t="s">
        <v>8</v>
      </c>
      <c r="C21" s="29">
        <v>-0.0263766081834944</v>
      </c>
      <c r="D21" s="30">
        <v>0.0109257050054704</v>
      </c>
      <c r="E21" s="31">
        <v>-0.0450182690689396</v>
      </c>
    </row>
    <row r="22" spans="1:7">
      <c r="C22" s="32">
        <v>-0.0018808675252219</v>
      </c>
      <c r="D22" s="33">
        <v>0.00377581021731895</v>
      </c>
      <c r="E22" s="34">
        <v>0.659460872188926</v>
      </c>
    </row>
    <row r="23" spans="1:7">
      <c r="A23" s="1"/>
      <c r="B23" t="s">
        <v>9</v>
      </c>
      <c r="C23" s="14" cm="1">
        <f t="array" ref="C23:E23">-TRANSPOSE(MMULT(C20:E22,TRANSPOSE(C15:E15)))</f>
        <v>-0.34980928852144</v>
      </c>
      <c r="D23" s="15">
        <v>-0.935186598442408</v>
      </c>
      <c r="E23" s="15">
        <v>-1.74239762198058</v>
      </c>
    </row>
    <row r="24" spans="1:7">
      <c r="A24" t="s">
        <v>4</v>
      </c>
      <c r="B24" s="17" t="s">
        <v>5</v>
      </c>
      <c r="C24" s="35">
        <f t="shared" ref="C24:E24" si="11">C14+C23</f>
        <v>3.11356198914353</v>
      </c>
      <c r="D24" s="35">
        <f t="shared" si="11"/>
        <v>2.75850743902094</v>
      </c>
      <c r="E24" s="35">
        <f t="shared" si="11"/>
        <v>-1.58770545843586</v>
      </c>
    </row>
    <row r="25" spans="1:7">
      <c r="A25" s="1">
        <f>1+A15</f>
        <v>3</v>
      </c>
      <c r="B25" t="s">
        <v>6</v>
      </c>
      <c r="C25" s="14">
        <f t="shared" ref="C25:C56" si="12">3*C24-D24^3-0.5*C24*E24</f>
        <v>-9.17808959470436</v>
      </c>
      <c r="D25" s="15">
        <f t="shared" ref="D25:D56" si="13">C24^2-(D24+0.1)^2+2*E24+0.9</f>
        <v>-0.752207435570405</v>
      </c>
      <c r="E25" s="15">
        <f t="shared" ref="E25:E56" si="14">EXP(-C24)+1/D24+1.5*E24+2</f>
        <v>0.0253990646275057</v>
      </c>
      <c r="G25" s="1">
        <f>MAX(ABS(C25),ABS(D25),ABS(E25))</f>
        <v>9.17808959470436</v>
      </c>
    </row>
    <row r="26" spans="1:7">
      <c r="C26" s="18">
        <f t="shared" ref="C26" si="15">3-0.5*E24</f>
        <v>3.79385272921793</v>
      </c>
      <c r="D26" s="19">
        <f t="shared" ref="D26" si="16">-3*D24^2</f>
        <v>-22.8280898734017</v>
      </c>
      <c r="E26" s="20">
        <f t="shared" ref="E26" si="17">-0.5*C24</f>
        <v>-1.55678099457176</v>
      </c>
    </row>
    <row r="27" spans="1:7">
      <c r="B27" t="s">
        <v>7</v>
      </c>
      <c r="C27" s="21">
        <f t="shared" ref="C27" si="18">2*C24</f>
        <v>6.22712397828706</v>
      </c>
      <c r="D27" s="15">
        <f t="shared" ref="D27" si="19">-2*(D24+0.1)</f>
        <v>-5.71701487804189</v>
      </c>
      <c r="E27" s="22">
        <f>2</f>
        <v>2</v>
      </c>
    </row>
    <row r="28" spans="1:7">
      <c r="C28" s="23">
        <f t="shared" ref="C28" si="20">-EXP(-C24)</f>
        <v>-0.0444423698291706</v>
      </c>
      <c r="D28" s="24">
        <f t="shared" ref="D28" si="21">-1/D24^2</f>
        <v>-0.131417039999281</v>
      </c>
      <c r="E28" s="25">
        <f t="shared" ref="E28:E75" si="22">1.5</f>
        <v>1.5</v>
      </c>
    </row>
    <row r="30" spans="1:7">
      <c r="C30" s="26" cm="1">
        <f t="array" ref="C30:E32">MINVERSE(C26:E28)</f>
        <v>-0.0448385599103966</v>
      </c>
      <c r="D30" s="27">
        <v>0.185805287077169</v>
      </c>
      <c r="E30" s="28">
        <v>-0.294276261364541</v>
      </c>
    </row>
    <row r="31" spans="1:7">
      <c r="B31" t="s">
        <v>8</v>
      </c>
      <c r="C31" s="29">
        <v>-0.050863013145847</v>
      </c>
      <c r="D31" s="30">
        <v>0.030322813157028</v>
      </c>
      <c r="E31" s="31">
        <v>-0.0932187990041096</v>
      </c>
    </row>
    <row r="32" spans="1:7">
      <c r="C32" s="32">
        <v>-0.00578466566347798</v>
      </c>
      <c r="D32" s="33">
        <v>0.00816170775603109</v>
      </c>
      <c r="E32" s="34">
        <v>0.649780751282056</v>
      </c>
    </row>
    <row r="33" spans="1:7">
      <c r="A33" s="1"/>
      <c r="B33" t="s">
        <v>9</v>
      </c>
      <c r="C33" s="14" cm="1">
        <f t="array" ref="C33:E33">-TRANSPOSE(MMULT(C30:E32,TRANSPOSE(C25:E25)))</f>
        <v>-0.26429385986666</v>
      </c>
      <c r="D33" s="15">
        <v>-0.441648575884677</v>
      </c>
      <c r="E33" s="15">
        <v>-0.0634567057692938</v>
      </c>
    </row>
    <row r="34" spans="1:7">
      <c r="A34" t="s">
        <v>4</v>
      </c>
      <c r="B34" s="17" t="s">
        <v>5</v>
      </c>
      <c r="C34" s="35">
        <f t="shared" ref="C34:E34" si="23">C24+C33</f>
        <v>2.84926812927687</v>
      </c>
      <c r="D34" s="35">
        <f t="shared" si="23"/>
        <v>2.31685886313627</v>
      </c>
      <c r="E34" s="35">
        <f t="shared" si="23"/>
        <v>-1.65116216420516</v>
      </c>
    </row>
    <row r="35" spans="1:7">
      <c r="A35" s="1">
        <f>1+A25</f>
        <v>4</v>
      </c>
      <c r="B35" t="s">
        <v>6</v>
      </c>
      <c r="C35" s="14">
        <f t="shared" ref="C35:C75" si="24">3*C34-D34^3-0.5*C34*E34</f>
        <v>-1.53640982315772</v>
      </c>
      <c r="D35" s="15">
        <f t="shared" ref="D35:D75" si="25">C34^2-(D34+0.1)^2+2*E34+0.9</f>
        <v>-0.125202220217742</v>
      </c>
      <c r="E35" s="15">
        <f t="shared" ref="E35:E75" si="26">EXP(-C34)+1/D34+1.5*E34+2</f>
        <v>0.0127622927040971</v>
      </c>
      <c r="G35" s="1">
        <f>MAX(ABS(C35),ABS(D35),ABS(E35))</f>
        <v>1.53640982315772</v>
      </c>
    </row>
    <row r="36" spans="1:7">
      <c r="C36" s="18">
        <f t="shared" ref="C36" si="27">3-0.5*E34</f>
        <v>3.82558108210258</v>
      </c>
      <c r="D36" s="19">
        <f t="shared" ref="D36" si="28">-3*D34^2</f>
        <v>-16.1035049750792</v>
      </c>
      <c r="E36" s="20">
        <f t="shared" ref="E36" si="29">-0.5*C34</f>
        <v>-1.42463406463843</v>
      </c>
    </row>
    <row r="37" spans="1:7">
      <c r="B37" t="s">
        <v>7</v>
      </c>
      <c r="C37" s="21">
        <f t="shared" ref="C37" si="30">2*C34</f>
        <v>5.69853625855374</v>
      </c>
      <c r="D37" s="15">
        <f t="shared" ref="D37" si="31">-2*(D34+0.1)</f>
        <v>-4.83371772627254</v>
      </c>
      <c r="E37" s="22">
        <f>2</f>
        <v>2</v>
      </c>
    </row>
    <row r="38" spans="1:7">
      <c r="C38" s="23">
        <f t="shared" ref="C38" si="32">-EXP(-C34)</f>
        <v>-0.0578866709352805</v>
      </c>
      <c r="D38" s="24">
        <f t="shared" ref="D38" si="33">-1/D34^2</f>
        <v>-0.186294847279683</v>
      </c>
      <c r="E38" s="25">
        <f t="shared" ref="E38:E75" si="34">1.5</f>
        <v>1.5</v>
      </c>
    </row>
    <row r="40" spans="1:7">
      <c r="C40" s="26" cm="1">
        <f t="array" ref="C40:E42">MINVERSE(C36:E38)</f>
        <v>-0.0597500281608589</v>
      </c>
      <c r="D40" s="27">
        <v>0.212145662973652</v>
      </c>
      <c r="E40" s="28">
        <v>-0.339608834285579</v>
      </c>
    </row>
    <row r="41" spans="1:7">
      <c r="B41" t="s">
        <v>8</v>
      </c>
      <c r="C41" s="29">
        <v>-0.0752617039312876</v>
      </c>
      <c r="D41" s="30">
        <v>0.0491336267948232</v>
      </c>
      <c r="E41" s="31">
        <v>-0.136991760515261</v>
      </c>
    </row>
    <row r="42" spans="1:7">
      <c r="C42" s="32">
        <v>-0.0116530652389395</v>
      </c>
      <c r="D42" s="33">
        <v>0.0142891651219608</v>
      </c>
      <c r="E42" s="34">
        <v>0.636546877372821</v>
      </c>
    </row>
    <row r="43" spans="1:7">
      <c r="A43" s="1"/>
      <c r="B43" t="s">
        <v>9</v>
      </c>
      <c r="C43" s="14" cm="1">
        <f t="array" ref="C43:E43">-TRANSPOSE(MMULT(C40:E42,TRANSPOSE(C35:E35)))</f>
        <v>-0.0609052348383781</v>
      </c>
      <c r="D43" s="15">
        <v>-0.107732853119811</v>
      </c>
      <c r="E43" s="15">
        <v>-0.024238646273588</v>
      </c>
    </row>
    <row r="44" spans="1:7">
      <c r="A44" t="s">
        <v>4</v>
      </c>
      <c r="B44" s="17" t="s">
        <v>5</v>
      </c>
      <c r="C44" s="35">
        <f t="shared" ref="C44:E44" si="35">C34+C43</f>
        <v>2.78836289443849</v>
      </c>
      <c r="D44" s="35">
        <f t="shared" si="35"/>
        <v>2.20912601001646</v>
      </c>
      <c r="E44" s="35">
        <f t="shared" si="35"/>
        <v>-1.67540081047874</v>
      </c>
    </row>
    <row r="45" spans="1:7">
      <c r="A45" s="1">
        <f>1+A35</f>
        <v>5</v>
      </c>
      <c r="B45" t="s">
        <v>6</v>
      </c>
      <c r="C45" s="14">
        <f t="shared" ref="C45:C75" si="36">3*C44-D44^3-0.5*C44*E44</f>
        <v>-0.0801586903373028</v>
      </c>
      <c r="D45" s="15">
        <f t="shared" ref="D45:D75" si="37">C44^2-(D44+0.1)^2+2*E44+0.9</f>
        <v>-0.00789692001061659</v>
      </c>
      <c r="E45" s="15">
        <f t="shared" ref="E45:E75" si="38">EXP(-C44)+1/D44+1.5*E44+2</f>
        <v>0.00108833810348496</v>
      </c>
      <c r="G45" s="1">
        <f>MAX(ABS(C45),ABS(D45),ABS(E45))</f>
        <v>0.0801586903373028</v>
      </c>
    </row>
    <row r="46" spans="1:7">
      <c r="C46" s="18">
        <f t="shared" ref="C46" si="39">3-0.5*E44</f>
        <v>3.83770040523937</v>
      </c>
      <c r="D46" s="19">
        <f t="shared" ref="D46" si="40">-3*D44^2</f>
        <v>-14.6407131843937</v>
      </c>
      <c r="E46" s="20">
        <f t="shared" ref="E46" si="41">-0.5*C44</f>
        <v>-1.39418144721925</v>
      </c>
    </row>
    <row r="47" spans="1:7">
      <c r="B47" t="s">
        <v>7</v>
      </c>
      <c r="C47" s="21">
        <f t="shared" ref="C47" si="42">2*C44</f>
        <v>5.57672578887698</v>
      </c>
      <c r="D47" s="15">
        <f t="shared" ref="D47" si="43">-2*(D44+0.1)</f>
        <v>-4.61825202003291</v>
      </c>
      <c r="E47" s="22">
        <f>2</f>
        <v>2</v>
      </c>
    </row>
    <row r="48" spans="1:7">
      <c r="C48" s="23">
        <f t="shared" ref="C48" si="44">-EXP(-C44)</f>
        <v>-0.0615218492787757</v>
      </c>
      <c r="D48" s="24">
        <f t="shared" ref="D48" si="45">-1/D44^2</f>
        <v>-0.204908050736071</v>
      </c>
      <c r="E48" s="25">
        <f t="shared" ref="E48:E75" si="46">1.5</f>
        <v>1.5</v>
      </c>
    </row>
    <row r="50" spans="1:7">
      <c r="C50" s="26" cm="1">
        <f t="array" ref="C50:E52">MINVERSE(C46:E48)</f>
        <v>-0.0643715321656237</v>
      </c>
      <c r="D50" s="27">
        <v>0.219722853472094</v>
      </c>
      <c r="E50" s="28">
        <v>-0.352794201879052</v>
      </c>
    </row>
    <row r="51" spans="1:7">
      <c r="B51" t="s">
        <v>8</v>
      </c>
      <c r="C51" s="29">
        <v>-0.08383412273385</v>
      </c>
      <c r="D51" s="30">
        <v>0.0560081624991492</v>
      </c>
      <c r="E51" s="31">
        <v>-0.152597535705155</v>
      </c>
    </row>
    <row r="52" spans="1:7">
      <c r="C52" s="32">
        <v>-0.014092361582866</v>
      </c>
      <c r="D52" s="33">
        <v>0.0166628531182816</v>
      </c>
      <c r="E52" s="34">
        <v>0.6313513231314</v>
      </c>
    </row>
    <row r="53" spans="1:7">
      <c r="A53" s="1"/>
      <c r="B53" t="s">
        <v>9</v>
      </c>
      <c r="C53" s="14" cm="1">
        <f t="array" ref="C53:E53">-TRANSPOSE(MMULT(C50:E52,TRANSPOSE(C45:E45)))</f>
        <v>-0.00304084454243486</v>
      </c>
      <c r="D53" s="15">
        <v>-0.00611166379211889</v>
      </c>
      <c r="E53" s="15">
        <v>-0.00168516373166809</v>
      </c>
    </row>
    <row r="54" spans="1:7">
      <c r="A54" t="s">
        <v>4</v>
      </c>
      <c r="B54" s="17" t="s">
        <v>5</v>
      </c>
      <c r="C54" s="35">
        <f t="shared" ref="C54:E54" si="47">C44+C53</f>
        <v>2.78532204989605</v>
      </c>
      <c r="D54" s="35">
        <f t="shared" si="47"/>
        <v>2.20301434622434</v>
      </c>
      <c r="E54" s="35">
        <f t="shared" si="47"/>
        <v>-1.67708597421041</v>
      </c>
    </row>
    <row r="55" spans="1:7">
      <c r="A55" s="1">
        <f>1+A45</f>
        <v>6</v>
      </c>
      <c r="B55" t="s">
        <v>6</v>
      </c>
      <c r="C55" s="14">
        <f t="shared" ref="C55:C75" si="48">3*C54-D54^3-0.5*C54*E54</f>
        <v>-0.000249882577451732</v>
      </c>
      <c r="D55" s="15">
        <f t="shared" ref="D55:D75" si="49">C54^2-(D54+0.1)^2+2*E54+0.9</f>
        <v>-2.81056987775363e-5</v>
      </c>
      <c r="E55" s="15">
        <f t="shared" ref="E55:E75" si="50">EXP(-C54)+1/D54+1.5*E54+2</f>
        <v>3.75897299287331e-6</v>
      </c>
      <c r="G55" s="1">
        <f>MAX(ABS(C55),ABS(D55),ABS(E55))</f>
        <v>0.000249882577451732</v>
      </c>
    </row>
    <row r="56" spans="1:7">
      <c r="C56" s="18">
        <f t="shared" ref="C56" si="51">3-0.5*E54</f>
        <v>3.83854298710521</v>
      </c>
      <c r="D56" s="19">
        <f t="shared" ref="D56" si="52">-3*D54^2</f>
        <v>-14.5598166290107</v>
      </c>
      <c r="E56" s="20">
        <f t="shared" ref="E56" si="53">-0.5*C54</f>
        <v>-1.39266102494803</v>
      </c>
    </row>
    <row r="57" spans="1:7">
      <c r="B57" t="s">
        <v>7</v>
      </c>
      <c r="C57" s="21">
        <f t="shared" ref="C57" si="54">2*C54</f>
        <v>5.57064409979211</v>
      </c>
      <c r="D57" s="15">
        <f t="shared" ref="D57" si="55">-2*(D54+0.1)</f>
        <v>-4.60602869244868</v>
      </c>
      <c r="E57" s="22">
        <f>2</f>
        <v>2</v>
      </c>
    </row>
    <row r="58" spans="1:7">
      <c r="C58" s="23">
        <f t="shared" ref="C58" si="56">-EXP(-C54)</f>
        <v>-0.0617092123850605</v>
      </c>
      <c r="D58" s="24">
        <f t="shared" ref="D58" si="57">-1/D54^2</f>
        <v>-0.206046551027465</v>
      </c>
      <c r="E58" s="25">
        <f t="shared" ref="E58:E75" si="58">1.5</f>
        <v>1.5</v>
      </c>
    </row>
    <row r="60" spans="1:7">
      <c r="C60" s="26" cm="1">
        <f t="array" ref="C60:E62">MINVERSE(C56:E58)</f>
        <v>-0.0646373807845767</v>
      </c>
      <c r="D60" s="27">
        <v>0.220135682396538</v>
      </c>
      <c r="E60" s="28">
        <v>-0.353526217177653</v>
      </c>
    </row>
    <row r="61" spans="1:7">
      <c r="B61" t="s">
        <v>8</v>
      </c>
      <c r="C61" s="29">
        <v>-0.084360386782267</v>
      </c>
      <c r="D61" s="30">
        <v>0.0564288032349974</v>
      </c>
      <c r="E61" s="31">
        <v>-0.153562019460799</v>
      </c>
    </row>
    <row r="62" spans="1:7">
      <c r="C62" s="32">
        <v>-0.0142472590657857</v>
      </c>
      <c r="D62" s="33">
        <v>0.0168075732424779</v>
      </c>
      <c r="E62" s="34">
        <v>0.631028834067858</v>
      </c>
    </row>
    <row r="63" spans="1:7">
      <c r="A63" s="1"/>
      <c r="B63" t="s">
        <v>9</v>
      </c>
      <c r="C63" s="14" cm="1">
        <f t="array" ref="C63:E63">-TRANSPOSE(MMULT(C60:E62,TRANSPOSE(C55:E55)))</f>
        <v>-8.63579262791114e-6</v>
      </c>
      <c r="D63" s="15">
        <v>-1.8916984453994e-5</v>
      </c>
      <c r="E63" s="15">
        <v>-5.45977357123204e-6</v>
      </c>
    </row>
    <row r="64" spans="1:7">
      <c r="A64" t="s">
        <v>4</v>
      </c>
      <c r="B64" s="17" t="s">
        <v>5</v>
      </c>
      <c r="C64" s="35">
        <f t="shared" ref="C64:E64" si="59">C54+C63</f>
        <v>2.78531341410343</v>
      </c>
      <c r="D64" s="35">
        <f t="shared" si="59"/>
        <v>2.20299542923988</v>
      </c>
      <c r="E64" s="35">
        <f t="shared" si="59"/>
        <v>-1.67709143398398</v>
      </c>
    </row>
    <row r="65" spans="1:7">
      <c r="A65" s="1">
        <f>1+A55</f>
        <v>7</v>
      </c>
      <c r="B65" t="s">
        <v>6</v>
      </c>
      <c r="C65" s="14">
        <f t="shared" ref="C65:C75" si="60">3*C64-D64^3-0.5*C64*E64</f>
        <v>-2.38862796209105e-9</v>
      </c>
      <c r="D65" s="15">
        <f t="shared" ref="D65:D75" si="61">C64^2-(D64+0.1)^2+2*E64+0.9</f>
        <v>-2.83276402335275e-10</v>
      </c>
      <c r="E65" s="15">
        <f t="shared" ref="E65:E75" si="62">EXP(-C64)+1/D64+1.5*E64+2</f>
        <v>3.57713858534225e-11</v>
      </c>
      <c r="G65" s="1">
        <f>MAX(ABS(C65),ABS(D65),ABS(E65))</f>
        <v>2.38862796209105e-9</v>
      </c>
    </row>
    <row r="66" spans="1:7">
      <c r="C66" s="18">
        <f t="shared" ref="C66" si="63">3-0.5*E64</f>
        <v>3.83854571699199</v>
      </c>
      <c r="D66" s="19">
        <f t="shared" ref="D66" si="64">-3*D64^2</f>
        <v>-14.5595665837555</v>
      </c>
      <c r="E66" s="20">
        <f t="shared" ref="E66" si="65">-0.5*C64</f>
        <v>-1.39265670705171</v>
      </c>
    </row>
    <row r="67" spans="1:7">
      <c r="B67" t="s">
        <v>7</v>
      </c>
      <c r="C67" s="21">
        <f t="shared" ref="C67" si="66">2*C64</f>
        <v>5.57062682820685</v>
      </c>
      <c r="D67" s="15">
        <f t="shared" ref="D67" si="67">-2*(D64+0.1)</f>
        <v>-4.60599085847977</v>
      </c>
      <c r="E67" s="22">
        <f>2</f>
        <v>2</v>
      </c>
    </row>
    <row r="68" spans="1:7">
      <c r="C68" s="23">
        <f t="shared" ref="C68" si="68">-EXP(-C64)</f>
        <v>-0.0617097452953229</v>
      </c>
      <c r="D68" s="24">
        <f t="shared" ref="D68" si="69">-1/D64^2</f>
        <v>-0.206050089660443</v>
      </c>
      <c r="E68" s="25">
        <f t="shared" ref="E68:E75" si="70">1.5</f>
        <v>1.5</v>
      </c>
    </row>
    <row r="70" spans="1:7">
      <c r="C70" s="26" cm="1">
        <f t="array" ref="C70:E72">MINVERSE(C66:E68)</f>
        <v>-0.0646381850761643</v>
      </c>
      <c r="D70" s="27">
        <v>0.220136892899214</v>
      </c>
      <c r="E70" s="28">
        <v>-0.353528391850932</v>
      </c>
    </row>
    <row r="71" spans="1:7">
      <c r="B71" t="s">
        <v>8</v>
      </c>
      <c r="C71" s="29">
        <v>-0.0843620181419046</v>
      </c>
      <c r="D71" s="30">
        <v>0.0564300957810504</v>
      </c>
      <c r="E71" s="31">
        <v>-0.153565014631895</v>
      </c>
    </row>
    <row r="72" spans="1:7">
      <c r="C72" s="32">
        <v>-0.0142477382263183</v>
      </c>
      <c r="D72" s="33">
        <v>0.0168080119240981</v>
      </c>
      <c r="E72" s="34">
        <v>0.631027845300403</v>
      </c>
    </row>
    <row r="73" spans="1:7">
      <c r="A73" s="1"/>
      <c r="B73" t="s">
        <v>9</v>
      </c>
      <c r="C73" s="14" cm="1">
        <f t="array" ref="C73:E73">-TRANSPOSE(MMULT(C70:E72,TRANSPOSE(C65:E65)))</f>
        <v>-7.93907887349477e-11</v>
      </c>
      <c r="D73" s="15">
        <v>-1.80030927563911e-10</v>
      </c>
      <c r="E73" s="15">
        <v>-5.1843973314165e-11</v>
      </c>
    </row>
    <row r="74" spans="1:7">
      <c r="A74" t="s">
        <v>4</v>
      </c>
      <c r="B74" s="17" t="s">
        <v>5</v>
      </c>
      <c r="C74" s="35">
        <f t="shared" ref="C74:E74" si="71">C64+C73</f>
        <v>2.78531341402404</v>
      </c>
      <c r="D74" s="35">
        <f t="shared" si="71"/>
        <v>2.20299542905985</v>
      </c>
      <c r="E74" s="35">
        <f t="shared" si="71"/>
        <v>-1.67709143403583</v>
      </c>
    </row>
    <row r="75" spans="1:7">
      <c r="A75" s="1">
        <f>1+A65</f>
        <v>8</v>
      </c>
      <c r="B75" t="s">
        <v>6</v>
      </c>
      <c r="C75" s="14">
        <f t="shared" ref="C75" si="72">3*C74-D74^3-0.5*C74*E74</f>
        <v>0</v>
      </c>
      <c r="D75" s="15">
        <f t="shared" ref="D75" si="73">C74^2-(D74+0.1)^2+2*E74+0.9</f>
        <v>9.99200722162641e-16</v>
      </c>
      <c r="E75" s="15">
        <f t="shared" ref="E75" si="74">EXP(-C74)+1/D74+1.5*E74+2</f>
        <v>0</v>
      </c>
      <c r="G75" s="1">
        <f>MAX(ABS(C75),ABS(D75),ABS(E75))</f>
        <v>9.99200722162641e-16</v>
      </c>
    </row>
    <row r="76" spans="1:7">
      <c r="C76"/>
      <c r="D76"/>
      <c r="E76"/>
    </row>
    <row r="77" spans="1:7">
      <c r="C77"/>
      <c r="D77"/>
      <c r="E77"/>
    </row>
    <row r="78" spans="1:7">
      <c r="C78"/>
      <c r="D78"/>
      <c r="E78"/>
    </row>
    <row r="79" spans="1:7">
      <c r="C79"/>
      <c r="D79"/>
      <c r="E79"/>
    </row>
    <row r="80" spans="1:7">
      <c r="C80"/>
      <c r="D80"/>
      <c r="E80"/>
    </row>
    <row r="81" spans="3:5">
      <c r="C81"/>
      <c r="D81"/>
      <c r="E81"/>
    </row>
    <row r="82" spans="3:5">
      <c r="C82"/>
      <c r="D82"/>
      <c r="E82"/>
    </row>
    <row r="83" spans="3:5">
      <c r="C83"/>
      <c r="D83"/>
      <c r="E83"/>
    </row>
    <row r="84" spans="3:5">
      <c r="C84"/>
      <c r="D84"/>
      <c r="E84"/>
    </row>
    <row r="85" spans="3:5">
      <c r="C85"/>
      <c r="D85"/>
      <c r="E85"/>
    </row>
    <row r="86" spans="3:5">
      <c r="C86"/>
      <c r="D86"/>
      <c r="E86"/>
    </row>
    <row r="87" spans="3:5">
      <c r="C87"/>
      <c r="D87"/>
      <c r="E87"/>
    </row>
    <row r="88" spans="3:5">
      <c r="C88"/>
      <c r="D88"/>
      <c r="E88"/>
    </row>
    <row r="89" spans="3:5">
      <c r="C89"/>
      <c r="D89"/>
      <c r="E89"/>
    </row>
    <row r="90" spans="3:5">
      <c r="C90"/>
      <c r="D90"/>
      <c r="E90"/>
    </row>
    <row r="91" spans="3:5">
      <c r="C91"/>
      <c r="D91"/>
      <c r="E91"/>
    </row>
    <row r="92" spans="3:5">
      <c r="C92"/>
      <c r="D92"/>
      <c r="E92"/>
    </row>
    <row r="93" spans="3:5">
      <c r="C93"/>
      <c r="D93"/>
      <c r="E93"/>
    </row>
    <row r="94" spans="3:5">
      <c r="C94"/>
      <c r="D94"/>
      <c r="E94"/>
    </row>
    <row r="95" spans="3:5">
      <c r="C95"/>
      <c r="D95"/>
      <c r="E95"/>
    </row>
    <row r="96" spans="3:5">
      <c r="C96"/>
      <c r="D96"/>
      <c r="E96"/>
    </row>
    <row r="97" spans="3:5">
      <c r="C97"/>
      <c r="D97"/>
      <c r="E97"/>
    </row>
    <row r="98" spans="3:5">
      <c r="C98"/>
      <c r="D98"/>
      <c r="E98"/>
    </row>
    <row r="99" spans="3:5">
      <c r="C99"/>
      <c r="D99"/>
      <c r="E99"/>
    </row>
    <row r="100" spans="3:5">
      <c r="C100"/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>
      <c r="C104"/>
      <c r="D104"/>
      <c r="E104"/>
    </row>
    <row r="105" spans="3:5">
      <c r="C105"/>
      <c r="D105"/>
      <c r="E105"/>
    </row>
    <row r="106" spans="3:5">
      <c r="C106"/>
      <c r="D106"/>
      <c r="E106"/>
    </row>
    <row r="107" spans="3:5">
      <c r="C107"/>
      <c r="D107"/>
      <c r="E107"/>
    </row>
    <row r="108" spans="3:5">
      <c r="C108"/>
      <c r="D108"/>
      <c r="E108"/>
    </row>
    <row r="109" spans="3:5">
      <c r="C109"/>
      <c r="D109"/>
      <c r="E109"/>
    </row>
    <row r="110" spans="3:5">
      <c r="C110"/>
      <c r="D110"/>
      <c r="E110"/>
    </row>
    <row r="111" spans="3:5">
      <c r="C111"/>
      <c r="D111"/>
      <c r="E111"/>
    </row>
    <row r="112" spans="3:5">
      <c r="C112"/>
      <c r="D112"/>
      <c r="E112"/>
    </row>
    <row r="113" spans="3:5">
      <c r="C113"/>
      <c r="D113"/>
      <c r="E113"/>
    </row>
    <row r="114" spans="3:5">
      <c r="C114"/>
      <c r="D114"/>
      <c r="E114"/>
    </row>
    <row r="115" spans="3:5">
      <c r="C115"/>
      <c r="D115"/>
      <c r="E115"/>
    </row>
    <row r="116" spans="3:5">
      <c r="C116"/>
      <c r="D116"/>
      <c r="E116"/>
    </row>
    <row r="117" spans="3:5">
      <c r="C117"/>
      <c r="D117"/>
      <c r="E117"/>
    </row>
    <row r="118" spans="3:5">
      <c r="C118"/>
      <c r="D118"/>
      <c r="E118"/>
    </row>
    <row r="119" spans="3:5">
      <c r="C119"/>
      <c r="D119"/>
      <c r="E119"/>
    </row>
    <row r="120" spans="3:5">
      <c r="C120"/>
      <c r="D120"/>
      <c r="E120"/>
    </row>
    <row r="121" spans="3:5">
      <c r="C121"/>
      <c r="D121"/>
      <c r="E121"/>
    </row>
    <row r="122" spans="3:5">
      <c r="C122"/>
      <c r="D122"/>
      <c r="E122"/>
    </row>
    <row r="123" spans="3:5">
      <c r="C123"/>
      <c r="D123"/>
      <c r="E123"/>
    </row>
    <row r="124" spans="3:5">
      <c r="C124"/>
      <c r="D124"/>
      <c r="E124"/>
    </row>
    <row r="125" spans="3:5">
      <c r="C125"/>
      <c r="D125"/>
      <c r="E125"/>
    </row>
    <row r="126" spans="3:5">
      <c r="C126"/>
      <c r="D126"/>
      <c r="E126"/>
    </row>
    <row r="127" spans="3:5">
      <c r="C127"/>
      <c r="D127"/>
      <c r="E127"/>
    </row>
    <row r="128" spans="3:5">
      <c r="C128"/>
      <c r="D128"/>
      <c r="E128"/>
    </row>
    <row r="129" spans="3:5">
      <c r="C129"/>
      <c r="D129"/>
      <c r="E129"/>
    </row>
    <row r="130" spans="3:5">
      <c r="C130"/>
      <c r="D130"/>
      <c r="E130"/>
    </row>
    <row r="131" spans="3:5">
      <c r="C131"/>
      <c r="D131"/>
      <c r="E131"/>
    </row>
    <row r="132" spans="3:5">
      <c r="C132"/>
      <c r="D132"/>
      <c r="E132"/>
    </row>
    <row r="133" spans="3:5">
      <c r="C133"/>
      <c r="D133"/>
      <c r="E133"/>
    </row>
    <row r="134" spans="3:5">
      <c r="C134"/>
      <c r="D134"/>
      <c r="E134"/>
    </row>
    <row r="135" spans="3:5">
      <c r="C135"/>
      <c r="D135"/>
      <c r="E135"/>
    </row>
    <row r="136" spans="3:5">
      <c r="C136"/>
      <c r="D136"/>
      <c r="E136"/>
    </row>
    <row r="137" spans="3:5">
      <c r="C137"/>
      <c r="D137"/>
      <c r="E137"/>
    </row>
    <row r="138" spans="3:5">
      <c r="C138"/>
      <c r="D138"/>
      <c r="E138"/>
    </row>
    <row r="139" spans="3:5">
      <c r="C139"/>
      <c r="D139"/>
      <c r="E139"/>
    </row>
    <row r="140" spans="3:5">
      <c r="C140"/>
      <c r="D140"/>
      <c r="E140"/>
    </row>
    <row r="141" spans="3:5">
      <c r="C141"/>
      <c r="D141"/>
      <c r="E141"/>
    </row>
    <row r="142" spans="3:5">
      <c r="C142"/>
      <c r="D142"/>
      <c r="E142"/>
    </row>
    <row r="143" spans="3:5">
      <c r="C143"/>
      <c r="D143"/>
      <c r="E143"/>
    </row>
    <row r="144" spans="3:5">
      <c r="C144"/>
      <c r="D144"/>
      <c r="E144"/>
    </row>
    <row r="145" spans="3:5">
      <c r="C145"/>
      <c r="D145"/>
      <c r="E145"/>
    </row>
    <row r="146" spans="3:5">
      <c r="C146"/>
      <c r="D146"/>
      <c r="E146"/>
    </row>
    <row r="147" spans="3:5">
      <c r="C147"/>
      <c r="D147"/>
      <c r="E147"/>
    </row>
    <row r="148" spans="3:5">
      <c r="C148"/>
      <c r="D148"/>
      <c r="E148"/>
    </row>
    <row r="149" spans="3:5">
      <c r="C149"/>
      <c r="D149"/>
      <c r="E149"/>
    </row>
    <row r="150" spans="3:5">
      <c r="C150"/>
      <c r="D150"/>
      <c r="E150"/>
    </row>
    <row r="151" spans="3:5">
      <c r="C151"/>
      <c r="D151"/>
      <c r="E151"/>
    </row>
    <row r="152" spans="3:5">
      <c r="C152"/>
      <c r="D152"/>
      <c r="E152"/>
    </row>
    <row r="153" spans="3:5">
      <c r="C153"/>
      <c r="D153"/>
      <c r="E153"/>
    </row>
    <row r="154" spans="3:5">
      <c r="C154"/>
      <c r="D154"/>
      <c r="E154"/>
    </row>
    <row r="155" spans="3:5">
      <c r="C155"/>
      <c r="D155"/>
      <c r="E155"/>
    </row>
    <row r="156" spans="3:5">
      <c r="C156"/>
      <c r="D156"/>
      <c r="E156"/>
    </row>
    <row r="157" spans="3:5">
      <c r="C157"/>
      <c r="D157"/>
      <c r="E157"/>
    </row>
    <row r="158" spans="3:5">
      <c r="C158"/>
      <c r="D158"/>
      <c r="E158"/>
    </row>
    <row r="159" spans="3:5">
      <c r="C159"/>
      <c r="D159"/>
      <c r="E159"/>
    </row>
    <row r="160" spans="3:5">
      <c r="C160"/>
      <c r="D160"/>
      <c r="E160"/>
    </row>
    <row r="161" spans="3:5">
      <c r="C161"/>
      <c r="D161"/>
      <c r="E161"/>
    </row>
    <row r="165" spans="3:5">
      <c r="C165" s="36"/>
    </row>
  </sheetData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Equation.DSMT4" r:id="rId3">
          <objectPr defaultSize="0" r:id="rId4">
            <anchor moveWithCells="1" sizeWithCells="1">
              <from>
                <xdr:col>7</xdr:col>
                <xdr:colOff>361950</xdr:colOff>
                <xdr:row>9</xdr:row>
                <xdr:rowOff>95250</xdr:rowOff>
              </from>
              <to>
                <xdr:col>18</xdr:col>
                <xdr:colOff>533400</xdr:colOff>
                <xdr:row>17</xdr:row>
                <xdr:rowOff>146050</xdr:rowOff>
              </to>
            </anchor>
          </objectPr>
        </oleObject>
      </mc:Choice>
      <mc:Fallback>
        <oleObject shapeId="1025" progId="Equation.DSMT4" r:id="rId3"/>
      </mc:Fallback>
    </mc:AlternateContent>
    <mc:AlternateContent xmlns:mc="http://schemas.openxmlformats.org/markup-compatibility/2006">
      <mc:Choice Requires="x14">
        <oleObject shapeId="1026" progId="Equation.DSMT4" r:id="rId5">
          <objectPr defaultSize="0" r:id="rId6">
            <anchor moveWithCells="1" sizeWithCells="1">
              <from>
                <xdr:col>7</xdr:col>
                <xdr:colOff>393700</xdr:colOff>
                <xdr:row>2</xdr:row>
                <xdr:rowOff>88900</xdr:rowOff>
              </from>
              <to>
                <xdr:col>18</xdr:col>
                <xdr:colOff>419100</xdr:colOff>
                <xdr:row>8</xdr:row>
                <xdr:rowOff>57150</xdr:rowOff>
              </to>
            </anchor>
          </objectPr>
        </oleObject>
      </mc:Choice>
      <mc:Fallback>
        <oleObject shapeId="1026" progId="Equation.DSMT4" r:id="rId5"/>
      </mc:Fallback>
    </mc:AlternateContent>
    <mc:AlternateContent xmlns:mc="http://schemas.openxmlformats.org/markup-compatibility/2006">
      <mc:Choice Requires="x14">
        <oleObject shapeId="1027" r:id="rId7">
          <objectPr defaultSize="0" r:id="rId8">
            <anchor moveWithCells="1">
              <from>
                <xdr:col>7</xdr:col>
                <xdr:colOff>495300</xdr:colOff>
                <xdr:row>21</xdr:row>
                <xdr:rowOff>0</xdr:rowOff>
              </from>
              <to>
                <xdr:col>18</xdr:col>
                <xdr:colOff>228600</xdr:colOff>
                <xdr:row>28</xdr:row>
                <xdr:rowOff>146050</xdr:rowOff>
              </to>
            </anchor>
          </objectPr>
        </oleObject>
      </mc:Choice>
      <mc:Fallback>
        <oleObject shapeId="1027" r:id="rId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878"/>
  <sheetViews>
    <sheetView tabSelected="1" workbookViewId="0">
      <selection activeCell="G6" sqref="G6"/>
    </sheetView>
  </sheetViews>
  <sheetFormatPr defaultColWidth="9" defaultRowHeight="16.8"/>
  <cols>
    <col min="2" max="2" width="11.9038461538462" customWidth="1"/>
    <col min="3" max="3" width="18.9038461538462" style="14" customWidth="1"/>
    <col min="4" max="4" width="17.3653846153846" style="15" customWidth="1"/>
    <col min="5" max="5" width="16.2692307692308" style="15" customWidth="1"/>
    <col min="6" max="6" width="5.53846153846154" customWidth="1"/>
    <col min="7" max="7" width="13.3653846153846" style="1" customWidth="1"/>
    <col min="8" max="8" width="10.3653846153846" style="2" customWidth="1"/>
    <col min="13" max="13" width="10.3653846153846" style="2"/>
    <col min="17" max="17" width="10.3653846153846" customWidth="1"/>
    <col min="19" max="19" width="9.36538461538461" customWidth="1"/>
    <col min="20" max="23" width="10.3653846153846" customWidth="1"/>
    <col min="25" max="25" width="10.3653846153846" customWidth="1"/>
  </cols>
  <sheetData>
    <row r="2" spans="1:7">
      <c r="A2" s="1"/>
    </row>
    <row r="3" ht="17" spans="1:7">
      <c r="C3" s="14" t="s">
        <v>0</v>
      </c>
      <c r="D3" s="15" t="s">
        <v>1</v>
      </c>
      <c r="E3" s="15" t="s">
        <v>2</v>
      </c>
      <c r="F3" t="s">
        <v>10</v>
      </c>
      <c r="G3" s="16" t="s">
        <v>11</v>
      </c>
    </row>
    <row r="4" spans="1:7">
      <c r="A4" t="s">
        <v>4</v>
      </c>
      <c r="B4" s="17" t="s">
        <v>5</v>
      </c>
      <c r="C4" s="4">
        <v>1</v>
      </c>
      <c r="D4" s="4">
        <v>1</v>
      </c>
      <c r="E4" s="4">
        <v>1</v>
      </c>
      <c r="F4">
        <v>1</v>
      </c>
    </row>
    <row r="5" spans="1:7">
      <c r="A5" s="1">
        <v>1</v>
      </c>
      <c r="B5" t="s">
        <v>6</v>
      </c>
      <c r="C5" s="14">
        <f>3*C4-D4^3-0.5*C4*E4</f>
        <v>1.5</v>
      </c>
      <c r="D5" s="15">
        <f>C4^2-(D4+0.1)^2+2*E4+0.9</f>
        <v>2.69</v>
      </c>
      <c r="E5" s="15">
        <f>EXP(-C4)+1/D4+1.5*E4+2</f>
        <v>4.86787944117144</v>
      </c>
      <c r="G5" s="1">
        <f>0.5*(C5*C5+D5*D5+E5*E5)</f>
        <v>16.5911751268898</v>
      </c>
    </row>
    <row r="6" spans="1:7">
      <c r="C6" s="18">
        <f>3-0.5*E4</f>
        <v>2.5</v>
      </c>
      <c r="D6" s="19">
        <f>-3*D4^2</f>
        <v>-3</v>
      </c>
      <c r="E6" s="20">
        <f>-0.5*C4</f>
        <v>-0.5</v>
      </c>
    </row>
    <row r="7" spans="1:7">
      <c r="B7" t="s">
        <v>7</v>
      </c>
      <c r="C7" s="21">
        <f>2*C4</f>
        <v>2</v>
      </c>
      <c r="D7" s="15">
        <f>-2*(D4+0.1)</f>
        <v>-2.2</v>
      </c>
      <c r="E7" s="22">
        <f>2</f>
        <v>2</v>
      </c>
    </row>
    <row r="8" spans="1:7">
      <c r="C8" s="23">
        <f>-EXP(-C4)</f>
        <v>-0.367879441171442</v>
      </c>
      <c r="D8" s="24">
        <f>-1/D4^2</f>
        <v>-1</v>
      </c>
      <c r="E8" s="25">
        <f>1.5</f>
        <v>1.5</v>
      </c>
    </row>
    <row r="9" spans="1:7">
      <c r="B9" t="s">
        <v>12</v>
      </c>
      <c r="C9" cm="1">
        <f t="array" ref="C9:E9">-MMULT(C5:E5,C6:E8)</f>
        <v>-7.3392072314919</v>
      </c>
      <c r="D9">
        <v>15.2858794411714</v>
      </c>
      <c r="E9">
        <v>-11.9318191617572</v>
      </c>
      <c r="F9">
        <f>F4</f>
        <v>1</v>
      </c>
      <c r="G9"/>
    </row>
    <row r="10" spans="1:7">
      <c r="B10" t="s">
        <v>13</v>
      </c>
      <c r="C10">
        <f>G5/SUMPRODUCT(_xlfn.ANCHORARRAY(C9),_xlfn.ANCHORARRAY(C9))</f>
        <v>0.0385939668286875</v>
      </c>
      <c r="D10"/>
      <c r="E10"/>
      <c r="G10"/>
    </row>
    <row r="11" spans="1:7">
      <c r="A11" t="s">
        <v>4</v>
      </c>
      <c r="B11" s="17" t="s">
        <v>5</v>
      </c>
      <c r="C11" cm="1">
        <f t="array" ref="C11:E11">C4:E4+C10*(C9:E9)</f>
        <v>0.716750879558938</v>
      </c>
      <c r="D11">
        <v>1.58994272409989</v>
      </c>
      <c r="E11">
        <v>0.539503767065244</v>
      </c>
      <c r="G11"/>
    </row>
    <row r="12" spans="1:7">
      <c r="A12" s="1">
        <f>1+A5</f>
        <v>2</v>
      </c>
      <c r="B12" t="s">
        <v>6</v>
      </c>
      <c r="C12" s="14">
        <f t="shared" ref="C12:C75" si="0">3*C11-D11^3-0.5*C11*E11</f>
        <v>-2.06233687914657</v>
      </c>
      <c r="D12" s="15">
        <f t="shared" ref="D12:D75" si="1">C11^2-(D11+0.1)^2+2*E11+0.9</f>
        <v>-0.363167053259144</v>
      </c>
      <c r="E12" s="15">
        <f t="shared" ref="E12:E75" si="2">EXP(-C11)+1/D11+1.5*E11+2</f>
        <v>3.9265454694525</v>
      </c>
      <c r="G12" s="1">
        <f>0.5*(C12*C12+D12*D12+E12*E12)</f>
        <v>9.90144151766944</v>
      </c>
    </row>
    <row r="13" spans="1:7">
      <c r="C13" s="18">
        <f t="shared" ref="C13" si="3">3-0.5*E11</f>
        <v>2.73024811646738</v>
      </c>
      <c r="D13" s="19">
        <f t="shared" ref="D13" si="4">-3*D11^2</f>
        <v>-7.5837535977545</v>
      </c>
      <c r="E13" s="20">
        <f t="shared" ref="E13" si="5">-0.5*C11</f>
        <v>-0.358375439779469</v>
      </c>
    </row>
    <row r="14" spans="1:7">
      <c r="B14" t="s">
        <v>7</v>
      </c>
      <c r="C14" s="21">
        <f t="shared" ref="C14" si="6">2*C11</f>
        <v>1.43350175911788</v>
      </c>
      <c r="D14" s="15">
        <f t="shared" ref="D14" si="7">-2*(D11+0.1)</f>
        <v>-3.37988544819977</v>
      </c>
      <c r="E14" s="22">
        <f>2</f>
        <v>2</v>
      </c>
    </row>
    <row r="15" spans="1:7">
      <c r="C15" s="23">
        <f t="shared" ref="C15" si="8">-EXP(-C11)</f>
        <v>-0.488336344718554</v>
      </c>
      <c r="D15" s="24">
        <f t="shared" ref="D15" si="9">-1/D11^2</f>
        <v>-0.39558247262784</v>
      </c>
      <c r="E15" s="25">
        <f t="shared" ref="E15:E78" si="10">1.5</f>
        <v>1.5</v>
      </c>
    </row>
    <row r="16" spans="1:7">
      <c r="B16" t="s">
        <v>12</v>
      </c>
      <c r="C16" cm="1">
        <f t="array" ref="C16:E16">-MMULT(C12:E12,C13:E15)</f>
        <v>8.06876685143541</v>
      </c>
      <c r="D16">
        <v>-15.3144451998941</v>
      </c>
      <c r="E16">
        <v>-5.90257498369803</v>
      </c>
      <c r="F16">
        <f>F9</f>
        <v>1</v>
      </c>
      <c r="G16"/>
    </row>
    <row r="17" spans="1:7">
      <c r="B17" t="s">
        <v>13</v>
      </c>
      <c r="C17">
        <f t="shared" ref="C17" si="11">G12/SUMPRODUCT(_xlfn.ANCHORARRAY(C16),_xlfn.ANCHORARRAY(C16))</f>
        <v>0.0296027024669291</v>
      </c>
      <c r="D17"/>
      <c r="E17"/>
      <c r="G17"/>
    </row>
    <row r="18" spans="1:7">
      <c r="A18" t="s">
        <v>4</v>
      </c>
      <c r="B18" s="17" t="s">
        <v>5</v>
      </c>
      <c r="C18" cm="1">
        <f t="array" ref="C18:E18">C11:E11+C17*(C16:E16)</f>
        <v>0.955608183937001</v>
      </c>
      <c r="D18">
        <v>1.13659375940133</v>
      </c>
      <c r="E18">
        <v>0.364771596034092</v>
      </c>
      <c r="G18"/>
    </row>
    <row r="19" spans="1:7">
      <c r="A19" s="1">
        <f>1+A12</f>
        <v>3</v>
      </c>
      <c r="B19" t="s">
        <v>6</v>
      </c>
      <c r="C19" s="14">
        <f t="shared" ref="C19:C82" si="12">3*C18-D18^3-0.5*C18*E18</f>
        <v>1.2242318004944</v>
      </c>
      <c r="D19" s="15">
        <f t="shared" ref="D19:D82" si="13">C18^2-(D18+0.1)^2+2*E18+0.9</f>
        <v>1.01356606748525</v>
      </c>
      <c r="E19" s="15">
        <f t="shared" ref="E19:E82" si="14">EXP(-C18)+1/D18+1.5*E18+2</f>
        <v>3.811557401994</v>
      </c>
      <c r="G19" s="1">
        <f>0.5*(C19*C19+D19*D19+E19*E19)</f>
        <v>8.52701475159727</v>
      </c>
    </row>
    <row r="20" spans="1:7">
      <c r="C20" s="18">
        <f t="shared" ref="C20" si="15">3-0.5*E18</f>
        <v>2.81761420198295</v>
      </c>
      <c r="D20" s="19">
        <f t="shared" ref="D20" si="16">-3*D18^2</f>
        <v>-3.87553612173014</v>
      </c>
      <c r="E20" s="20">
        <f t="shared" ref="E20" si="17">-0.5*C18</f>
        <v>-0.4778040919685</v>
      </c>
    </row>
    <row r="21" spans="1:7">
      <c r="B21" t="s">
        <v>7</v>
      </c>
      <c r="C21" s="21">
        <f t="shared" ref="C21" si="18">2*C18</f>
        <v>1.911216367874</v>
      </c>
      <c r="D21" s="15">
        <f t="shared" ref="D21" si="19">-2*(D18+0.1)</f>
        <v>-2.47318751880266</v>
      </c>
      <c r="E21" s="22">
        <f>2</f>
        <v>2</v>
      </c>
    </row>
    <row r="22" spans="1:7">
      <c r="C22" s="23">
        <f t="shared" ref="C22" si="20">-EXP(-C18)</f>
        <v>-0.384578179142113</v>
      </c>
      <c r="D22" s="24">
        <f t="shared" ref="D22" si="21">-1/D18^2</f>
        <v>-0.774086450434301</v>
      </c>
      <c r="E22" s="25">
        <f t="shared" ref="E22:E85" si="22">1.5</f>
        <v>1.5</v>
      </c>
    </row>
    <row r="23" spans="1:7">
      <c r="B23" t="s">
        <v>12</v>
      </c>
      <c r="C23" cm="1">
        <f t="array" ref="C23:E23">-MMULT(C19:E19,C20:E22)</f>
        <v>-3.92071516033717</v>
      </c>
      <c r="D23">
        <v>10.2017684517093</v>
      </c>
      <c r="E23">
        <v>-7.15952527416731</v>
      </c>
      <c r="F23">
        <f>F16</f>
        <v>1</v>
      </c>
      <c r="G23"/>
    </row>
    <row r="24" spans="1:7">
      <c r="B24" t="s">
        <v>13</v>
      </c>
      <c r="C24">
        <f t="shared" ref="C24" si="23">G19/SUMPRODUCT(_xlfn.ANCHORARRAY(C23),_xlfn.ANCHORARRAY(C23))</f>
        <v>0.0499512046551844</v>
      </c>
      <c r="D24"/>
      <c r="E24"/>
      <c r="G24"/>
    </row>
    <row r="25" spans="1:7">
      <c r="A25" t="s">
        <v>4</v>
      </c>
      <c r="B25" s="17" t="s">
        <v>5</v>
      </c>
      <c r="C25" cm="1">
        <f t="array" ref="C25:E25">C18:E18+C24*(C23:E23)</f>
        <v>0.759763738568315</v>
      </c>
      <c r="D25">
        <v>1.64618438317746</v>
      </c>
      <c r="E25">
        <v>0.00714468383019595</v>
      </c>
      <c r="G25"/>
    </row>
    <row r="26" spans="1:7">
      <c r="A26" s="1">
        <f>1+A19</f>
        <v>4</v>
      </c>
      <c r="B26" t="s">
        <v>6</v>
      </c>
      <c r="C26" s="14">
        <f t="shared" ref="C26:C89" si="24">3*C25-D25^3-0.5*C25*E25</f>
        <v>-2.18445588090664</v>
      </c>
      <c r="D26" s="15">
        <f t="shared" ref="D26:D89" si="25">C25^2-(D25+0.1)^2+2*E25+0.9</f>
        <v>-1.55762959394916</v>
      </c>
      <c r="E26" s="15">
        <f t="shared" ref="E26:E89" si="26">EXP(-C25)+1/D25+1.5*E25+2</f>
        <v>3.08595932405877</v>
      </c>
      <c r="G26" s="1">
        <f>0.5*(C26*C26+D26*D26+E26*E26)</f>
        <v>8.36060119865956</v>
      </c>
    </row>
    <row r="27" spans="1:7">
      <c r="C27" s="18">
        <f t="shared" ref="C27" si="27">3-0.5*E25</f>
        <v>2.9964276580849</v>
      </c>
      <c r="D27" s="19">
        <f t="shared" ref="D27" si="28">-3*D25^2</f>
        <v>-8.1297690702521</v>
      </c>
      <c r="E27" s="20">
        <f t="shared" ref="E27" si="29">-0.5*C25</f>
        <v>-0.379881869284157</v>
      </c>
    </row>
    <row r="28" spans="1:7">
      <c r="B28" t="s">
        <v>7</v>
      </c>
      <c r="C28" s="21">
        <f t="shared" ref="C28" si="30">2*C25</f>
        <v>1.51952747713663</v>
      </c>
      <c r="D28" s="15">
        <f t="shared" ref="D28" si="31">-2*(D25+0.1)</f>
        <v>-3.49236876635493</v>
      </c>
      <c r="E28" s="22">
        <f>2</f>
        <v>2</v>
      </c>
    </row>
    <row r="29" spans="1:7">
      <c r="C29" s="23">
        <f t="shared" ref="C29" si="32">-EXP(-C25)</f>
        <v>-0.467776931602978</v>
      </c>
      <c r="D29" s="24">
        <f t="shared" ref="D29" si="33">-1/D25^2</f>
        <v>-0.369014171752725</v>
      </c>
      <c r="E29" s="25">
        <f t="shared" ref="E29:E92" si="34">1.5</f>
        <v>1.5</v>
      </c>
    </row>
    <row r="30" spans="1:7">
      <c r="B30" t="s">
        <v>12</v>
      </c>
      <c r="C30" cm="1">
        <f t="array" ref="C30:E30">-MMULT(C26:E26,C27:E29)</f>
        <v>10.3559655702816</v>
      </c>
      <c r="D30">
        <v>-22.0601760753531</v>
      </c>
      <c r="E30">
        <v>-2.34351498159742</v>
      </c>
      <c r="F30">
        <f>F23</f>
        <v>1</v>
      </c>
      <c r="G30"/>
    </row>
    <row r="31" spans="1:7">
      <c r="B31" t="s">
        <v>13</v>
      </c>
      <c r="C31">
        <f t="shared" ref="C31" si="35">G26/SUMPRODUCT(_xlfn.ANCHORARRAY(C30),_xlfn.ANCHORARRAY(C30))</f>
        <v>0.0139485290325569</v>
      </c>
      <c r="D31"/>
      <c r="E31"/>
      <c r="G31"/>
    </row>
    <row r="32" spans="1:7">
      <c r="A32" t="s">
        <v>4</v>
      </c>
      <c r="B32" s="17" t="s">
        <v>5</v>
      </c>
      <c r="C32" cm="1">
        <f t="array" ref="C32:E32">C25:E25+C31*(C30:E30)</f>
        <v>0.904214224985548</v>
      </c>
      <c r="D32">
        <v>1.33847737672708</v>
      </c>
      <c r="E32">
        <v>-0.0255439029288477</v>
      </c>
      <c r="G32"/>
    </row>
    <row r="33" spans="1:7">
      <c r="A33" s="1">
        <f>1+A26</f>
        <v>5</v>
      </c>
      <c r="B33" t="s">
        <v>6</v>
      </c>
      <c r="C33" s="14">
        <f t="shared" ref="C33:C96" si="36">3*C32-D32^3-0.5*C32*E32</f>
        <v>0.326280005834013</v>
      </c>
      <c r="D33" s="15">
        <f t="shared" ref="D33:D96" si="37">C32^2-(D32+0.1)^2+2*E32+0.9</f>
        <v>-0.402701604547112</v>
      </c>
      <c r="E33" s="15">
        <f t="shared" ref="E33:E96" si="38">EXP(-C32)+1/D32+1.5*E32+2</f>
        <v>3.11366163053819</v>
      </c>
      <c r="G33" s="1">
        <f>0.5*(C33*C33+D33*D33+E33*E33)</f>
        <v>4.9817579869988</v>
      </c>
    </row>
    <row r="34" spans="1:7">
      <c r="C34" s="18">
        <f t="shared" ref="C34" si="39">3-0.5*E32</f>
        <v>3.01277195146442</v>
      </c>
      <c r="D34" s="19">
        <f t="shared" ref="D34" si="40">-3*D32^2</f>
        <v>-5.37456506403064</v>
      </c>
      <c r="E34" s="20">
        <f t="shared" ref="E34" si="41">-0.5*C32</f>
        <v>-0.452107112492774</v>
      </c>
    </row>
    <row r="35" spans="1:7">
      <c r="B35" t="s">
        <v>7</v>
      </c>
      <c r="C35" s="21">
        <f t="shared" ref="C35" si="42">2*C32</f>
        <v>1.8084284499711</v>
      </c>
      <c r="D35" s="15">
        <f t="shared" ref="D35" si="43">-2*(D32+0.1)</f>
        <v>-2.87695475345417</v>
      </c>
      <c r="E35" s="22">
        <f>2</f>
        <v>2</v>
      </c>
    </row>
    <row r="36" spans="1:7">
      <c r="C36" s="23">
        <f t="shared" ref="C36" si="44">-EXP(-C32)</f>
        <v>-0.404859888932001</v>
      </c>
      <c r="D36" s="24">
        <f t="shared" ref="D36" si="45">-1/D32^2</f>
        <v>-0.55818470225201</v>
      </c>
      <c r="E36" s="25">
        <f t="shared" ref="E36:E99" si="46">1.5</f>
        <v>1.5</v>
      </c>
    </row>
    <row r="37" spans="1:7">
      <c r="B37" t="s">
        <v>12</v>
      </c>
      <c r="C37" cm="1">
        <f t="array" ref="C37:E37">-MMULT(C33:E33,C34:E36)</f>
        <v>1.00584649052317</v>
      </c>
      <c r="D37">
        <v>2.33305711517723</v>
      </c>
      <c r="E37">
        <v>-3.71757572541132</v>
      </c>
      <c r="F37">
        <f>F30</f>
        <v>1</v>
      </c>
      <c r="G37"/>
    </row>
    <row r="38" spans="1:7">
      <c r="B38" t="s">
        <v>13</v>
      </c>
      <c r="C38">
        <f t="shared" ref="C38" si="47">G33/SUMPRODUCT(_xlfn.ANCHORARRAY(C37),_xlfn.ANCHORARRAY(C37))</f>
        <v>0.245706341992803</v>
      </c>
      <c r="D38"/>
      <c r="E38"/>
      <c r="G38"/>
    </row>
    <row r="39" spans="1:7">
      <c r="A39" t="s">
        <v>4</v>
      </c>
      <c r="B39" s="17" t="s">
        <v>5</v>
      </c>
      <c r="C39" cm="1">
        <f t="array" ref="C39:E39">C32:E32+C38*(C37:E37)</f>
        <v>1.15135708677829</v>
      </c>
      <c r="D39">
        <v>1.91172430615756</v>
      </c>
      <c r="E39">
        <v>-0.938975835500905</v>
      </c>
      <c r="G39"/>
    </row>
    <row r="40" spans="1:7">
      <c r="A40" s="1">
        <f>1+A33</f>
        <v>6</v>
      </c>
      <c r="B40" t="s">
        <v>6</v>
      </c>
      <c r="C40" s="14">
        <f t="shared" ref="C40:C103" si="48">3*C39-D39^3-0.5*C39*E39</f>
        <v>-2.99213986403111</v>
      </c>
      <c r="D40" s="15">
        <f t="shared" ref="D40:D103" si="49">C39^2-(D39+0.1)^2+2*E39+0.9</f>
        <v>-3.69936321371234</v>
      </c>
      <c r="E40" s="15">
        <f t="shared" ref="E40:E103" si="50">EXP(-C39)+1/D39+1.5*E39+2</f>
        <v>1.43083158105282</v>
      </c>
      <c r="G40" s="1">
        <f>0.5*(C40*C40+D40*D40+E40*E40)</f>
        <v>12.3427340831152</v>
      </c>
    </row>
    <row r="41" spans="1:7">
      <c r="C41" s="18">
        <f t="shared" ref="C41" si="51">3-0.5*E39</f>
        <v>3.46948791775045</v>
      </c>
      <c r="D41" s="19">
        <f t="shared" ref="D41" si="52">-3*D39^2</f>
        <v>-10.9640694682608</v>
      </c>
      <c r="E41" s="20">
        <f t="shared" ref="E41" si="53">-0.5*C39</f>
        <v>-0.575678543389147</v>
      </c>
    </row>
    <row r="42" spans="1:7">
      <c r="B42" t="s">
        <v>7</v>
      </c>
      <c r="C42" s="21">
        <f t="shared" ref="C42" si="54">2*C39</f>
        <v>2.30271417355659</v>
      </c>
      <c r="D42" s="15">
        <f t="shared" ref="D42" si="55">-2*(D39+0.1)</f>
        <v>-4.02344861231513</v>
      </c>
      <c r="E42" s="22">
        <f>2</f>
        <v>2</v>
      </c>
    </row>
    <row r="43" spans="1:7">
      <c r="C43" s="23">
        <f t="shared" ref="C43" si="56">-EXP(-C39)</f>
        <v>-0.316207357246474</v>
      </c>
      <c r="D43" s="24">
        <f t="shared" ref="D43" si="57">-1/D39^2</f>
        <v>-0.27362103174232</v>
      </c>
      <c r="E43" s="25">
        <f t="shared" ref="E43:E106" si="58">1.5</f>
        <v>1.5</v>
      </c>
    </row>
    <row r="44" spans="1:7">
      <c r="B44" t="s">
        <v>12</v>
      </c>
      <c r="C44" cm="1">
        <f t="array" ref="C44:E44">-MMULT(C40:E40,C41:E43)</f>
        <v>19.3522086847342</v>
      </c>
      <c r="D44">
        <v>-47.2987215031931</v>
      </c>
      <c r="E44">
        <v>3.52996833730341</v>
      </c>
      <c r="F44">
        <f>F37</f>
        <v>1</v>
      </c>
      <c r="G44"/>
    </row>
    <row r="45" spans="1:7">
      <c r="B45" t="s">
        <v>13</v>
      </c>
      <c r="C45">
        <f t="shared" ref="C45" si="59">G40/SUMPRODUCT(_xlfn.ANCHORARRAY(C44),_xlfn.ANCHORARRAY(C44))</f>
        <v>0.00470353900280031</v>
      </c>
      <c r="D45"/>
      <c r="E45"/>
      <c r="G45"/>
    </row>
    <row r="46" spans="1:7">
      <c r="A46" t="s">
        <v>4</v>
      </c>
      <c r="B46" s="17" t="s">
        <v>5</v>
      </c>
      <c r="C46" cm="1">
        <f t="array" ref="C46:E46">C39:E39+C45*(C44:E44)</f>
        <v>1.24238095511727</v>
      </c>
      <c r="D46">
        <v>1.68925292478471</v>
      </c>
      <c r="E46">
        <v>-0.922372491747748</v>
      </c>
      <c r="G46"/>
    </row>
    <row r="47" spans="1:7">
      <c r="A47" s="1">
        <f>1+A40</f>
        <v>7</v>
      </c>
      <c r="B47" t="s">
        <v>6</v>
      </c>
      <c r="C47" s="14">
        <f t="shared" ref="C47:C110" si="60">3*C46-D46^3-0.5*C46*E46</f>
        <v>-0.520298790703661</v>
      </c>
      <c r="D47" s="15">
        <f t="shared" ref="D47:D110" si="61">C46^2-(D46+0.1)^2+2*E46+0.9</f>
        <v>-2.60266057470801</v>
      </c>
      <c r="E47" s="15">
        <f t="shared" ref="E47:E110" si="62">EXP(-C46)+1/D46+1.5*E46+2</f>
        <v>1.49711495289523</v>
      </c>
      <c r="G47" s="1">
        <f>0.5*(C47*C47+D47*D47+E47*E47)</f>
        <v>4.6429530404648</v>
      </c>
    </row>
    <row r="48" spans="1:7">
      <c r="C48" s="18">
        <f t="shared" ref="C48" si="63">3-0.5*E46</f>
        <v>3.46118624587387</v>
      </c>
      <c r="D48" s="19">
        <f t="shared" ref="D48" si="64">-3*D46^2</f>
        <v>-8.56072633168104</v>
      </c>
      <c r="E48" s="20">
        <f t="shared" ref="E48" si="65">-0.5*C46</f>
        <v>-0.621190477558636</v>
      </c>
    </row>
    <row r="49" spans="1:7">
      <c r="B49" t="s">
        <v>7</v>
      </c>
      <c r="C49" s="21">
        <f t="shared" ref="C49" si="66">2*C46</f>
        <v>2.48476191023455</v>
      </c>
      <c r="D49" s="15">
        <f t="shared" ref="D49" si="67">-2*(D46+0.1)</f>
        <v>-3.57850584956941</v>
      </c>
      <c r="E49" s="22">
        <f>2</f>
        <v>2</v>
      </c>
    </row>
    <row r="50" spans="1:7">
      <c r="C50" s="23">
        <f t="shared" ref="C50" si="68">-EXP(-C46)</f>
        <v>-0.28869602670582</v>
      </c>
      <c r="D50" s="24">
        <f t="shared" ref="D50" si="69">-1/D46^2</f>
        <v>-0.350437554451165</v>
      </c>
      <c r="E50" s="25">
        <f t="shared" ref="E50:E113" si="70">1.5</f>
        <v>1.5</v>
      </c>
    </row>
    <row r="51" spans="1:7">
      <c r="B51" t="s">
        <v>12</v>
      </c>
      <c r="C51" vm="1" t="e" cm="1">
        <f ca="1" t="array" ref="C51">-MMULT(C47:E47,C48:E50)</f>
        <v>#VALUE!</v>
      </c>
      <c r="D51"/>
      <c r="E51"/>
      <c r="F51">
        <f>F44</f>
        <v>1</v>
      </c>
      <c r="G51"/>
    </row>
    <row r="52" spans="1:7">
      <c r="B52" t="s">
        <v>13</v>
      </c>
      <c r="C52" vm="2" t="e">
        <f t="shared" ref="C52" si="71">G47/SUMPRODUCT(_xlfn.ANCHORARRAY(C51),_xlfn.ANCHORARRAY(C51))</f>
        <v>#VALUE!</v>
      </c>
      <c r="D52"/>
      <c r="E52"/>
      <c r="G52"/>
    </row>
    <row r="53" spans="1:7">
      <c r="A53" t="s">
        <v>4</v>
      </c>
      <c r="B53" s="17" t="s">
        <v>5</v>
      </c>
      <c r="C53" vm="2" t="e" cm="1">
        <f t="array" ref="C53:E53">C46:E46+C52*(C51:E51)</f>
        <v>#VALUE!</v>
      </c>
      <c r="D53" vm="2" t="e">
        <v>#VALUE!</v>
      </c>
      <c r="E53" vm="2" t="e">
        <v>#VALUE!</v>
      </c>
      <c r="G53"/>
    </row>
    <row r="54" spans="1:7">
      <c r="A54" s="1">
        <f>1+A47</f>
        <v>8</v>
      </c>
      <c r="B54" t="s">
        <v>6</v>
      </c>
      <c r="C54" s="14" vm="2" t="e">
        <f t="shared" ref="C54:C117" si="72">3*C53-D53^3-0.5*C53*E53</f>
        <v>#VALUE!</v>
      </c>
      <c r="D54" s="15" vm="2" t="e">
        <f t="shared" ref="D54:D117" si="73">C53^2-(D53+0.1)^2+2*E53+0.9</f>
        <v>#VALUE!</v>
      </c>
      <c r="E54" s="15" vm="2" t="e">
        <f t="shared" ref="E54:E117" si="74">EXP(-C53)+1/D53+1.5*E53+2</f>
        <v>#VALUE!</v>
      </c>
      <c r="G54" s="1" vm="2" t="e">
        <f>0.5*(C54*C54+D54*D54+E54*E54)</f>
        <v>#VALUE!</v>
      </c>
    </row>
    <row r="55" spans="1:7">
      <c r="C55" s="18" vm="2" t="e">
        <f t="shared" ref="C55" si="75">3-0.5*E53</f>
        <v>#VALUE!</v>
      </c>
      <c r="D55" s="19" vm="2" t="e">
        <f t="shared" ref="D55" si="76">-3*D53^2</f>
        <v>#VALUE!</v>
      </c>
      <c r="E55" s="20" vm="2" t="e">
        <f t="shared" ref="E55" si="77">-0.5*C53</f>
        <v>#VALUE!</v>
      </c>
    </row>
    <row r="56" spans="1:7">
      <c r="B56" t="s">
        <v>7</v>
      </c>
      <c r="C56" s="21" vm="2" t="e">
        <f t="shared" ref="C56" si="78">2*C53</f>
        <v>#VALUE!</v>
      </c>
      <c r="D56" s="15" vm="2" t="e">
        <f t="shared" ref="D56" si="79">-2*(D53+0.1)</f>
        <v>#VALUE!</v>
      </c>
      <c r="E56" s="22">
        <f>2</f>
        <v>2</v>
      </c>
    </row>
    <row r="57" spans="1:7">
      <c r="C57" s="23" vm="2" t="e">
        <f t="shared" ref="C57" si="80">-EXP(-C53)</f>
        <v>#VALUE!</v>
      </c>
      <c r="D57" s="24" vm="2" t="e">
        <f t="shared" ref="D57" si="81">-1/D53^2</f>
        <v>#VALUE!</v>
      </c>
      <c r="E57" s="25">
        <f t="shared" ref="E57:E120" si="82">1.5</f>
        <v>1.5</v>
      </c>
    </row>
    <row r="58" spans="1:7">
      <c r="B58" t="s">
        <v>12</v>
      </c>
      <c r="C58" vm="2" t="e" cm="1">
        <f t="array" ref="C58">-MMULT(C54:E54,C55:E57)</f>
        <v>#VALUE!</v>
      </c>
      <c r="D58"/>
      <c r="E58"/>
      <c r="F58">
        <f>F51</f>
        <v>1</v>
      </c>
      <c r="G58"/>
    </row>
    <row r="59" spans="1:7">
      <c r="B59" t="s">
        <v>13</v>
      </c>
      <c r="C59" vm="2" t="e">
        <f t="shared" ref="C59" si="83">G54/SUMPRODUCT(_xlfn.ANCHORARRAY(C58),_xlfn.ANCHORARRAY(C58))</f>
        <v>#VALUE!</v>
      </c>
      <c r="D59"/>
      <c r="E59"/>
      <c r="G59"/>
    </row>
    <row r="60" spans="1:7">
      <c r="A60" t="s">
        <v>4</v>
      </c>
      <c r="B60" s="17" t="s">
        <v>5</v>
      </c>
      <c r="C60" vm="2" t="e" cm="1">
        <f t="array" ref="C60:E60">C53:E53+C59*(C58:E58)</f>
        <v>#VALUE!</v>
      </c>
      <c r="D60" vm="2" t="e">
        <v>#VALUE!</v>
      </c>
      <c r="E60" vm="2" t="e">
        <v>#VALUE!</v>
      </c>
      <c r="G60"/>
    </row>
    <row r="61" spans="1:7">
      <c r="A61" s="1">
        <f>1+A54</f>
        <v>9</v>
      </c>
      <c r="B61" t="s">
        <v>6</v>
      </c>
      <c r="C61" s="14" vm="2" t="e">
        <f t="shared" ref="C61:C124" si="84">3*C60-D60^3-0.5*C60*E60</f>
        <v>#VALUE!</v>
      </c>
      <c r="D61" s="15" vm="2" t="e">
        <f t="shared" ref="D61:D124" si="85">C60^2-(D60+0.1)^2+2*E60+0.9</f>
        <v>#VALUE!</v>
      </c>
      <c r="E61" s="15" vm="2" t="e">
        <f t="shared" ref="E61:E124" si="86">EXP(-C60)+1/D60+1.5*E60+2</f>
        <v>#VALUE!</v>
      </c>
      <c r="G61" s="1" vm="2" t="e">
        <f>0.5*(C61*C61+D61*D61+E61*E61)</f>
        <v>#VALUE!</v>
      </c>
    </row>
    <row r="62" spans="1:7">
      <c r="C62" s="18" vm="2" t="e">
        <f t="shared" ref="C62" si="87">3-0.5*E60</f>
        <v>#VALUE!</v>
      </c>
      <c r="D62" s="19" vm="2" t="e">
        <f t="shared" ref="D62" si="88">-3*D60^2</f>
        <v>#VALUE!</v>
      </c>
      <c r="E62" s="20" vm="2" t="e">
        <f t="shared" ref="E62" si="89">-0.5*C60</f>
        <v>#VALUE!</v>
      </c>
    </row>
    <row r="63" spans="1:7">
      <c r="B63" t="s">
        <v>7</v>
      </c>
      <c r="C63" s="21" vm="2" t="e">
        <f t="shared" ref="C63" si="90">2*C60</f>
        <v>#VALUE!</v>
      </c>
      <c r="D63" s="15" vm="2" t="e">
        <f t="shared" ref="D63" si="91">-2*(D60+0.1)</f>
        <v>#VALUE!</v>
      </c>
      <c r="E63" s="22">
        <f>2</f>
        <v>2</v>
      </c>
    </row>
    <row r="64" spans="1:7">
      <c r="C64" s="23" vm="2" t="e">
        <f t="shared" ref="C64" si="92">-EXP(-C60)</f>
        <v>#VALUE!</v>
      </c>
      <c r="D64" s="24" vm="2" t="e">
        <f t="shared" ref="D64" si="93">-1/D60^2</f>
        <v>#VALUE!</v>
      </c>
      <c r="E64" s="25">
        <f t="shared" ref="E64:E127" si="94">1.5</f>
        <v>1.5</v>
      </c>
    </row>
    <row r="65" spans="1:7">
      <c r="B65" t="s">
        <v>12</v>
      </c>
      <c r="C65" vm="2" t="e" cm="1">
        <f t="array" ref="C65">-MMULT(C61:E61,C62:E64)</f>
        <v>#VALUE!</v>
      </c>
      <c r="D65"/>
      <c r="E65"/>
      <c r="F65">
        <f>F58</f>
        <v>1</v>
      </c>
      <c r="G65"/>
    </row>
    <row r="66" spans="1:7">
      <c r="B66" t="s">
        <v>13</v>
      </c>
      <c r="C66" vm="2" t="e">
        <f t="shared" ref="C66" si="95">G61/SUMPRODUCT(_xlfn.ANCHORARRAY(C65),_xlfn.ANCHORARRAY(C65))</f>
        <v>#VALUE!</v>
      </c>
      <c r="D66"/>
      <c r="E66"/>
      <c r="G66"/>
    </row>
    <row r="67" spans="1:7">
      <c r="A67" t="s">
        <v>4</v>
      </c>
      <c r="B67" s="17" t="s">
        <v>5</v>
      </c>
      <c r="C67" vm="2" t="e" cm="1">
        <f t="array" ref="C67:E67">C60:E60+C66*(C65:E65)</f>
        <v>#VALUE!</v>
      </c>
      <c r="D67" vm="2" t="e">
        <v>#VALUE!</v>
      </c>
      <c r="E67" vm="2" t="e">
        <v>#VALUE!</v>
      </c>
      <c r="G67"/>
    </row>
    <row r="68" spans="1:7">
      <c r="A68" s="1">
        <f>1+A61</f>
        <v>10</v>
      </c>
      <c r="B68" t="s">
        <v>6</v>
      </c>
      <c r="C68" s="14" vm="2" t="e">
        <f t="shared" ref="C68:C131" si="96">3*C67-D67^3-0.5*C67*E67</f>
        <v>#VALUE!</v>
      </c>
      <c r="D68" s="15" vm="2" t="e">
        <f t="shared" ref="D68:D131" si="97">C67^2-(D67+0.1)^2+2*E67+0.9</f>
        <v>#VALUE!</v>
      </c>
      <c r="E68" s="15" vm="2" t="e">
        <f t="shared" ref="E68:E131" si="98">EXP(-C67)+1/D67+1.5*E67+2</f>
        <v>#VALUE!</v>
      </c>
      <c r="G68" s="1" vm="2" t="e">
        <f>0.5*(C68*C68+D68*D68+E68*E68)</f>
        <v>#VALUE!</v>
      </c>
    </row>
    <row r="69" spans="1:7">
      <c r="C69" s="18" vm="2" t="e">
        <f t="shared" ref="C69" si="99">3-0.5*E67</f>
        <v>#VALUE!</v>
      </c>
      <c r="D69" s="19" vm="2" t="e">
        <f t="shared" ref="D69" si="100">-3*D67^2</f>
        <v>#VALUE!</v>
      </c>
      <c r="E69" s="20" vm="2" t="e">
        <f t="shared" ref="E69" si="101">-0.5*C67</f>
        <v>#VALUE!</v>
      </c>
    </row>
    <row r="70" spans="1:7">
      <c r="B70" t="s">
        <v>7</v>
      </c>
      <c r="C70" s="21" vm="2" t="e">
        <f t="shared" ref="C70" si="102">2*C67</f>
        <v>#VALUE!</v>
      </c>
      <c r="D70" s="15" vm="2" t="e">
        <f t="shared" ref="D70" si="103">-2*(D67+0.1)</f>
        <v>#VALUE!</v>
      </c>
      <c r="E70" s="22">
        <f>2</f>
        <v>2</v>
      </c>
    </row>
    <row r="71" spans="1:7">
      <c r="C71" s="23" vm="2" t="e">
        <f t="shared" ref="C71" si="104">-EXP(-C67)</f>
        <v>#VALUE!</v>
      </c>
      <c r="D71" s="24" vm="2" t="e">
        <f t="shared" ref="D71" si="105">-1/D67^2</f>
        <v>#VALUE!</v>
      </c>
      <c r="E71" s="25">
        <f t="shared" ref="E71:E134" si="106">1.5</f>
        <v>1.5</v>
      </c>
    </row>
    <row r="72" spans="1:7">
      <c r="B72" t="s">
        <v>12</v>
      </c>
      <c r="C72" vm="2" t="e" cm="1">
        <f t="array" ref="C72">-MMULT(C68:E68,C69:E71)</f>
        <v>#VALUE!</v>
      </c>
      <c r="D72"/>
      <c r="E72"/>
      <c r="F72">
        <f>F65</f>
        <v>1</v>
      </c>
      <c r="G72"/>
    </row>
    <row r="73" spans="1:7">
      <c r="B73" t="s">
        <v>13</v>
      </c>
      <c r="C73" vm="2" t="e">
        <f t="shared" ref="C73" si="107">G68/SUMPRODUCT(_xlfn.ANCHORARRAY(C72),_xlfn.ANCHORARRAY(C72))</f>
        <v>#VALUE!</v>
      </c>
      <c r="D73"/>
      <c r="E73"/>
      <c r="G73"/>
    </row>
    <row r="74" spans="1:7">
      <c r="A74" t="s">
        <v>4</v>
      </c>
      <c r="B74" s="17" t="s">
        <v>5</v>
      </c>
      <c r="C74" vm="2" t="e" cm="1">
        <f t="array" ref="C74:E74">C67:E67+C73*(C72:E72)</f>
        <v>#VALUE!</v>
      </c>
      <c r="D74" vm="2" t="e">
        <v>#VALUE!</v>
      </c>
      <c r="E74" vm="2" t="e">
        <v>#VALUE!</v>
      </c>
      <c r="G74"/>
    </row>
    <row r="75" spans="1:7">
      <c r="A75" s="1">
        <f>1+A68</f>
        <v>11</v>
      </c>
      <c r="B75" t="s">
        <v>6</v>
      </c>
      <c r="C75" s="14" vm="2" t="e">
        <f t="shared" ref="C75:C138" si="108">3*C74-D74^3-0.5*C74*E74</f>
        <v>#VALUE!</v>
      </c>
      <c r="D75" s="15" vm="2" t="e">
        <f t="shared" ref="D75:D138" si="109">C74^2-(D74+0.1)^2+2*E74+0.9</f>
        <v>#VALUE!</v>
      </c>
      <c r="E75" s="15" vm="2" t="e">
        <f t="shared" ref="E75:E138" si="110">EXP(-C74)+1/D74+1.5*E74+2</f>
        <v>#VALUE!</v>
      </c>
      <c r="G75" s="1" vm="2" t="e">
        <f>0.5*(C75*C75+D75*D75+E75*E75)</f>
        <v>#VALUE!</v>
      </c>
    </row>
    <row r="76" spans="1:7">
      <c r="C76" s="18" vm="2" t="e">
        <f t="shared" ref="C76" si="111">3-0.5*E74</f>
        <v>#VALUE!</v>
      </c>
      <c r="D76" s="19" vm="2" t="e">
        <f t="shared" ref="D76" si="112">-3*D74^2</f>
        <v>#VALUE!</v>
      </c>
      <c r="E76" s="20" vm="2" t="e">
        <f t="shared" ref="E76" si="113">-0.5*C74</f>
        <v>#VALUE!</v>
      </c>
    </row>
    <row r="77" spans="1:7">
      <c r="B77" t="s">
        <v>7</v>
      </c>
      <c r="C77" s="21" vm="2" t="e">
        <f t="shared" ref="C77" si="114">2*C74</f>
        <v>#VALUE!</v>
      </c>
      <c r="D77" s="15" vm="2" t="e">
        <f t="shared" ref="D77" si="115">-2*(D74+0.1)</f>
        <v>#VALUE!</v>
      </c>
      <c r="E77" s="22">
        <f>2</f>
        <v>2</v>
      </c>
    </row>
    <row r="78" spans="1:7">
      <c r="C78" s="23" vm="2" t="e">
        <f t="shared" ref="C78" si="116">-EXP(-C74)</f>
        <v>#VALUE!</v>
      </c>
      <c r="D78" s="24" vm="2" t="e">
        <f t="shared" ref="D78" si="117">-1/D74^2</f>
        <v>#VALUE!</v>
      </c>
      <c r="E78" s="25">
        <f t="shared" ref="E78:E141" si="118">1.5</f>
        <v>1.5</v>
      </c>
    </row>
    <row r="79" spans="1:7">
      <c r="B79" t="s">
        <v>12</v>
      </c>
      <c r="C79" vm="2" t="e" cm="1">
        <f t="array" ref="C79">-MMULT(C75:E75,C76:E78)</f>
        <v>#VALUE!</v>
      </c>
      <c r="D79"/>
      <c r="E79"/>
      <c r="F79">
        <f>F72</f>
        <v>1</v>
      </c>
      <c r="G79"/>
    </row>
    <row r="80" spans="1:7">
      <c r="B80" t="s">
        <v>13</v>
      </c>
      <c r="C80" vm="2" t="e">
        <f t="shared" ref="C80" si="119">G75/SUMPRODUCT(_xlfn.ANCHORARRAY(C79),_xlfn.ANCHORARRAY(C79))</f>
        <v>#VALUE!</v>
      </c>
      <c r="D80"/>
      <c r="E80"/>
      <c r="G80"/>
    </row>
    <row r="81" spans="1:10">
      <c r="A81" t="s">
        <v>4</v>
      </c>
      <c r="B81" s="17" t="s">
        <v>5</v>
      </c>
      <c r="C81" vm="2" t="e" cm="1">
        <f t="array" ref="C81:E81">C74:E74+C80*(C79:E79)</f>
        <v>#VALUE!</v>
      </c>
      <c r="D81" vm="2" t="e">
        <v>#VALUE!</v>
      </c>
      <c r="E81" vm="2" t="e">
        <v>#VALUE!</v>
      </c>
      <c r="G81"/>
      <c r="J81" s="2"/>
    </row>
    <row r="82" spans="1:10">
      <c r="A82" s="1">
        <f>1+A75</f>
        <v>12</v>
      </c>
      <c r="B82" t="s">
        <v>6</v>
      </c>
      <c r="C82" s="14" vm="2" t="e">
        <f t="shared" ref="C82:C145" si="120">3*C81-D81^3-0.5*C81*E81</f>
        <v>#VALUE!</v>
      </c>
      <c r="D82" s="15" vm="2" t="e">
        <f t="shared" ref="D82:D145" si="121">C81^2-(D81+0.1)^2+2*E81+0.9</f>
        <v>#VALUE!</v>
      </c>
      <c r="E82" s="15" vm="2" t="e">
        <f t="shared" ref="E82:E145" si="122">EXP(-C81)+1/D81+1.5*E81+2</f>
        <v>#VALUE!</v>
      </c>
      <c r="G82" s="1" vm="2" t="e">
        <f>0.5*(C82*C82+D82*D82+E82*E82)</f>
        <v>#VALUE!</v>
      </c>
    </row>
    <row r="83" spans="1:10">
      <c r="C83" s="18" vm="2" t="e">
        <f t="shared" ref="C83" si="123">3-0.5*E81</f>
        <v>#VALUE!</v>
      </c>
      <c r="D83" s="19" vm="2" t="e">
        <f t="shared" ref="D83" si="124">-3*D81^2</f>
        <v>#VALUE!</v>
      </c>
      <c r="E83" s="20" vm="2" t="e">
        <f t="shared" ref="E83" si="125">-0.5*C81</f>
        <v>#VALUE!</v>
      </c>
    </row>
    <row r="84" spans="1:10">
      <c r="B84" t="s">
        <v>7</v>
      </c>
      <c r="C84" s="21" vm="2" t="e">
        <f t="shared" ref="C84" si="126">2*C81</f>
        <v>#VALUE!</v>
      </c>
      <c r="D84" s="15" vm="2" t="e">
        <f t="shared" ref="D84" si="127">-2*(D81+0.1)</f>
        <v>#VALUE!</v>
      </c>
      <c r="E84" s="22">
        <f>2</f>
        <v>2</v>
      </c>
    </row>
    <row r="85" spans="1:10">
      <c r="C85" s="23" vm="2" t="e">
        <f t="shared" ref="C85" si="128">-EXP(-C81)</f>
        <v>#VALUE!</v>
      </c>
      <c r="D85" s="24" vm="2" t="e">
        <f t="shared" ref="D85" si="129">-1/D81^2</f>
        <v>#VALUE!</v>
      </c>
      <c r="E85" s="25">
        <f t="shared" ref="E85:E148" si="130">1.5</f>
        <v>1.5</v>
      </c>
    </row>
    <row r="86" spans="1:10">
      <c r="B86" t="s">
        <v>12</v>
      </c>
      <c r="C86" vm="2" t="e" cm="1">
        <f t="array" ref="C86">-MMULT(C82:E82,C83:E85)</f>
        <v>#VALUE!</v>
      </c>
      <c r="D86"/>
      <c r="E86"/>
      <c r="F86">
        <f>F79</f>
        <v>1</v>
      </c>
      <c r="G86"/>
    </row>
    <row r="87" spans="1:10">
      <c r="B87" t="s">
        <v>13</v>
      </c>
      <c r="C87" vm="2" t="e">
        <f t="shared" ref="C87" si="131">G82/SUMPRODUCT(_xlfn.ANCHORARRAY(C86),_xlfn.ANCHORARRAY(C86))</f>
        <v>#VALUE!</v>
      </c>
      <c r="D87"/>
      <c r="E87"/>
      <c r="G87"/>
    </row>
    <row r="88" spans="1:10">
      <c r="A88" t="s">
        <v>4</v>
      </c>
      <c r="B88" s="17" t="s">
        <v>5</v>
      </c>
      <c r="C88" vm="2" t="e" cm="1">
        <f t="array" ref="C88:E88">C81:E81+C87*(C86:E86)</f>
        <v>#VALUE!</v>
      </c>
      <c r="D88" vm="2" t="e">
        <v>#VALUE!</v>
      </c>
      <c r="E88" vm="2" t="e">
        <v>#VALUE!</v>
      </c>
      <c r="G88"/>
    </row>
    <row r="89" spans="1:10">
      <c r="A89" s="1">
        <f>1+A82</f>
        <v>13</v>
      </c>
      <c r="B89" t="s">
        <v>6</v>
      </c>
      <c r="C89" s="14" vm="2" t="e">
        <f t="shared" ref="C89:C152" si="132">3*C88-D88^3-0.5*C88*E88</f>
        <v>#VALUE!</v>
      </c>
      <c r="D89" s="15" vm="2" t="e">
        <f t="shared" ref="D89:D152" si="133">C88^2-(D88+0.1)^2+2*E88+0.9</f>
        <v>#VALUE!</v>
      </c>
      <c r="E89" s="15" vm="2" t="e">
        <f t="shared" ref="E89:E152" si="134">EXP(-C88)+1/D88+1.5*E88+2</f>
        <v>#VALUE!</v>
      </c>
      <c r="G89" s="1" vm="2" t="e">
        <f>0.5*(C89*C89+D89*D89+E89*E89)</f>
        <v>#VALUE!</v>
      </c>
    </row>
    <row r="90" spans="1:10">
      <c r="C90" s="18" vm="2" t="e">
        <f t="shared" ref="C90" si="135">3-0.5*E88</f>
        <v>#VALUE!</v>
      </c>
      <c r="D90" s="19" vm="2" t="e">
        <f t="shared" ref="D90" si="136">-3*D88^2</f>
        <v>#VALUE!</v>
      </c>
      <c r="E90" s="20" vm="2" t="e">
        <f t="shared" ref="E90" si="137">-0.5*C88</f>
        <v>#VALUE!</v>
      </c>
    </row>
    <row r="91" spans="1:10">
      <c r="B91" t="s">
        <v>7</v>
      </c>
      <c r="C91" s="21" vm="2" t="e">
        <f t="shared" ref="C91" si="138">2*C88</f>
        <v>#VALUE!</v>
      </c>
      <c r="D91" s="15" vm="2" t="e">
        <f t="shared" ref="D91" si="139">-2*(D88+0.1)</f>
        <v>#VALUE!</v>
      </c>
      <c r="E91" s="22">
        <f>2</f>
        <v>2</v>
      </c>
    </row>
    <row r="92" spans="1:10">
      <c r="C92" s="23" vm="2" t="e">
        <f t="shared" ref="C92" si="140">-EXP(-C88)</f>
        <v>#VALUE!</v>
      </c>
      <c r="D92" s="24" vm="2" t="e">
        <f t="shared" ref="D92" si="141">-1/D88^2</f>
        <v>#VALUE!</v>
      </c>
      <c r="E92" s="25">
        <f t="shared" ref="E92:E155" si="142">1.5</f>
        <v>1.5</v>
      </c>
    </row>
    <row r="93" spans="1:10">
      <c r="B93" t="s">
        <v>12</v>
      </c>
      <c r="C93" vm="2" t="e" cm="1">
        <f t="array" ref="C93">-MMULT(C89:E89,C90:E92)</f>
        <v>#VALUE!</v>
      </c>
      <c r="D93"/>
      <c r="E93"/>
      <c r="F93">
        <f>F86</f>
        <v>1</v>
      </c>
      <c r="G93"/>
    </row>
    <row r="94" spans="1:10">
      <c r="B94" t="s">
        <v>13</v>
      </c>
      <c r="C94" vm="2" t="e">
        <f t="shared" ref="C94" si="143">G89/SUMPRODUCT(_xlfn.ANCHORARRAY(C93),_xlfn.ANCHORARRAY(C93))</f>
        <v>#VALUE!</v>
      </c>
      <c r="D94"/>
      <c r="E94"/>
      <c r="G94"/>
    </row>
    <row r="95" spans="1:10">
      <c r="A95" t="s">
        <v>4</v>
      </c>
      <c r="B95" s="17" t="s">
        <v>5</v>
      </c>
      <c r="C95" vm="2" t="e" cm="1">
        <f t="array" ref="C95:E95">C88:E88+C94*(C93:E93)</f>
        <v>#VALUE!</v>
      </c>
      <c r="D95" vm="2" t="e">
        <v>#VALUE!</v>
      </c>
      <c r="E95" vm="2" t="e">
        <v>#VALUE!</v>
      </c>
      <c r="G95"/>
    </row>
    <row r="96" spans="1:10">
      <c r="A96" s="1">
        <f>1+A89</f>
        <v>14</v>
      </c>
      <c r="B96" t="s">
        <v>6</v>
      </c>
      <c r="C96" s="14" vm="2" t="e">
        <f t="shared" ref="C96:C159" si="144">3*C95-D95^3-0.5*C95*E95</f>
        <v>#VALUE!</v>
      </c>
      <c r="D96" s="15" vm="2" t="e">
        <f t="shared" ref="D96:D159" si="145">C95^2-(D95+0.1)^2+2*E95+0.9</f>
        <v>#VALUE!</v>
      </c>
      <c r="E96" s="15" vm="2" t="e">
        <f t="shared" ref="E96:E159" si="146">EXP(-C95)+1/D95+1.5*E95+2</f>
        <v>#VALUE!</v>
      </c>
      <c r="G96" s="1" vm="2" t="e">
        <f>0.5*(C96*C96+D96*D96+E96*E96)</f>
        <v>#VALUE!</v>
      </c>
    </row>
    <row r="97" spans="1:7">
      <c r="C97" s="18" vm="2" t="e">
        <f t="shared" ref="C97" si="147">3-0.5*E95</f>
        <v>#VALUE!</v>
      </c>
      <c r="D97" s="19" vm="2" t="e">
        <f t="shared" ref="D97" si="148">-3*D95^2</f>
        <v>#VALUE!</v>
      </c>
      <c r="E97" s="20" vm="2" t="e">
        <f t="shared" ref="E97" si="149">-0.5*C95</f>
        <v>#VALUE!</v>
      </c>
    </row>
    <row r="98" spans="1:7">
      <c r="B98" t="s">
        <v>7</v>
      </c>
      <c r="C98" s="21" vm="2" t="e">
        <f t="shared" ref="C98" si="150">2*C95</f>
        <v>#VALUE!</v>
      </c>
      <c r="D98" s="15" vm="2" t="e">
        <f t="shared" ref="D98" si="151">-2*(D95+0.1)</f>
        <v>#VALUE!</v>
      </c>
      <c r="E98" s="22">
        <f>2</f>
        <v>2</v>
      </c>
    </row>
    <row r="99" spans="1:7">
      <c r="C99" s="23" vm="2" t="e">
        <f t="shared" ref="C99" si="152">-EXP(-C95)</f>
        <v>#VALUE!</v>
      </c>
      <c r="D99" s="24" vm="2" t="e">
        <f t="shared" ref="D99" si="153">-1/D95^2</f>
        <v>#VALUE!</v>
      </c>
      <c r="E99" s="25">
        <f t="shared" ref="E99:E162" si="154">1.5</f>
        <v>1.5</v>
      </c>
    </row>
    <row r="100" spans="1:7">
      <c r="B100" t="s">
        <v>12</v>
      </c>
      <c r="C100" vm="2" t="e" cm="1">
        <f t="array" ref="C100">-MMULT(C96:E96,C97:E99)</f>
        <v>#VALUE!</v>
      </c>
      <c r="D100"/>
      <c r="E100"/>
      <c r="F100">
        <f>F93</f>
        <v>1</v>
      </c>
      <c r="G100"/>
    </row>
    <row r="101" spans="1:7">
      <c r="B101" t="s">
        <v>13</v>
      </c>
      <c r="C101" vm="2" t="e">
        <f t="shared" ref="C101" si="155">G96/SUMPRODUCT(_xlfn.ANCHORARRAY(C100),_xlfn.ANCHORARRAY(C100))</f>
        <v>#VALUE!</v>
      </c>
      <c r="D101"/>
      <c r="E101"/>
      <c r="G101"/>
    </row>
    <row r="102" spans="1:7">
      <c r="A102" t="s">
        <v>4</v>
      </c>
      <c r="B102" s="17" t="s">
        <v>5</v>
      </c>
      <c r="C102" vm="2" t="e" cm="1">
        <f t="array" ref="C102:E102">C95:E95+C101*(C100:E100)</f>
        <v>#VALUE!</v>
      </c>
      <c r="D102" vm="2" t="e">
        <v>#VALUE!</v>
      </c>
      <c r="E102" vm="2" t="e">
        <v>#VALUE!</v>
      </c>
      <c r="G102"/>
    </row>
    <row r="103" spans="1:7">
      <c r="A103" s="1">
        <f>1+A96</f>
        <v>15</v>
      </c>
      <c r="B103" t="s">
        <v>6</v>
      </c>
      <c r="C103" s="14" vm="2" t="e">
        <f t="shared" ref="C103:C166" si="156">3*C102-D102^3-0.5*C102*E102</f>
        <v>#VALUE!</v>
      </c>
      <c r="D103" s="15" vm="2" t="e">
        <f t="shared" ref="D103:D166" si="157">C102^2-(D102+0.1)^2+2*E102+0.9</f>
        <v>#VALUE!</v>
      </c>
      <c r="E103" s="15" vm="2" t="e">
        <f t="shared" ref="E103:E166" si="158">EXP(-C102)+1/D102+1.5*E102+2</f>
        <v>#VALUE!</v>
      </c>
      <c r="G103" s="1" vm="2" t="e">
        <f>0.5*(C103*C103+D103*D103+E103*E103)</f>
        <v>#VALUE!</v>
      </c>
    </row>
    <row r="104" spans="1:7">
      <c r="C104" s="18" vm="2" t="e">
        <f t="shared" ref="C104" si="159">3-0.5*E102</f>
        <v>#VALUE!</v>
      </c>
      <c r="D104" s="19" vm="2" t="e">
        <f t="shared" ref="D104" si="160">-3*D102^2</f>
        <v>#VALUE!</v>
      </c>
      <c r="E104" s="20" vm="2" t="e">
        <f t="shared" ref="E104" si="161">-0.5*C102</f>
        <v>#VALUE!</v>
      </c>
    </row>
    <row r="105" spans="1:7">
      <c r="B105" t="s">
        <v>7</v>
      </c>
      <c r="C105" s="21" vm="2" t="e">
        <f t="shared" ref="C105" si="162">2*C102</f>
        <v>#VALUE!</v>
      </c>
      <c r="D105" s="15" vm="2" t="e">
        <f t="shared" ref="D105" si="163">-2*(D102+0.1)</f>
        <v>#VALUE!</v>
      </c>
      <c r="E105" s="22">
        <f>2</f>
        <v>2</v>
      </c>
    </row>
    <row r="106" spans="1:7">
      <c r="C106" s="23" vm="2" t="e">
        <f t="shared" ref="C106" si="164">-EXP(-C102)</f>
        <v>#VALUE!</v>
      </c>
      <c r="D106" s="24" vm="2" t="e">
        <f t="shared" ref="D106" si="165">-1/D102^2</f>
        <v>#VALUE!</v>
      </c>
      <c r="E106" s="25">
        <f t="shared" ref="E106:E169" si="166">1.5</f>
        <v>1.5</v>
      </c>
    </row>
    <row r="107" spans="1:7">
      <c r="B107" t="s">
        <v>12</v>
      </c>
      <c r="C107" vm="2" t="e" cm="1">
        <f t="array" ref="C107">-MMULT(C103:E103,C104:E106)</f>
        <v>#VALUE!</v>
      </c>
      <c r="D107"/>
      <c r="E107"/>
      <c r="F107">
        <f>F100</f>
        <v>1</v>
      </c>
      <c r="G107"/>
    </row>
    <row r="108" spans="1:7">
      <c r="B108" t="s">
        <v>13</v>
      </c>
      <c r="C108" vm="2" t="e">
        <f t="shared" ref="C108" si="167">G103/SUMPRODUCT(_xlfn.ANCHORARRAY(C107),_xlfn.ANCHORARRAY(C107))</f>
        <v>#VALUE!</v>
      </c>
      <c r="D108"/>
      <c r="E108"/>
      <c r="G108"/>
    </row>
    <row r="109" spans="1:7">
      <c r="A109" t="s">
        <v>4</v>
      </c>
      <c r="B109" s="17" t="s">
        <v>5</v>
      </c>
      <c r="C109" vm="2" t="e" cm="1">
        <f t="array" ref="C109:E109">C102:E102+C108*(C107:E107)</f>
        <v>#VALUE!</v>
      </c>
      <c r="D109" vm="2" t="e">
        <v>#VALUE!</v>
      </c>
      <c r="E109" vm="2" t="e">
        <v>#VALUE!</v>
      </c>
      <c r="G109"/>
    </row>
    <row r="110" spans="1:7">
      <c r="A110" s="1">
        <f>1+A103</f>
        <v>16</v>
      </c>
      <c r="B110" t="s">
        <v>6</v>
      </c>
      <c r="C110" s="14" vm="2" t="e">
        <f t="shared" ref="C110:C173" si="168">3*C109-D109^3-0.5*C109*E109</f>
        <v>#VALUE!</v>
      </c>
      <c r="D110" s="15" vm="2" t="e">
        <f t="shared" ref="D110:D173" si="169">C109^2-(D109+0.1)^2+2*E109+0.9</f>
        <v>#VALUE!</v>
      </c>
      <c r="E110" s="15" vm="2" t="e">
        <f t="shared" ref="E110:E173" si="170">EXP(-C109)+1/D109+1.5*E109+2</f>
        <v>#VALUE!</v>
      </c>
      <c r="G110" s="1" vm="2" t="e">
        <f>0.5*(C110*C110+D110*D110+E110*E110)</f>
        <v>#VALUE!</v>
      </c>
    </row>
    <row r="111" spans="1:7">
      <c r="C111" s="18" vm="2" t="e">
        <f t="shared" ref="C111" si="171">3-0.5*E109</f>
        <v>#VALUE!</v>
      </c>
      <c r="D111" s="19" vm="2" t="e">
        <f t="shared" ref="D111" si="172">-3*D109^2</f>
        <v>#VALUE!</v>
      </c>
      <c r="E111" s="20" vm="2" t="e">
        <f t="shared" ref="E111" si="173">-0.5*C109</f>
        <v>#VALUE!</v>
      </c>
    </row>
    <row r="112" spans="1:7">
      <c r="B112" t="s">
        <v>7</v>
      </c>
      <c r="C112" s="21" vm="2" t="e">
        <f t="shared" ref="C112" si="174">2*C109</f>
        <v>#VALUE!</v>
      </c>
      <c r="D112" s="15" vm="2" t="e">
        <f t="shared" ref="D112" si="175">-2*(D109+0.1)</f>
        <v>#VALUE!</v>
      </c>
      <c r="E112" s="22">
        <f>2</f>
        <v>2</v>
      </c>
    </row>
    <row r="113" spans="1:7">
      <c r="C113" s="23" vm="2" t="e">
        <f t="shared" ref="C113" si="176">-EXP(-C109)</f>
        <v>#VALUE!</v>
      </c>
      <c r="D113" s="24" vm="2" t="e">
        <f t="shared" ref="D113" si="177">-1/D109^2</f>
        <v>#VALUE!</v>
      </c>
      <c r="E113" s="25">
        <f t="shared" ref="E113:E176" si="178">1.5</f>
        <v>1.5</v>
      </c>
    </row>
    <row r="114" spans="1:7">
      <c r="B114" t="s">
        <v>12</v>
      </c>
      <c r="C114" vm="2" t="e" cm="1">
        <f t="array" ref="C114">-MMULT(C110:E110,C111:E113)</f>
        <v>#VALUE!</v>
      </c>
      <c r="D114"/>
      <c r="E114"/>
      <c r="F114">
        <f>F107</f>
        <v>1</v>
      </c>
      <c r="G114"/>
    </row>
    <row r="115" spans="1:7">
      <c r="B115" t="s">
        <v>13</v>
      </c>
      <c r="C115" vm="2" t="e">
        <f t="shared" ref="C115" si="179">G110/SUMPRODUCT(_xlfn.ANCHORARRAY(C114),_xlfn.ANCHORARRAY(C114))</f>
        <v>#VALUE!</v>
      </c>
      <c r="D115"/>
      <c r="E115"/>
      <c r="G115"/>
    </row>
    <row r="116" spans="1:7">
      <c r="A116" t="s">
        <v>4</v>
      </c>
      <c r="B116" s="17" t="s">
        <v>5</v>
      </c>
      <c r="C116" vm="2" t="e" cm="1">
        <f t="array" ref="C116:E116">C109:E109+C115*(C114:E114)</f>
        <v>#VALUE!</v>
      </c>
      <c r="D116" vm="2" t="e">
        <v>#VALUE!</v>
      </c>
      <c r="E116" vm="2" t="e">
        <v>#VALUE!</v>
      </c>
      <c r="G116"/>
    </row>
    <row r="117" spans="1:7">
      <c r="A117" s="1">
        <f>1+A110</f>
        <v>17</v>
      </c>
      <c r="B117" t="s">
        <v>6</v>
      </c>
      <c r="C117" s="14" vm="2" t="e">
        <f t="shared" ref="C117:C180" si="180">3*C116-D116^3-0.5*C116*E116</f>
        <v>#VALUE!</v>
      </c>
      <c r="D117" s="15" vm="2" t="e">
        <f t="shared" ref="D117:D180" si="181">C116^2-(D116+0.1)^2+2*E116+0.9</f>
        <v>#VALUE!</v>
      </c>
      <c r="E117" s="15" vm="2" t="e">
        <f t="shared" ref="E117:E180" si="182">EXP(-C116)+1/D116+1.5*E116+2</f>
        <v>#VALUE!</v>
      </c>
      <c r="G117" s="1" vm="2" t="e">
        <f>0.5*(C117*C117+D117*D117+E117*E117)</f>
        <v>#VALUE!</v>
      </c>
    </row>
    <row r="118" spans="1:7">
      <c r="C118" s="18" vm="2" t="e">
        <f t="shared" ref="C118" si="183">3-0.5*E116</f>
        <v>#VALUE!</v>
      </c>
      <c r="D118" s="19" vm="2" t="e">
        <f t="shared" ref="D118" si="184">-3*D116^2</f>
        <v>#VALUE!</v>
      </c>
      <c r="E118" s="20" vm="2" t="e">
        <f t="shared" ref="E118" si="185">-0.5*C116</f>
        <v>#VALUE!</v>
      </c>
    </row>
    <row r="119" spans="1:7">
      <c r="B119" t="s">
        <v>7</v>
      </c>
      <c r="C119" s="21" vm="2" t="e">
        <f t="shared" ref="C119" si="186">2*C116</f>
        <v>#VALUE!</v>
      </c>
      <c r="D119" s="15" vm="2" t="e">
        <f t="shared" ref="D119" si="187">-2*(D116+0.1)</f>
        <v>#VALUE!</v>
      </c>
      <c r="E119" s="22">
        <f>2</f>
        <v>2</v>
      </c>
    </row>
    <row r="120" spans="1:7">
      <c r="C120" s="23" vm="2" t="e">
        <f t="shared" ref="C120" si="188">-EXP(-C116)</f>
        <v>#VALUE!</v>
      </c>
      <c r="D120" s="24" vm="2" t="e">
        <f t="shared" ref="D120" si="189">-1/D116^2</f>
        <v>#VALUE!</v>
      </c>
      <c r="E120" s="25">
        <f t="shared" ref="E120:E183" si="190">1.5</f>
        <v>1.5</v>
      </c>
    </row>
    <row r="121" spans="1:7">
      <c r="B121" t="s">
        <v>12</v>
      </c>
      <c r="C121" vm="2" t="e" cm="1">
        <f t="array" ref="C121">-MMULT(C117:E117,C118:E120)</f>
        <v>#VALUE!</v>
      </c>
      <c r="D121"/>
      <c r="E121"/>
      <c r="F121">
        <f>F114</f>
        <v>1</v>
      </c>
      <c r="G121"/>
    </row>
    <row r="122" spans="1:7">
      <c r="B122" t="s">
        <v>13</v>
      </c>
      <c r="C122" vm="2" t="e">
        <f t="shared" ref="C122" si="191">G117/SUMPRODUCT(_xlfn.ANCHORARRAY(C121),_xlfn.ANCHORARRAY(C121))</f>
        <v>#VALUE!</v>
      </c>
      <c r="D122"/>
      <c r="E122"/>
      <c r="G122"/>
    </row>
    <row r="123" spans="1:7">
      <c r="A123" t="s">
        <v>4</v>
      </c>
      <c r="B123" s="17" t="s">
        <v>5</v>
      </c>
      <c r="C123" vm="2" t="e" cm="1">
        <f t="array" ref="C123:E123">C116:E116+C122*(C121:E121)</f>
        <v>#VALUE!</v>
      </c>
      <c r="D123" vm="2" t="e">
        <v>#VALUE!</v>
      </c>
      <c r="E123" vm="2" t="e">
        <v>#VALUE!</v>
      </c>
      <c r="G123"/>
    </row>
    <row r="124" spans="1:7">
      <c r="A124" s="1">
        <f>1+A117</f>
        <v>18</v>
      </c>
      <c r="B124" t="s">
        <v>6</v>
      </c>
      <c r="C124" s="14" vm="2" t="e">
        <f t="shared" ref="C124:C187" si="192">3*C123-D123^3-0.5*C123*E123</f>
        <v>#VALUE!</v>
      </c>
      <c r="D124" s="15" vm="2" t="e">
        <f t="shared" ref="D124:D187" si="193">C123^2-(D123+0.1)^2+2*E123+0.9</f>
        <v>#VALUE!</v>
      </c>
      <c r="E124" s="15" vm="2" t="e">
        <f t="shared" ref="E124:E187" si="194">EXP(-C123)+1/D123+1.5*E123+2</f>
        <v>#VALUE!</v>
      </c>
      <c r="G124" s="1" vm="2" t="e">
        <f>0.5*(C124*C124+D124*D124+E124*E124)</f>
        <v>#VALUE!</v>
      </c>
    </row>
    <row r="125" spans="1:7">
      <c r="C125" s="18" vm="2" t="e">
        <f t="shared" ref="C125" si="195">3-0.5*E123</f>
        <v>#VALUE!</v>
      </c>
      <c r="D125" s="19" vm="2" t="e">
        <f t="shared" ref="D125" si="196">-3*D123^2</f>
        <v>#VALUE!</v>
      </c>
      <c r="E125" s="20" vm="2" t="e">
        <f t="shared" ref="E125" si="197">-0.5*C123</f>
        <v>#VALUE!</v>
      </c>
    </row>
    <row r="126" spans="1:7">
      <c r="B126" t="s">
        <v>7</v>
      </c>
      <c r="C126" s="21" vm="2" t="e">
        <f t="shared" ref="C126" si="198">2*C123</f>
        <v>#VALUE!</v>
      </c>
      <c r="D126" s="15" vm="2" t="e">
        <f t="shared" ref="D126" si="199">-2*(D123+0.1)</f>
        <v>#VALUE!</v>
      </c>
      <c r="E126" s="22">
        <f>2</f>
        <v>2</v>
      </c>
    </row>
    <row r="127" spans="1:7">
      <c r="C127" s="23" vm="2" t="e">
        <f t="shared" ref="C127" si="200">-EXP(-C123)</f>
        <v>#VALUE!</v>
      </c>
      <c r="D127" s="24" vm="2" t="e">
        <f t="shared" ref="D127" si="201">-1/D123^2</f>
        <v>#VALUE!</v>
      </c>
      <c r="E127" s="25">
        <f t="shared" ref="E127:E190" si="202">1.5</f>
        <v>1.5</v>
      </c>
    </row>
    <row r="128" spans="1:7">
      <c r="B128" t="s">
        <v>12</v>
      </c>
      <c r="C128" vm="2" t="e" cm="1">
        <f t="array" ref="C128">-MMULT(C124:E124,C125:E127)</f>
        <v>#VALUE!</v>
      </c>
      <c r="D128"/>
      <c r="E128"/>
      <c r="F128">
        <f>F121</f>
        <v>1</v>
      </c>
      <c r="G128"/>
    </row>
    <row r="129" spans="1:7">
      <c r="B129" t="s">
        <v>13</v>
      </c>
      <c r="C129" vm="2" t="e">
        <f t="shared" ref="C129" si="203">G124/SUMPRODUCT(_xlfn.ANCHORARRAY(C128),_xlfn.ANCHORARRAY(C128))</f>
        <v>#VALUE!</v>
      </c>
      <c r="D129"/>
      <c r="E129"/>
      <c r="G129"/>
    </row>
    <row r="130" spans="1:7">
      <c r="A130" t="s">
        <v>4</v>
      </c>
      <c r="B130" s="17" t="s">
        <v>5</v>
      </c>
      <c r="C130" vm="2" t="e" cm="1">
        <f t="array" ref="C130:E130">C123:E123+C129*(C128:E128)</f>
        <v>#VALUE!</v>
      </c>
      <c r="D130" vm="2" t="e">
        <v>#VALUE!</v>
      </c>
      <c r="E130" vm="2" t="e">
        <v>#VALUE!</v>
      </c>
      <c r="G130"/>
    </row>
    <row r="131" spans="1:7">
      <c r="A131" s="1">
        <f>1+A124</f>
        <v>19</v>
      </c>
      <c r="B131" t="s">
        <v>6</v>
      </c>
      <c r="C131" s="14" vm="2" t="e">
        <f t="shared" ref="C131:C194" si="204">3*C130-D130^3-0.5*C130*E130</f>
        <v>#VALUE!</v>
      </c>
      <c r="D131" s="15" vm="2" t="e">
        <f t="shared" ref="D131:D194" si="205">C130^2-(D130+0.1)^2+2*E130+0.9</f>
        <v>#VALUE!</v>
      </c>
      <c r="E131" s="15" vm="2" t="e">
        <f t="shared" ref="E131:E194" si="206">EXP(-C130)+1/D130+1.5*E130+2</f>
        <v>#VALUE!</v>
      </c>
      <c r="G131" s="1" vm="2" t="e">
        <f>0.5*(C131*C131+D131*D131+E131*E131)</f>
        <v>#VALUE!</v>
      </c>
    </row>
    <row r="132" spans="1:7">
      <c r="C132" s="18" vm="2" t="e">
        <f t="shared" ref="C132" si="207">3-0.5*E130</f>
        <v>#VALUE!</v>
      </c>
      <c r="D132" s="19" vm="2" t="e">
        <f t="shared" ref="D132" si="208">-3*D130^2</f>
        <v>#VALUE!</v>
      </c>
      <c r="E132" s="20" vm="2" t="e">
        <f t="shared" ref="E132" si="209">-0.5*C130</f>
        <v>#VALUE!</v>
      </c>
    </row>
    <row r="133" spans="1:7">
      <c r="B133" t="s">
        <v>7</v>
      </c>
      <c r="C133" s="21" vm="2" t="e">
        <f t="shared" ref="C133" si="210">2*C130</f>
        <v>#VALUE!</v>
      </c>
      <c r="D133" s="15" vm="2" t="e">
        <f t="shared" ref="D133" si="211">-2*(D130+0.1)</f>
        <v>#VALUE!</v>
      </c>
      <c r="E133" s="22">
        <f>2</f>
        <v>2</v>
      </c>
    </row>
    <row r="134" spans="1:7">
      <c r="C134" s="23" vm="2" t="e">
        <f t="shared" ref="C134" si="212">-EXP(-C130)</f>
        <v>#VALUE!</v>
      </c>
      <c r="D134" s="24" vm="2" t="e">
        <f t="shared" ref="D134" si="213">-1/D130^2</f>
        <v>#VALUE!</v>
      </c>
      <c r="E134" s="25">
        <f t="shared" ref="E134:E197" si="214">1.5</f>
        <v>1.5</v>
      </c>
    </row>
    <row r="135" spans="1:7">
      <c r="B135" t="s">
        <v>12</v>
      </c>
      <c r="C135" vm="2" t="e" cm="1">
        <f t="array" ref="C135">-MMULT(C131:E131,C132:E134)</f>
        <v>#VALUE!</v>
      </c>
      <c r="D135"/>
      <c r="E135"/>
      <c r="F135">
        <f>F128</f>
        <v>1</v>
      </c>
      <c r="G135"/>
    </row>
    <row r="136" spans="1:7">
      <c r="B136" t="s">
        <v>13</v>
      </c>
      <c r="C136" vm="2" t="e">
        <f t="shared" ref="C136" si="215">G131/SUMPRODUCT(_xlfn.ANCHORARRAY(C135),_xlfn.ANCHORARRAY(C135))</f>
        <v>#VALUE!</v>
      </c>
      <c r="D136"/>
      <c r="E136"/>
      <c r="G136"/>
    </row>
    <row r="137" spans="1:7">
      <c r="A137" t="s">
        <v>4</v>
      </c>
      <c r="B137" s="17" t="s">
        <v>5</v>
      </c>
      <c r="C137" vm="2" t="e" cm="1">
        <f t="array" ref="C137:E137">C130:E130+C136*(C135:E135)</f>
        <v>#VALUE!</v>
      </c>
      <c r="D137" vm="2" t="e">
        <v>#VALUE!</v>
      </c>
      <c r="E137" vm="2" t="e">
        <v>#VALUE!</v>
      </c>
      <c r="G137"/>
    </row>
    <row r="138" spans="1:7">
      <c r="A138" s="1">
        <f>1+A131</f>
        <v>20</v>
      </c>
      <c r="B138" t="s">
        <v>6</v>
      </c>
      <c r="C138" s="14" vm="2" t="e">
        <f t="shared" ref="C138:C201" si="216">3*C137-D137^3-0.5*C137*E137</f>
        <v>#VALUE!</v>
      </c>
      <c r="D138" s="15" vm="2" t="e">
        <f t="shared" ref="D138:D201" si="217">C137^2-(D137+0.1)^2+2*E137+0.9</f>
        <v>#VALUE!</v>
      </c>
      <c r="E138" s="15" vm="2" t="e">
        <f t="shared" ref="E138:E201" si="218">EXP(-C137)+1/D137+1.5*E137+2</f>
        <v>#VALUE!</v>
      </c>
      <c r="G138" s="1" vm="2" t="e">
        <f>0.5*(C138*C138+D138*D138+E138*E138)</f>
        <v>#VALUE!</v>
      </c>
    </row>
    <row r="139" spans="1:7">
      <c r="C139" s="18" vm="2" t="e">
        <f t="shared" ref="C139" si="219">3-0.5*E137</f>
        <v>#VALUE!</v>
      </c>
      <c r="D139" s="19" vm="2" t="e">
        <f t="shared" ref="D139" si="220">-3*D137^2</f>
        <v>#VALUE!</v>
      </c>
      <c r="E139" s="20" vm="2" t="e">
        <f t="shared" ref="E139" si="221">-0.5*C137</f>
        <v>#VALUE!</v>
      </c>
    </row>
    <row r="140" spans="1:7">
      <c r="B140" t="s">
        <v>7</v>
      </c>
      <c r="C140" s="21" vm="2" t="e">
        <f t="shared" ref="C140" si="222">2*C137</f>
        <v>#VALUE!</v>
      </c>
      <c r="D140" s="15" vm="2" t="e">
        <f t="shared" ref="D140" si="223">-2*(D137+0.1)</f>
        <v>#VALUE!</v>
      </c>
      <c r="E140" s="22">
        <f>2</f>
        <v>2</v>
      </c>
    </row>
    <row r="141" spans="1:7">
      <c r="C141" s="23" vm="2" t="e">
        <f t="shared" ref="C141" si="224">-EXP(-C137)</f>
        <v>#VALUE!</v>
      </c>
      <c r="D141" s="24" vm="2" t="e">
        <f t="shared" ref="D141" si="225">-1/D137^2</f>
        <v>#VALUE!</v>
      </c>
      <c r="E141" s="25">
        <f t="shared" ref="E141:E204" si="226">1.5</f>
        <v>1.5</v>
      </c>
    </row>
    <row r="142" spans="1:7">
      <c r="B142" t="s">
        <v>12</v>
      </c>
      <c r="C142" vm="2" t="e" cm="1">
        <f t="array" ref="C142">-MMULT(C138:E138,C139:E141)</f>
        <v>#VALUE!</v>
      </c>
      <c r="D142"/>
      <c r="E142"/>
      <c r="F142">
        <f>F135</f>
        <v>1</v>
      </c>
      <c r="G142"/>
    </row>
    <row r="143" spans="1:7">
      <c r="B143" t="s">
        <v>13</v>
      </c>
      <c r="C143" vm="2" t="e">
        <f t="shared" ref="C143" si="227">G138/SUMPRODUCT(_xlfn.ANCHORARRAY(C142),_xlfn.ANCHORARRAY(C142))</f>
        <v>#VALUE!</v>
      </c>
      <c r="D143"/>
      <c r="E143"/>
      <c r="G143"/>
    </row>
    <row r="144" spans="1:7">
      <c r="A144" t="s">
        <v>4</v>
      </c>
      <c r="B144" s="17" t="s">
        <v>5</v>
      </c>
      <c r="C144" vm="2" t="e" cm="1">
        <f t="array" ref="C144:E144">C137:E137+C143*(C142:E142)</f>
        <v>#VALUE!</v>
      </c>
      <c r="D144" vm="2" t="e">
        <v>#VALUE!</v>
      </c>
      <c r="E144" vm="2" t="e">
        <v>#VALUE!</v>
      </c>
      <c r="G144"/>
    </row>
    <row r="145" spans="1:7">
      <c r="A145" s="1">
        <f>1+A138</f>
        <v>21</v>
      </c>
      <c r="B145" t="s">
        <v>6</v>
      </c>
      <c r="C145" s="14" vm="2" t="e">
        <f t="shared" ref="C145:C208" si="228">3*C144-D144^3-0.5*C144*E144</f>
        <v>#VALUE!</v>
      </c>
      <c r="D145" s="15" vm="2" t="e">
        <f t="shared" ref="D145:D208" si="229">C144^2-(D144+0.1)^2+2*E144+0.9</f>
        <v>#VALUE!</v>
      </c>
      <c r="E145" s="15" vm="2" t="e">
        <f t="shared" ref="E145:E208" si="230">EXP(-C144)+1/D144+1.5*E144+2</f>
        <v>#VALUE!</v>
      </c>
      <c r="G145" s="1" vm="2" t="e">
        <f>0.5*(C145*C145+D145*D145+E145*E145)</f>
        <v>#VALUE!</v>
      </c>
    </row>
    <row r="146" spans="1:7">
      <c r="C146" s="18" vm="2" t="e">
        <f t="shared" ref="C146" si="231">3-0.5*E144</f>
        <v>#VALUE!</v>
      </c>
      <c r="D146" s="19" vm="2" t="e">
        <f t="shared" ref="D146" si="232">-3*D144^2</f>
        <v>#VALUE!</v>
      </c>
      <c r="E146" s="20" vm="2" t="e">
        <f t="shared" ref="E146" si="233">-0.5*C144</f>
        <v>#VALUE!</v>
      </c>
    </row>
    <row r="147" spans="1:7">
      <c r="B147" t="s">
        <v>7</v>
      </c>
      <c r="C147" s="21" vm="2" t="e">
        <f t="shared" ref="C147" si="234">2*C144</f>
        <v>#VALUE!</v>
      </c>
      <c r="D147" s="15" vm="2" t="e">
        <f t="shared" ref="D147" si="235">-2*(D144+0.1)</f>
        <v>#VALUE!</v>
      </c>
      <c r="E147" s="22">
        <f>2</f>
        <v>2</v>
      </c>
    </row>
    <row r="148" spans="1:7">
      <c r="C148" s="23" vm="2" t="e">
        <f t="shared" ref="C148" si="236">-EXP(-C144)</f>
        <v>#VALUE!</v>
      </c>
      <c r="D148" s="24" vm="2" t="e">
        <f t="shared" ref="D148" si="237">-1/D144^2</f>
        <v>#VALUE!</v>
      </c>
      <c r="E148" s="25">
        <f t="shared" ref="E148:E211" si="238">1.5</f>
        <v>1.5</v>
      </c>
    </row>
    <row r="149" spans="1:7">
      <c r="B149" t="s">
        <v>12</v>
      </c>
      <c r="C149" vm="2" t="e" cm="1">
        <f t="array" ref="C149">-MMULT(C145:E145,C146:E148)</f>
        <v>#VALUE!</v>
      </c>
      <c r="D149"/>
      <c r="E149"/>
      <c r="F149">
        <f>F142</f>
        <v>1</v>
      </c>
      <c r="G149"/>
    </row>
    <row r="150" spans="1:7">
      <c r="B150" t="s">
        <v>13</v>
      </c>
      <c r="C150" vm="2" t="e">
        <f t="shared" ref="C150" si="239">G145/SUMPRODUCT(_xlfn.ANCHORARRAY(C149),_xlfn.ANCHORARRAY(C149))</f>
        <v>#VALUE!</v>
      </c>
      <c r="D150"/>
      <c r="E150"/>
      <c r="G150"/>
    </row>
    <row r="151" spans="1:7">
      <c r="A151" t="s">
        <v>4</v>
      </c>
      <c r="B151" s="17" t="s">
        <v>5</v>
      </c>
      <c r="C151" vm="2" t="e" cm="1">
        <f t="array" ref="C151:E151">C144:E144+C150*(C149:E149)</f>
        <v>#VALUE!</v>
      </c>
      <c r="D151" vm="2" t="e">
        <v>#VALUE!</v>
      </c>
      <c r="E151" vm="2" t="e">
        <v>#VALUE!</v>
      </c>
      <c r="G151"/>
    </row>
    <row r="152" spans="1:7">
      <c r="A152" s="1">
        <f>1+A145</f>
        <v>22</v>
      </c>
      <c r="B152" t="s">
        <v>6</v>
      </c>
      <c r="C152" s="14" vm="2" t="e">
        <f t="shared" ref="C152:C215" si="240">3*C151-D151^3-0.5*C151*E151</f>
        <v>#VALUE!</v>
      </c>
      <c r="D152" s="15" vm="2" t="e">
        <f t="shared" ref="D152:D215" si="241">C151^2-(D151+0.1)^2+2*E151+0.9</f>
        <v>#VALUE!</v>
      </c>
      <c r="E152" s="15" vm="2" t="e">
        <f t="shared" ref="E152:E215" si="242">EXP(-C151)+1/D151+1.5*E151+2</f>
        <v>#VALUE!</v>
      </c>
      <c r="G152" s="1" vm="2" t="e">
        <f>0.5*(C152*C152+D152*D152+E152*E152)</f>
        <v>#VALUE!</v>
      </c>
    </row>
    <row r="153" spans="1:7">
      <c r="C153" s="18" vm="2" t="e">
        <f t="shared" ref="C153" si="243">3-0.5*E151</f>
        <v>#VALUE!</v>
      </c>
      <c r="D153" s="19" vm="2" t="e">
        <f t="shared" ref="D153" si="244">-3*D151^2</f>
        <v>#VALUE!</v>
      </c>
      <c r="E153" s="20" vm="2" t="e">
        <f t="shared" ref="E153" si="245">-0.5*C151</f>
        <v>#VALUE!</v>
      </c>
    </row>
    <row r="154" spans="1:7">
      <c r="B154" t="s">
        <v>7</v>
      </c>
      <c r="C154" s="21" vm="2" t="e">
        <f t="shared" ref="C154" si="246">2*C151</f>
        <v>#VALUE!</v>
      </c>
      <c r="D154" s="15" vm="2" t="e">
        <f t="shared" ref="D154" si="247">-2*(D151+0.1)</f>
        <v>#VALUE!</v>
      </c>
      <c r="E154" s="22">
        <f>2</f>
        <v>2</v>
      </c>
    </row>
    <row r="155" spans="1:7">
      <c r="C155" s="23" vm="2" t="e">
        <f t="shared" ref="C155" si="248">-EXP(-C151)</f>
        <v>#VALUE!</v>
      </c>
      <c r="D155" s="24" vm="2" t="e">
        <f t="shared" ref="D155" si="249">-1/D151^2</f>
        <v>#VALUE!</v>
      </c>
      <c r="E155" s="25">
        <f t="shared" ref="E155:E218" si="250">1.5</f>
        <v>1.5</v>
      </c>
    </row>
    <row r="156" spans="1:7">
      <c r="B156" t="s">
        <v>12</v>
      </c>
      <c r="C156" vm="2" t="e" cm="1">
        <f t="array" ref="C156">-MMULT(C152:E152,C153:E155)</f>
        <v>#VALUE!</v>
      </c>
      <c r="D156"/>
      <c r="E156"/>
      <c r="F156">
        <f>F149</f>
        <v>1</v>
      </c>
      <c r="G156"/>
    </row>
    <row r="157" spans="1:7">
      <c r="B157" t="s">
        <v>13</v>
      </c>
      <c r="C157" vm="2" t="e">
        <f t="shared" ref="C157" si="251">G152/SUMPRODUCT(_xlfn.ANCHORARRAY(C156),_xlfn.ANCHORARRAY(C156))</f>
        <v>#VALUE!</v>
      </c>
      <c r="D157"/>
      <c r="E157"/>
      <c r="G157"/>
    </row>
    <row r="158" spans="1:7">
      <c r="A158" t="s">
        <v>4</v>
      </c>
      <c r="B158" s="17" t="s">
        <v>5</v>
      </c>
      <c r="C158" vm="2" t="e" cm="1">
        <f t="array" ref="C158:E158">C151:E151+C157*(C156:E156)</f>
        <v>#VALUE!</v>
      </c>
      <c r="D158" vm="2" t="e">
        <v>#VALUE!</v>
      </c>
      <c r="E158" vm="2" t="e">
        <v>#VALUE!</v>
      </c>
      <c r="G158"/>
    </row>
    <row r="159" spans="1:7">
      <c r="A159" s="1">
        <f>1+A152</f>
        <v>23</v>
      </c>
      <c r="B159" t="s">
        <v>6</v>
      </c>
      <c r="C159" s="14" vm="2" t="e">
        <f t="shared" ref="C159:C222" si="252">3*C158-D158^3-0.5*C158*E158</f>
        <v>#VALUE!</v>
      </c>
      <c r="D159" s="15" vm="2" t="e">
        <f t="shared" ref="D159:D222" si="253">C158^2-(D158+0.1)^2+2*E158+0.9</f>
        <v>#VALUE!</v>
      </c>
      <c r="E159" s="15" vm="2" t="e">
        <f t="shared" ref="E159:E222" si="254">EXP(-C158)+1/D158+1.5*E158+2</f>
        <v>#VALUE!</v>
      </c>
      <c r="G159" s="1" vm="2" t="e">
        <f>0.5*(C159*C159+D159*D159+E159*E159)</f>
        <v>#VALUE!</v>
      </c>
    </row>
    <row r="160" spans="1:7">
      <c r="C160" s="18" vm="2" t="e">
        <f t="shared" ref="C160" si="255">3-0.5*E158</f>
        <v>#VALUE!</v>
      </c>
      <c r="D160" s="19" vm="2" t="e">
        <f t="shared" ref="D160" si="256">-3*D158^2</f>
        <v>#VALUE!</v>
      </c>
      <c r="E160" s="20" vm="2" t="e">
        <f t="shared" ref="E160" si="257">-0.5*C158</f>
        <v>#VALUE!</v>
      </c>
    </row>
    <row r="161" spans="1:7">
      <c r="B161" t="s">
        <v>7</v>
      </c>
      <c r="C161" s="21" vm="2" t="e">
        <f t="shared" ref="C161" si="258">2*C158</f>
        <v>#VALUE!</v>
      </c>
      <c r="D161" s="15" vm="2" t="e">
        <f t="shared" ref="D161" si="259">-2*(D158+0.1)</f>
        <v>#VALUE!</v>
      </c>
      <c r="E161" s="22">
        <f>2</f>
        <v>2</v>
      </c>
    </row>
    <row r="162" spans="1:7">
      <c r="C162" s="23" vm="2" t="e">
        <f t="shared" ref="C162" si="260">-EXP(-C158)</f>
        <v>#VALUE!</v>
      </c>
      <c r="D162" s="24" vm="2" t="e">
        <f t="shared" ref="D162" si="261">-1/D158^2</f>
        <v>#VALUE!</v>
      </c>
      <c r="E162" s="25">
        <f t="shared" ref="E162:E225" si="262">1.5</f>
        <v>1.5</v>
      </c>
    </row>
    <row r="163" spans="1:7">
      <c r="B163" t="s">
        <v>12</v>
      </c>
      <c r="C163" vm="2" t="e" cm="1">
        <f t="array" ref="C163">-MMULT(C159:E159,C160:E162)</f>
        <v>#VALUE!</v>
      </c>
      <c r="D163"/>
      <c r="E163"/>
      <c r="F163">
        <f>F156</f>
        <v>1</v>
      </c>
      <c r="G163"/>
    </row>
    <row r="164" spans="1:7">
      <c r="B164" t="s">
        <v>13</v>
      </c>
      <c r="C164" vm="2" t="e">
        <f t="shared" ref="C164" si="263">G159/SUMPRODUCT(_xlfn.ANCHORARRAY(C163),_xlfn.ANCHORARRAY(C163))</f>
        <v>#VALUE!</v>
      </c>
      <c r="D164"/>
      <c r="E164"/>
      <c r="G164"/>
    </row>
    <row r="165" spans="1:7">
      <c r="A165" t="s">
        <v>4</v>
      </c>
      <c r="B165" s="17" t="s">
        <v>5</v>
      </c>
      <c r="C165" vm="2" t="e" cm="1">
        <f t="array" ref="C165:E165">C158:E158+C164*(C163:E163)</f>
        <v>#VALUE!</v>
      </c>
      <c r="D165" vm="2" t="e">
        <v>#VALUE!</v>
      </c>
      <c r="E165" vm="2" t="e">
        <v>#VALUE!</v>
      </c>
      <c r="G165"/>
    </row>
    <row r="166" spans="1:7">
      <c r="A166" s="1">
        <f>1+A159</f>
        <v>24</v>
      </c>
      <c r="B166" t="s">
        <v>6</v>
      </c>
      <c r="C166" s="14" vm="2" t="e">
        <f t="shared" ref="C166:C229" si="264">3*C165-D165^3-0.5*C165*E165</f>
        <v>#VALUE!</v>
      </c>
      <c r="D166" s="15" vm="2" t="e">
        <f t="shared" ref="D166:D229" si="265">C165^2-(D165+0.1)^2+2*E165+0.9</f>
        <v>#VALUE!</v>
      </c>
      <c r="E166" s="15" vm="2" t="e">
        <f t="shared" ref="E166:E229" si="266">EXP(-C165)+1/D165+1.5*E165+2</f>
        <v>#VALUE!</v>
      </c>
      <c r="G166" s="1" vm="2" t="e">
        <f>0.5*(C166*C166+D166*D166+E166*E166)</f>
        <v>#VALUE!</v>
      </c>
    </row>
    <row r="167" spans="1:7">
      <c r="C167" s="18" vm="2" t="e">
        <f t="shared" ref="C167" si="267">3-0.5*E165</f>
        <v>#VALUE!</v>
      </c>
      <c r="D167" s="19" vm="2" t="e">
        <f t="shared" ref="D167" si="268">-3*D165^2</f>
        <v>#VALUE!</v>
      </c>
      <c r="E167" s="20" vm="2" t="e">
        <f t="shared" ref="E167" si="269">-0.5*C165</f>
        <v>#VALUE!</v>
      </c>
    </row>
    <row r="168" spans="1:7">
      <c r="B168" t="s">
        <v>7</v>
      </c>
      <c r="C168" s="21" vm="2" t="e">
        <f t="shared" ref="C168" si="270">2*C165</f>
        <v>#VALUE!</v>
      </c>
      <c r="D168" s="15" vm="2" t="e">
        <f t="shared" ref="D168" si="271">-2*(D165+0.1)</f>
        <v>#VALUE!</v>
      </c>
      <c r="E168" s="22">
        <f>2</f>
        <v>2</v>
      </c>
    </row>
    <row r="169" spans="1:7">
      <c r="C169" s="23" vm="2" t="e">
        <f t="shared" ref="C169" si="272">-EXP(-C165)</f>
        <v>#VALUE!</v>
      </c>
      <c r="D169" s="24" vm="2" t="e">
        <f t="shared" ref="D169" si="273">-1/D165^2</f>
        <v>#VALUE!</v>
      </c>
      <c r="E169" s="25">
        <f t="shared" ref="E169:E232" si="274">1.5</f>
        <v>1.5</v>
      </c>
    </row>
    <row r="170" spans="1:7">
      <c r="B170" t="s">
        <v>12</v>
      </c>
      <c r="C170" vm="2" t="e" cm="1">
        <f t="array" ref="C170">-MMULT(C166:E166,C167:E169)</f>
        <v>#VALUE!</v>
      </c>
      <c r="D170"/>
      <c r="E170"/>
      <c r="F170">
        <f>F163</f>
        <v>1</v>
      </c>
      <c r="G170"/>
    </row>
    <row r="171" spans="1:7">
      <c r="B171" t="s">
        <v>13</v>
      </c>
      <c r="C171" vm="2" t="e">
        <f t="shared" ref="C171" si="275">G166/SUMPRODUCT(_xlfn.ANCHORARRAY(C170),_xlfn.ANCHORARRAY(C170))</f>
        <v>#VALUE!</v>
      </c>
      <c r="D171"/>
      <c r="E171"/>
      <c r="G171"/>
    </row>
    <row r="172" spans="1:7">
      <c r="A172" t="s">
        <v>4</v>
      </c>
      <c r="B172" s="17" t="s">
        <v>5</v>
      </c>
      <c r="C172" vm="2" t="e" cm="1">
        <f t="array" ref="C172:E172">C165:E165+C171*(C170:E170)</f>
        <v>#VALUE!</v>
      </c>
      <c r="D172" vm="2" t="e">
        <v>#VALUE!</v>
      </c>
      <c r="E172" vm="2" t="e">
        <v>#VALUE!</v>
      </c>
      <c r="G172"/>
    </row>
    <row r="173" spans="1:7">
      <c r="A173" s="1">
        <f>1+A166</f>
        <v>25</v>
      </c>
      <c r="B173" t="s">
        <v>6</v>
      </c>
      <c r="C173" s="14" vm="2" t="e">
        <f t="shared" ref="C173:C236" si="276">3*C172-D172^3-0.5*C172*E172</f>
        <v>#VALUE!</v>
      </c>
      <c r="D173" s="15" vm="2" t="e">
        <f t="shared" ref="D173:D236" si="277">C172^2-(D172+0.1)^2+2*E172+0.9</f>
        <v>#VALUE!</v>
      </c>
      <c r="E173" s="15" vm="2" t="e">
        <f t="shared" ref="E173:E236" si="278">EXP(-C172)+1/D172+1.5*E172+2</f>
        <v>#VALUE!</v>
      </c>
      <c r="G173" s="1" vm="2" t="e">
        <f>0.5*(C173*C173+D173*D173+E173*E173)</f>
        <v>#VALUE!</v>
      </c>
    </row>
    <row r="174" spans="1:7">
      <c r="C174" s="18" vm="2" t="e">
        <f t="shared" ref="C174" si="279">3-0.5*E172</f>
        <v>#VALUE!</v>
      </c>
      <c r="D174" s="19" vm="2" t="e">
        <f t="shared" ref="D174" si="280">-3*D172^2</f>
        <v>#VALUE!</v>
      </c>
      <c r="E174" s="20" vm="2" t="e">
        <f t="shared" ref="E174" si="281">-0.5*C172</f>
        <v>#VALUE!</v>
      </c>
    </row>
    <row r="175" spans="1:7">
      <c r="B175" t="s">
        <v>7</v>
      </c>
      <c r="C175" s="21" vm="2" t="e">
        <f t="shared" ref="C175" si="282">2*C172</f>
        <v>#VALUE!</v>
      </c>
      <c r="D175" s="15" vm="2" t="e">
        <f t="shared" ref="D175" si="283">-2*(D172+0.1)</f>
        <v>#VALUE!</v>
      </c>
      <c r="E175" s="22">
        <f>2</f>
        <v>2</v>
      </c>
    </row>
    <row r="176" spans="1:7">
      <c r="C176" s="23" vm="2" t="e">
        <f t="shared" ref="C176" si="284">-EXP(-C172)</f>
        <v>#VALUE!</v>
      </c>
      <c r="D176" s="24" vm="2" t="e">
        <f t="shared" ref="D176" si="285">-1/D172^2</f>
        <v>#VALUE!</v>
      </c>
      <c r="E176" s="25">
        <f t="shared" ref="E176:E239" si="286">1.5</f>
        <v>1.5</v>
      </c>
    </row>
    <row r="177" spans="1:7">
      <c r="B177" t="s">
        <v>12</v>
      </c>
      <c r="C177" vm="2" t="e" cm="1">
        <f t="array" ref="C177">-MMULT(C173:E173,C174:E176)</f>
        <v>#VALUE!</v>
      </c>
      <c r="D177"/>
      <c r="E177"/>
      <c r="F177">
        <f>F170</f>
        <v>1</v>
      </c>
      <c r="G177"/>
    </row>
    <row r="178" spans="1:7">
      <c r="B178" t="s">
        <v>13</v>
      </c>
      <c r="C178" vm="2" t="e">
        <f t="shared" ref="C178" si="287">G173/SUMPRODUCT(_xlfn.ANCHORARRAY(C177),_xlfn.ANCHORARRAY(C177))</f>
        <v>#VALUE!</v>
      </c>
      <c r="D178"/>
      <c r="E178"/>
      <c r="G178"/>
    </row>
    <row r="179" spans="1:7">
      <c r="A179" t="s">
        <v>4</v>
      </c>
      <c r="B179" s="17" t="s">
        <v>5</v>
      </c>
      <c r="C179" vm="2" t="e" cm="1">
        <f t="array" ref="C179:E179">C172:E172+C178*(C177:E177)</f>
        <v>#VALUE!</v>
      </c>
      <c r="D179" vm="2" t="e">
        <v>#VALUE!</v>
      </c>
      <c r="E179" vm="2" t="e">
        <v>#VALUE!</v>
      </c>
      <c r="G179"/>
    </row>
    <row r="180" spans="1:7">
      <c r="A180" s="1">
        <f>1+A173</f>
        <v>26</v>
      </c>
      <c r="B180" t="s">
        <v>6</v>
      </c>
      <c r="C180" s="14" vm="2" t="e">
        <f t="shared" ref="C180:C243" si="288">3*C179-D179^3-0.5*C179*E179</f>
        <v>#VALUE!</v>
      </c>
      <c r="D180" s="15" vm="2" t="e">
        <f t="shared" ref="D180:D243" si="289">C179^2-(D179+0.1)^2+2*E179+0.9</f>
        <v>#VALUE!</v>
      </c>
      <c r="E180" s="15" vm="2" t="e">
        <f t="shared" ref="E180:E243" si="290">EXP(-C179)+1/D179+1.5*E179+2</f>
        <v>#VALUE!</v>
      </c>
      <c r="G180" s="1" vm="2" t="e">
        <f>0.5*(C180*C180+D180*D180+E180*E180)</f>
        <v>#VALUE!</v>
      </c>
    </row>
    <row r="181" spans="1:7">
      <c r="C181" s="18" vm="2" t="e">
        <f t="shared" ref="C181" si="291">3-0.5*E179</f>
        <v>#VALUE!</v>
      </c>
      <c r="D181" s="19" vm="2" t="e">
        <f t="shared" ref="D181" si="292">-3*D179^2</f>
        <v>#VALUE!</v>
      </c>
      <c r="E181" s="20" vm="2" t="e">
        <f t="shared" ref="E181" si="293">-0.5*C179</f>
        <v>#VALUE!</v>
      </c>
    </row>
    <row r="182" spans="1:7">
      <c r="B182" t="s">
        <v>7</v>
      </c>
      <c r="C182" s="21" vm="2" t="e">
        <f t="shared" ref="C182" si="294">2*C179</f>
        <v>#VALUE!</v>
      </c>
      <c r="D182" s="15" vm="2" t="e">
        <f t="shared" ref="D182" si="295">-2*(D179+0.1)</f>
        <v>#VALUE!</v>
      </c>
      <c r="E182" s="22">
        <f>2</f>
        <v>2</v>
      </c>
    </row>
    <row r="183" spans="1:7">
      <c r="C183" s="23" vm="2" t="e">
        <f t="shared" ref="C183" si="296">-EXP(-C179)</f>
        <v>#VALUE!</v>
      </c>
      <c r="D183" s="24" vm="2" t="e">
        <f t="shared" ref="D183" si="297">-1/D179^2</f>
        <v>#VALUE!</v>
      </c>
      <c r="E183" s="25">
        <f t="shared" ref="E183:E246" si="298">1.5</f>
        <v>1.5</v>
      </c>
    </row>
    <row r="184" spans="1:7">
      <c r="B184" t="s">
        <v>12</v>
      </c>
      <c r="C184" vm="2" t="e" cm="1">
        <f t="array" ref="C184">-MMULT(C180:E180,C181:E183)</f>
        <v>#VALUE!</v>
      </c>
      <c r="D184"/>
      <c r="E184"/>
      <c r="F184">
        <f>F177</f>
        <v>1</v>
      </c>
      <c r="G184"/>
    </row>
    <row r="185" spans="1:7">
      <c r="B185" t="s">
        <v>13</v>
      </c>
      <c r="C185" vm="2" t="e">
        <f t="shared" ref="C185" si="299">G180/SUMPRODUCT(_xlfn.ANCHORARRAY(C184),_xlfn.ANCHORARRAY(C184))</f>
        <v>#VALUE!</v>
      </c>
      <c r="D185"/>
      <c r="E185"/>
      <c r="G185"/>
    </row>
    <row r="186" spans="1:7">
      <c r="A186" t="s">
        <v>4</v>
      </c>
      <c r="B186" s="17" t="s">
        <v>5</v>
      </c>
      <c r="C186" vm="2" t="e" cm="1">
        <f t="array" ref="C186:E186">C179:E179+C185*(C184:E184)</f>
        <v>#VALUE!</v>
      </c>
      <c r="D186" vm="2" t="e">
        <v>#VALUE!</v>
      </c>
      <c r="E186" vm="2" t="e">
        <v>#VALUE!</v>
      </c>
      <c r="G186"/>
    </row>
    <row r="187" spans="1:7">
      <c r="A187" s="1">
        <f>1+A180</f>
        <v>27</v>
      </c>
      <c r="B187" t="s">
        <v>6</v>
      </c>
      <c r="C187" s="14" vm="2" t="e">
        <f t="shared" ref="C187:C250" si="300">3*C186-D186^3-0.5*C186*E186</f>
        <v>#VALUE!</v>
      </c>
      <c r="D187" s="15" vm="2" t="e">
        <f t="shared" ref="D187:D250" si="301">C186^2-(D186+0.1)^2+2*E186+0.9</f>
        <v>#VALUE!</v>
      </c>
      <c r="E187" s="15" vm="2" t="e">
        <f t="shared" ref="E187:E250" si="302">EXP(-C186)+1/D186+1.5*E186+2</f>
        <v>#VALUE!</v>
      </c>
      <c r="G187" s="1" vm="2" t="e">
        <f>0.5*(C187*C187+D187*D187+E187*E187)</f>
        <v>#VALUE!</v>
      </c>
    </row>
    <row r="188" spans="1:7">
      <c r="C188" s="18" vm="2" t="e">
        <f t="shared" ref="C188" si="303">3-0.5*E186</f>
        <v>#VALUE!</v>
      </c>
      <c r="D188" s="19" vm="2" t="e">
        <f t="shared" ref="D188" si="304">-3*D186^2</f>
        <v>#VALUE!</v>
      </c>
      <c r="E188" s="20" vm="2" t="e">
        <f t="shared" ref="E188" si="305">-0.5*C186</f>
        <v>#VALUE!</v>
      </c>
    </row>
    <row r="189" spans="1:7">
      <c r="B189" t="s">
        <v>7</v>
      </c>
      <c r="C189" s="21" vm="2" t="e">
        <f t="shared" ref="C189" si="306">2*C186</f>
        <v>#VALUE!</v>
      </c>
      <c r="D189" s="15" vm="2" t="e">
        <f t="shared" ref="D189" si="307">-2*(D186+0.1)</f>
        <v>#VALUE!</v>
      </c>
      <c r="E189" s="22">
        <f>2</f>
        <v>2</v>
      </c>
    </row>
    <row r="190" spans="1:7">
      <c r="C190" s="23" vm="2" t="e">
        <f t="shared" ref="C190" si="308">-EXP(-C186)</f>
        <v>#VALUE!</v>
      </c>
      <c r="D190" s="24" vm="2" t="e">
        <f t="shared" ref="D190" si="309">-1/D186^2</f>
        <v>#VALUE!</v>
      </c>
      <c r="E190" s="25">
        <f t="shared" ref="E190:E253" si="310">1.5</f>
        <v>1.5</v>
      </c>
    </row>
    <row r="191" spans="1:7">
      <c r="B191" t="s">
        <v>12</v>
      </c>
      <c r="C191" vm="2" t="e" cm="1">
        <f t="array" ref="C191">-MMULT(C187:E187,C188:E190)</f>
        <v>#VALUE!</v>
      </c>
      <c r="D191"/>
      <c r="E191"/>
      <c r="F191">
        <f>F184</f>
        <v>1</v>
      </c>
      <c r="G191"/>
    </row>
    <row r="192" spans="1:7">
      <c r="B192" t="s">
        <v>13</v>
      </c>
      <c r="C192" vm="2" t="e">
        <f t="shared" ref="C192" si="311">G187/SUMPRODUCT(_xlfn.ANCHORARRAY(C191),_xlfn.ANCHORARRAY(C191))</f>
        <v>#VALUE!</v>
      </c>
      <c r="D192"/>
      <c r="E192"/>
      <c r="G192"/>
    </row>
    <row r="193" spans="1:7">
      <c r="A193" t="s">
        <v>4</v>
      </c>
      <c r="B193" s="17" t="s">
        <v>5</v>
      </c>
      <c r="C193" vm="2" t="e" cm="1">
        <f t="array" ref="C193:E193">C186:E186+C192*(C191:E191)</f>
        <v>#VALUE!</v>
      </c>
      <c r="D193" vm="2" t="e">
        <v>#VALUE!</v>
      </c>
      <c r="E193" vm="2" t="e">
        <v>#VALUE!</v>
      </c>
      <c r="G193"/>
    </row>
    <row r="194" spans="1:7">
      <c r="A194" s="1">
        <f>1+A187</f>
        <v>28</v>
      </c>
      <c r="B194" t="s">
        <v>6</v>
      </c>
      <c r="C194" s="14" vm="2" t="e">
        <f t="shared" ref="C194:C257" si="312">3*C193-D193^3-0.5*C193*E193</f>
        <v>#VALUE!</v>
      </c>
      <c r="D194" s="15" vm="2" t="e">
        <f t="shared" ref="D194:D257" si="313">C193^2-(D193+0.1)^2+2*E193+0.9</f>
        <v>#VALUE!</v>
      </c>
      <c r="E194" s="15" vm="2" t="e">
        <f t="shared" ref="E194:E257" si="314">EXP(-C193)+1/D193+1.5*E193+2</f>
        <v>#VALUE!</v>
      </c>
      <c r="G194" s="1" vm="2" t="e">
        <f>0.5*(C194*C194+D194*D194+E194*E194)</f>
        <v>#VALUE!</v>
      </c>
    </row>
    <row r="195" spans="1:7">
      <c r="C195" s="18" vm="2" t="e">
        <f t="shared" ref="C195" si="315">3-0.5*E193</f>
        <v>#VALUE!</v>
      </c>
      <c r="D195" s="19" vm="2" t="e">
        <f t="shared" ref="D195" si="316">-3*D193^2</f>
        <v>#VALUE!</v>
      </c>
      <c r="E195" s="20" vm="2" t="e">
        <f t="shared" ref="E195" si="317">-0.5*C193</f>
        <v>#VALUE!</v>
      </c>
    </row>
    <row r="196" spans="1:7">
      <c r="B196" t="s">
        <v>7</v>
      </c>
      <c r="C196" s="21" vm="2" t="e">
        <f t="shared" ref="C196" si="318">2*C193</f>
        <v>#VALUE!</v>
      </c>
      <c r="D196" s="15" vm="2" t="e">
        <f t="shared" ref="D196" si="319">-2*(D193+0.1)</f>
        <v>#VALUE!</v>
      </c>
      <c r="E196" s="22">
        <f>2</f>
        <v>2</v>
      </c>
    </row>
    <row r="197" spans="1:7">
      <c r="C197" s="23" vm="2" t="e">
        <f t="shared" ref="C197" si="320">-EXP(-C193)</f>
        <v>#VALUE!</v>
      </c>
      <c r="D197" s="24" vm="2" t="e">
        <f t="shared" ref="D197" si="321">-1/D193^2</f>
        <v>#VALUE!</v>
      </c>
      <c r="E197" s="25">
        <f t="shared" ref="E197:E260" si="322">1.5</f>
        <v>1.5</v>
      </c>
    </row>
    <row r="198" spans="1:7">
      <c r="B198" t="s">
        <v>12</v>
      </c>
      <c r="C198" vm="2" t="e" cm="1">
        <f t="array" ref="C198">-MMULT(C194:E194,C195:E197)</f>
        <v>#VALUE!</v>
      </c>
      <c r="D198"/>
      <c r="E198"/>
      <c r="F198">
        <f>F191</f>
        <v>1</v>
      </c>
      <c r="G198"/>
    </row>
    <row r="199" spans="1:7">
      <c r="B199" t="s">
        <v>13</v>
      </c>
      <c r="C199" vm="2" t="e">
        <f t="shared" ref="C199" si="323">G194/SUMPRODUCT(_xlfn.ANCHORARRAY(C198),_xlfn.ANCHORARRAY(C198))</f>
        <v>#VALUE!</v>
      </c>
      <c r="D199"/>
      <c r="E199"/>
      <c r="G199"/>
    </row>
    <row r="200" spans="1:7">
      <c r="A200" t="s">
        <v>4</v>
      </c>
      <c r="B200" s="17" t="s">
        <v>5</v>
      </c>
      <c r="C200" vm="2" t="e" cm="1">
        <f t="array" ref="C200:E200">C193:E193+C199*(C198:E198)</f>
        <v>#VALUE!</v>
      </c>
      <c r="D200" vm="2" t="e">
        <v>#VALUE!</v>
      </c>
      <c r="E200" vm="2" t="e">
        <v>#VALUE!</v>
      </c>
      <c r="G200"/>
    </row>
    <row r="201" spans="1:7">
      <c r="A201" s="1">
        <f>1+A194</f>
        <v>29</v>
      </c>
      <c r="B201" t="s">
        <v>6</v>
      </c>
      <c r="C201" s="14" vm="2" t="e">
        <f t="shared" ref="C201:C264" si="324">3*C200-D200^3-0.5*C200*E200</f>
        <v>#VALUE!</v>
      </c>
      <c r="D201" s="15" vm="2" t="e">
        <f t="shared" ref="D201:D264" si="325">C200^2-(D200+0.1)^2+2*E200+0.9</f>
        <v>#VALUE!</v>
      </c>
      <c r="E201" s="15" vm="2" t="e">
        <f t="shared" ref="E201:E264" si="326">EXP(-C200)+1/D200+1.5*E200+2</f>
        <v>#VALUE!</v>
      </c>
      <c r="G201" s="1" vm="2" t="e">
        <f>0.5*(C201*C201+D201*D201+E201*E201)</f>
        <v>#VALUE!</v>
      </c>
    </row>
    <row r="202" spans="1:7">
      <c r="C202" s="18" vm="2" t="e">
        <f t="shared" ref="C202" si="327">3-0.5*E200</f>
        <v>#VALUE!</v>
      </c>
      <c r="D202" s="19" vm="2" t="e">
        <f t="shared" ref="D202" si="328">-3*D200^2</f>
        <v>#VALUE!</v>
      </c>
      <c r="E202" s="20" vm="2" t="e">
        <f t="shared" ref="E202" si="329">-0.5*C200</f>
        <v>#VALUE!</v>
      </c>
    </row>
    <row r="203" spans="1:7">
      <c r="B203" t="s">
        <v>7</v>
      </c>
      <c r="C203" s="21" vm="2" t="e">
        <f t="shared" ref="C203" si="330">2*C200</f>
        <v>#VALUE!</v>
      </c>
      <c r="D203" s="15" vm="2" t="e">
        <f t="shared" ref="D203" si="331">-2*(D200+0.1)</f>
        <v>#VALUE!</v>
      </c>
      <c r="E203" s="22">
        <f>2</f>
        <v>2</v>
      </c>
    </row>
    <row r="204" spans="1:7">
      <c r="C204" s="23" vm="2" t="e">
        <f t="shared" ref="C204" si="332">-EXP(-C200)</f>
        <v>#VALUE!</v>
      </c>
      <c r="D204" s="24" vm="2" t="e">
        <f t="shared" ref="D204" si="333">-1/D200^2</f>
        <v>#VALUE!</v>
      </c>
      <c r="E204" s="25">
        <f t="shared" ref="E204:E267" si="334">1.5</f>
        <v>1.5</v>
      </c>
    </row>
    <row r="205" spans="1:7">
      <c r="B205" t="s">
        <v>12</v>
      </c>
      <c r="C205" vm="2" t="e" cm="1">
        <f t="array" ref="C205">-MMULT(C201:E201,C202:E204)</f>
        <v>#VALUE!</v>
      </c>
      <c r="D205"/>
      <c r="E205"/>
      <c r="F205">
        <f>F198</f>
        <v>1</v>
      </c>
      <c r="G205"/>
    </row>
    <row r="206" spans="1:7">
      <c r="B206" t="s">
        <v>13</v>
      </c>
      <c r="C206" vm="2" t="e">
        <f t="shared" ref="C206" si="335">G201/SUMPRODUCT(_xlfn.ANCHORARRAY(C205),_xlfn.ANCHORARRAY(C205))</f>
        <v>#VALUE!</v>
      </c>
      <c r="D206"/>
      <c r="E206"/>
      <c r="G206"/>
    </row>
    <row r="207" spans="1:7">
      <c r="A207" t="s">
        <v>4</v>
      </c>
      <c r="B207" s="17" t="s">
        <v>5</v>
      </c>
      <c r="C207" vm="2" t="e" cm="1">
        <f t="array" ref="C207:E207">C200:E200+C206*(C205:E205)</f>
        <v>#VALUE!</v>
      </c>
      <c r="D207" vm="2" t="e">
        <v>#VALUE!</v>
      </c>
      <c r="E207" vm="2" t="e">
        <v>#VALUE!</v>
      </c>
      <c r="G207"/>
    </row>
    <row r="208" spans="1:7">
      <c r="A208" s="1">
        <f>1+A201</f>
        <v>30</v>
      </c>
      <c r="B208" t="s">
        <v>6</v>
      </c>
      <c r="C208" s="14" vm="2" t="e">
        <f t="shared" ref="C208:C271" si="336">3*C207-D207^3-0.5*C207*E207</f>
        <v>#VALUE!</v>
      </c>
      <c r="D208" s="15" vm="2" t="e">
        <f t="shared" ref="D208:D271" si="337">C207^2-(D207+0.1)^2+2*E207+0.9</f>
        <v>#VALUE!</v>
      </c>
      <c r="E208" s="15" vm="2" t="e">
        <f t="shared" ref="E208:E271" si="338">EXP(-C207)+1/D207+1.5*E207+2</f>
        <v>#VALUE!</v>
      </c>
      <c r="G208" s="1" vm="2" t="e">
        <f>0.5*(C208*C208+D208*D208+E208*E208)</f>
        <v>#VALUE!</v>
      </c>
    </row>
    <row r="209" spans="1:7">
      <c r="C209" s="18" vm="2" t="e">
        <f t="shared" ref="C209" si="339">3-0.5*E207</f>
        <v>#VALUE!</v>
      </c>
      <c r="D209" s="19" vm="2" t="e">
        <f t="shared" ref="D209" si="340">-3*D207^2</f>
        <v>#VALUE!</v>
      </c>
      <c r="E209" s="20" vm="2" t="e">
        <f t="shared" ref="E209" si="341">-0.5*C207</f>
        <v>#VALUE!</v>
      </c>
    </row>
    <row r="210" spans="1:7">
      <c r="B210" t="s">
        <v>7</v>
      </c>
      <c r="C210" s="21" vm="2" t="e">
        <f t="shared" ref="C210" si="342">2*C207</f>
        <v>#VALUE!</v>
      </c>
      <c r="D210" s="15" vm="2" t="e">
        <f t="shared" ref="D210" si="343">-2*(D207+0.1)</f>
        <v>#VALUE!</v>
      </c>
      <c r="E210" s="22">
        <f>2</f>
        <v>2</v>
      </c>
    </row>
    <row r="211" spans="1:7">
      <c r="C211" s="23" vm="2" t="e">
        <f t="shared" ref="C211" si="344">-EXP(-C207)</f>
        <v>#VALUE!</v>
      </c>
      <c r="D211" s="24" vm="2" t="e">
        <f t="shared" ref="D211" si="345">-1/D207^2</f>
        <v>#VALUE!</v>
      </c>
      <c r="E211" s="25">
        <f t="shared" ref="E211:E274" si="346">1.5</f>
        <v>1.5</v>
      </c>
    </row>
    <row r="212" spans="1:7">
      <c r="B212" t="s">
        <v>12</v>
      </c>
      <c r="C212" vm="2" t="e" cm="1">
        <f t="array" ref="C212">-MMULT(C208:E208,C209:E211)</f>
        <v>#VALUE!</v>
      </c>
      <c r="D212"/>
      <c r="E212"/>
      <c r="F212">
        <f>F205</f>
        <v>1</v>
      </c>
      <c r="G212"/>
    </row>
    <row r="213" spans="1:7">
      <c r="B213" t="s">
        <v>13</v>
      </c>
      <c r="C213" vm="2" t="e">
        <f t="shared" ref="C213" si="347">G208/SUMPRODUCT(_xlfn.ANCHORARRAY(C212),_xlfn.ANCHORARRAY(C212))</f>
        <v>#VALUE!</v>
      </c>
      <c r="D213"/>
      <c r="E213"/>
      <c r="G213"/>
    </row>
    <row r="214" spans="1:7">
      <c r="A214" t="s">
        <v>4</v>
      </c>
      <c r="B214" s="17" t="s">
        <v>5</v>
      </c>
      <c r="C214" vm="2" t="e" cm="1">
        <f t="array" ref="C214:E214">C207:E207+C213*(C212:E212)</f>
        <v>#VALUE!</v>
      </c>
      <c r="D214" vm="2" t="e">
        <v>#VALUE!</v>
      </c>
      <c r="E214" vm="2" t="e">
        <v>#VALUE!</v>
      </c>
      <c r="G214"/>
    </row>
    <row r="215" spans="1:7">
      <c r="A215" s="1">
        <f>1+A208</f>
        <v>31</v>
      </c>
      <c r="B215" t="s">
        <v>6</v>
      </c>
      <c r="C215" s="14" vm="2" t="e">
        <f t="shared" ref="C215:C278" si="348">3*C214-D214^3-0.5*C214*E214</f>
        <v>#VALUE!</v>
      </c>
      <c r="D215" s="15" vm="2" t="e">
        <f t="shared" ref="D215:D278" si="349">C214^2-(D214+0.1)^2+2*E214+0.9</f>
        <v>#VALUE!</v>
      </c>
      <c r="E215" s="15" vm="2" t="e">
        <f t="shared" ref="E215:E278" si="350">EXP(-C214)+1/D214+1.5*E214+2</f>
        <v>#VALUE!</v>
      </c>
      <c r="G215" s="1" vm="2" t="e">
        <f>0.5*(C215*C215+D215*D215+E215*E215)</f>
        <v>#VALUE!</v>
      </c>
    </row>
    <row r="216" spans="1:7">
      <c r="C216" s="18" vm="2" t="e">
        <f t="shared" ref="C216" si="351">3-0.5*E214</f>
        <v>#VALUE!</v>
      </c>
      <c r="D216" s="19" vm="2" t="e">
        <f t="shared" ref="D216" si="352">-3*D214^2</f>
        <v>#VALUE!</v>
      </c>
      <c r="E216" s="20" vm="2" t="e">
        <f t="shared" ref="E216" si="353">-0.5*C214</f>
        <v>#VALUE!</v>
      </c>
    </row>
    <row r="217" spans="1:7">
      <c r="B217" t="s">
        <v>7</v>
      </c>
      <c r="C217" s="21" vm="2" t="e">
        <f t="shared" ref="C217" si="354">2*C214</f>
        <v>#VALUE!</v>
      </c>
      <c r="D217" s="15" vm="2" t="e">
        <f t="shared" ref="D217" si="355">-2*(D214+0.1)</f>
        <v>#VALUE!</v>
      </c>
      <c r="E217" s="22">
        <f>2</f>
        <v>2</v>
      </c>
    </row>
    <row r="218" spans="1:7">
      <c r="C218" s="23" vm="2" t="e">
        <f t="shared" ref="C218" si="356">-EXP(-C214)</f>
        <v>#VALUE!</v>
      </c>
      <c r="D218" s="24" vm="2" t="e">
        <f t="shared" ref="D218" si="357">-1/D214^2</f>
        <v>#VALUE!</v>
      </c>
      <c r="E218" s="25">
        <f t="shared" ref="E218:E281" si="358">1.5</f>
        <v>1.5</v>
      </c>
    </row>
    <row r="219" spans="1:7">
      <c r="B219" t="s">
        <v>12</v>
      </c>
      <c r="C219" vm="2" t="e" cm="1">
        <f t="array" ref="C219">-MMULT(C215:E215,C216:E218)</f>
        <v>#VALUE!</v>
      </c>
      <c r="D219"/>
      <c r="E219"/>
      <c r="F219">
        <f>F212</f>
        <v>1</v>
      </c>
      <c r="G219"/>
    </row>
    <row r="220" spans="1:7">
      <c r="B220" t="s">
        <v>13</v>
      </c>
      <c r="C220" vm="2" t="e">
        <f t="shared" ref="C220" si="359">G215/SUMPRODUCT(_xlfn.ANCHORARRAY(C219),_xlfn.ANCHORARRAY(C219))</f>
        <v>#VALUE!</v>
      </c>
      <c r="D220"/>
      <c r="E220"/>
      <c r="G220"/>
    </row>
    <row r="221" spans="1:7">
      <c r="A221" t="s">
        <v>4</v>
      </c>
      <c r="B221" s="17" t="s">
        <v>5</v>
      </c>
      <c r="C221" vm="2" t="e" cm="1">
        <f t="array" ref="C221:E221">C214:E214+C220*(C219:E219)</f>
        <v>#VALUE!</v>
      </c>
      <c r="D221" vm="2" t="e">
        <v>#VALUE!</v>
      </c>
      <c r="E221" vm="2" t="e">
        <v>#VALUE!</v>
      </c>
      <c r="G221"/>
    </row>
    <row r="222" spans="1:7">
      <c r="A222" s="1">
        <f>1+A215</f>
        <v>32</v>
      </c>
      <c r="B222" t="s">
        <v>6</v>
      </c>
      <c r="C222" s="14" vm="2" t="e">
        <f t="shared" ref="C222:C285" si="360">3*C221-D221^3-0.5*C221*E221</f>
        <v>#VALUE!</v>
      </c>
      <c r="D222" s="15" vm="2" t="e">
        <f t="shared" ref="D222:D285" si="361">C221^2-(D221+0.1)^2+2*E221+0.9</f>
        <v>#VALUE!</v>
      </c>
      <c r="E222" s="15" vm="2" t="e">
        <f t="shared" ref="E222:E285" si="362">EXP(-C221)+1/D221+1.5*E221+2</f>
        <v>#VALUE!</v>
      </c>
      <c r="G222" s="1" vm="2" t="e">
        <f>0.5*(C222*C222+D222*D222+E222*E222)</f>
        <v>#VALUE!</v>
      </c>
    </row>
    <row r="223" spans="1:7">
      <c r="C223" s="18" vm="2" t="e">
        <f t="shared" ref="C223" si="363">3-0.5*E221</f>
        <v>#VALUE!</v>
      </c>
      <c r="D223" s="19" vm="2" t="e">
        <f t="shared" ref="D223" si="364">-3*D221^2</f>
        <v>#VALUE!</v>
      </c>
      <c r="E223" s="20" vm="2" t="e">
        <f t="shared" ref="E223" si="365">-0.5*C221</f>
        <v>#VALUE!</v>
      </c>
    </row>
    <row r="224" spans="1:7">
      <c r="B224" t="s">
        <v>7</v>
      </c>
      <c r="C224" s="21" vm="2" t="e">
        <f t="shared" ref="C224" si="366">2*C221</f>
        <v>#VALUE!</v>
      </c>
      <c r="D224" s="15" vm="2" t="e">
        <f t="shared" ref="D224" si="367">-2*(D221+0.1)</f>
        <v>#VALUE!</v>
      </c>
      <c r="E224" s="22">
        <f>2</f>
        <v>2</v>
      </c>
    </row>
    <row r="225" spans="1:7">
      <c r="C225" s="23" vm="2" t="e">
        <f t="shared" ref="C225" si="368">-EXP(-C221)</f>
        <v>#VALUE!</v>
      </c>
      <c r="D225" s="24" vm="2" t="e">
        <f t="shared" ref="D225" si="369">-1/D221^2</f>
        <v>#VALUE!</v>
      </c>
      <c r="E225" s="25">
        <f t="shared" ref="E225:E288" si="370">1.5</f>
        <v>1.5</v>
      </c>
    </row>
    <row r="226" spans="1:7">
      <c r="B226" t="s">
        <v>12</v>
      </c>
      <c r="C226" vm="2" t="e" cm="1">
        <f t="array" ref="C226">-MMULT(C222:E222,C223:E225)</f>
        <v>#VALUE!</v>
      </c>
      <c r="D226"/>
      <c r="E226"/>
      <c r="F226">
        <f>F219</f>
        <v>1</v>
      </c>
      <c r="G226"/>
    </row>
    <row r="227" spans="1:7">
      <c r="B227" t="s">
        <v>13</v>
      </c>
      <c r="C227" vm="2" t="e">
        <f t="shared" ref="C227" si="371">G222/SUMPRODUCT(_xlfn.ANCHORARRAY(C226),_xlfn.ANCHORARRAY(C226))</f>
        <v>#VALUE!</v>
      </c>
      <c r="D227"/>
      <c r="E227"/>
      <c r="G227"/>
    </row>
    <row r="228" spans="1:7">
      <c r="A228" t="s">
        <v>4</v>
      </c>
      <c r="B228" s="17" t="s">
        <v>5</v>
      </c>
      <c r="C228" vm="2" t="e" cm="1">
        <f t="array" ref="C228:E228">C221:E221+C227*(C226:E226)</f>
        <v>#VALUE!</v>
      </c>
      <c r="D228" vm="2" t="e">
        <v>#VALUE!</v>
      </c>
      <c r="E228" vm="2" t="e">
        <v>#VALUE!</v>
      </c>
      <c r="G228"/>
    </row>
    <row r="229" spans="1:7">
      <c r="A229" s="1">
        <f>1+A222</f>
        <v>33</v>
      </c>
      <c r="B229" t="s">
        <v>6</v>
      </c>
      <c r="C229" s="14" vm="2" t="e">
        <f t="shared" ref="C229:C292" si="372">3*C228-D228^3-0.5*C228*E228</f>
        <v>#VALUE!</v>
      </c>
      <c r="D229" s="15" vm="2" t="e">
        <f t="shared" ref="D229:D292" si="373">C228^2-(D228+0.1)^2+2*E228+0.9</f>
        <v>#VALUE!</v>
      </c>
      <c r="E229" s="15" vm="2" t="e">
        <f t="shared" ref="E229:E292" si="374">EXP(-C228)+1/D228+1.5*E228+2</f>
        <v>#VALUE!</v>
      </c>
      <c r="G229" s="1" vm="2" t="e">
        <f>0.5*(C229*C229+D229*D229+E229*E229)</f>
        <v>#VALUE!</v>
      </c>
    </row>
    <row r="230" spans="1:7">
      <c r="C230" s="18" vm="2" t="e">
        <f t="shared" ref="C230" si="375">3-0.5*E228</f>
        <v>#VALUE!</v>
      </c>
      <c r="D230" s="19" vm="2" t="e">
        <f t="shared" ref="D230" si="376">-3*D228^2</f>
        <v>#VALUE!</v>
      </c>
      <c r="E230" s="20" vm="2" t="e">
        <f t="shared" ref="E230" si="377">-0.5*C228</f>
        <v>#VALUE!</v>
      </c>
    </row>
    <row r="231" spans="1:7">
      <c r="B231" t="s">
        <v>7</v>
      </c>
      <c r="C231" s="21" vm="2" t="e">
        <f t="shared" ref="C231" si="378">2*C228</f>
        <v>#VALUE!</v>
      </c>
      <c r="D231" s="15" vm="2" t="e">
        <f t="shared" ref="D231" si="379">-2*(D228+0.1)</f>
        <v>#VALUE!</v>
      </c>
      <c r="E231" s="22">
        <f>2</f>
        <v>2</v>
      </c>
    </row>
    <row r="232" spans="1:7">
      <c r="C232" s="23" vm="2" t="e">
        <f t="shared" ref="C232" si="380">-EXP(-C228)</f>
        <v>#VALUE!</v>
      </c>
      <c r="D232" s="24" vm="2" t="e">
        <f t="shared" ref="D232" si="381">-1/D228^2</f>
        <v>#VALUE!</v>
      </c>
      <c r="E232" s="25">
        <f t="shared" ref="E232:E295" si="382">1.5</f>
        <v>1.5</v>
      </c>
    </row>
    <row r="233" spans="1:7">
      <c r="B233" t="s">
        <v>12</v>
      </c>
      <c r="C233" vm="2" t="e" cm="1">
        <f t="array" ref="C233">-MMULT(C229:E229,C230:E232)</f>
        <v>#VALUE!</v>
      </c>
      <c r="D233"/>
      <c r="E233"/>
      <c r="F233">
        <f>F226</f>
        <v>1</v>
      </c>
      <c r="G233"/>
    </row>
    <row r="234" spans="1:7">
      <c r="B234" t="s">
        <v>13</v>
      </c>
      <c r="C234" vm="2" t="e">
        <f t="shared" ref="C234" si="383">G229/SUMPRODUCT(_xlfn.ANCHORARRAY(C233),_xlfn.ANCHORARRAY(C233))</f>
        <v>#VALUE!</v>
      </c>
      <c r="D234"/>
      <c r="E234"/>
      <c r="G234"/>
    </row>
    <row r="235" spans="1:7">
      <c r="A235" t="s">
        <v>4</v>
      </c>
      <c r="B235" s="17" t="s">
        <v>5</v>
      </c>
      <c r="C235" vm="2" t="e" cm="1">
        <f t="array" ref="C235:E235">C228:E228+C234*(C233:E233)</f>
        <v>#VALUE!</v>
      </c>
      <c r="D235" vm="2" t="e">
        <v>#VALUE!</v>
      </c>
      <c r="E235" vm="2" t="e">
        <v>#VALUE!</v>
      </c>
      <c r="G235"/>
    </row>
    <row r="236" spans="1:7">
      <c r="A236" s="1">
        <f>1+A229</f>
        <v>34</v>
      </c>
      <c r="B236" t="s">
        <v>6</v>
      </c>
      <c r="C236" s="14" vm="2" t="e">
        <f t="shared" ref="C236:C299" si="384">3*C235-D235^3-0.5*C235*E235</f>
        <v>#VALUE!</v>
      </c>
      <c r="D236" s="15" vm="2" t="e">
        <f t="shared" ref="D236:D299" si="385">C235^2-(D235+0.1)^2+2*E235+0.9</f>
        <v>#VALUE!</v>
      </c>
      <c r="E236" s="15" vm="2" t="e">
        <f t="shared" ref="E236:E299" si="386">EXP(-C235)+1/D235+1.5*E235+2</f>
        <v>#VALUE!</v>
      </c>
      <c r="G236" s="1" vm="2" t="e">
        <f>0.5*(C236*C236+D236*D236+E236*E236)</f>
        <v>#VALUE!</v>
      </c>
    </row>
    <row r="237" spans="1:7">
      <c r="C237" s="18" vm="2" t="e">
        <f t="shared" ref="C237" si="387">3-0.5*E235</f>
        <v>#VALUE!</v>
      </c>
      <c r="D237" s="19" vm="2" t="e">
        <f t="shared" ref="D237" si="388">-3*D235^2</f>
        <v>#VALUE!</v>
      </c>
      <c r="E237" s="20" vm="2" t="e">
        <f t="shared" ref="E237" si="389">-0.5*C235</f>
        <v>#VALUE!</v>
      </c>
    </row>
    <row r="238" spans="1:7">
      <c r="B238" t="s">
        <v>7</v>
      </c>
      <c r="C238" s="21" vm="2" t="e">
        <f t="shared" ref="C238" si="390">2*C235</f>
        <v>#VALUE!</v>
      </c>
      <c r="D238" s="15" vm="2" t="e">
        <f t="shared" ref="D238" si="391">-2*(D235+0.1)</f>
        <v>#VALUE!</v>
      </c>
      <c r="E238" s="22">
        <f>2</f>
        <v>2</v>
      </c>
    </row>
    <row r="239" spans="1:7">
      <c r="C239" s="23" vm="2" t="e">
        <f t="shared" ref="C239" si="392">-EXP(-C235)</f>
        <v>#VALUE!</v>
      </c>
      <c r="D239" s="24" vm="2" t="e">
        <f t="shared" ref="D239" si="393">-1/D235^2</f>
        <v>#VALUE!</v>
      </c>
      <c r="E239" s="25">
        <f t="shared" ref="E239:E302" si="394">1.5</f>
        <v>1.5</v>
      </c>
    </row>
    <row r="240" spans="1:7">
      <c r="B240" t="s">
        <v>12</v>
      </c>
      <c r="C240" vm="2" t="e" cm="1">
        <f t="array" ref="C240">-MMULT(C236:E236,C237:E239)</f>
        <v>#VALUE!</v>
      </c>
      <c r="D240"/>
      <c r="E240"/>
      <c r="F240">
        <f>F233</f>
        <v>1</v>
      </c>
      <c r="G240"/>
    </row>
    <row r="241" spans="1:7">
      <c r="B241" t="s">
        <v>13</v>
      </c>
      <c r="C241" vm="2" t="e">
        <f t="shared" ref="C241" si="395">G236/SUMPRODUCT(_xlfn.ANCHORARRAY(C240),_xlfn.ANCHORARRAY(C240))</f>
        <v>#VALUE!</v>
      </c>
      <c r="D241"/>
      <c r="E241"/>
      <c r="G241"/>
    </row>
    <row r="242" spans="1:7">
      <c r="A242" t="s">
        <v>4</v>
      </c>
      <c r="B242" s="17" t="s">
        <v>5</v>
      </c>
      <c r="C242" vm="2" t="e" cm="1">
        <f t="array" ref="C242:E242">C235:E235+C241*(C240:E240)</f>
        <v>#VALUE!</v>
      </c>
      <c r="D242" vm="2" t="e">
        <v>#VALUE!</v>
      </c>
      <c r="E242" vm="2" t="e">
        <v>#VALUE!</v>
      </c>
      <c r="G242"/>
    </row>
    <row r="243" spans="1:7">
      <c r="A243" s="1">
        <f>1+A236</f>
        <v>35</v>
      </c>
      <c r="B243" t="s">
        <v>6</v>
      </c>
      <c r="C243" s="14" vm="2" t="e">
        <f t="shared" ref="C243:C306" si="396">3*C242-D242^3-0.5*C242*E242</f>
        <v>#VALUE!</v>
      </c>
      <c r="D243" s="15" vm="2" t="e">
        <f t="shared" ref="D243:D306" si="397">C242^2-(D242+0.1)^2+2*E242+0.9</f>
        <v>#VALUE!</v>
      </c>
      <c r="E243" s="15" vm="2" t="e">
        <f t="shared" ref="E243:E306" si="398">EXP(-C242)+1/D242+1.5*E242+2</f>
        <v>#VALUE!</v>
      </c>
      <c r="G243" s="1" vm="2" t="e">
        <f>0.5*(C243*C243+D243*D243+E243*E243)</f>
        <v>#VALUE!</v>
      </c>
    </row>
    <row r="244" spans="1:7">
      <c r="C244" s="18" vm="2" t="e">
        <f t="shared" ref="C244" si="399">3-0.5*E242</f>
        <v>#VALUE!</v>
      </c>
      <c r="D244" s="19" vm="2" t="e">
        <f t="shared" ref="D244" si="400">-3*D242^2</f>
        <v>#VALUE!</v>
      </c>
      <c r="E244" s="20" vm="2" t="e">
        <f t="shared" ref="E244" si="401">-0.5*C242</f>
        <v>#VALUE!</v>
      </c>
    </row>
    <row r="245" spans="1:7">
      <c r="B245" t="s">
        <v>7</v>
      </c>
      <c r="C245" s="21" vm="2" t="e">
        <f t="shared" ref="C245" si="402">2*C242</f>
        <v>#VALUE!</v>
      </c>
      <c r="D245" s="15" vm="2" t="e">
        <f t="shared" ref="D245" si="403">-2*(D242+0.1)</f>
        <v>#VALUE!</v>
      </c>
      <c r="E245" s="22">
        <f>2</f>
        <v>2</v>
      </c>
    </row>
    <row r="246" spans="1:7">
      <c r="C246" s="23" vm="2" t="e">
        <f t="shared" ref="C246" si="404">-EXP(-C242)</f>
        <v>#VALUE!</v>
      </c>
      <c r="D246" s="24" vm="2" t="e">
        <f t="shared" ref="D246" si="405">-1/D242^2</f>
        <v>#VALUE!</v>
      </c>
      <c r="E246" s="25">
        <f t="shared" ref="E246:E309" si="406">1.5</f>
        <v>1.5</v>
      </c>
    </row>
    <row r="247" spans="1:7">
      <c r="B247" t="s">
        <v>12</v>
      </c>
      <c r="C247" vm="2" t="e" cm="1">
        <f t="array" ref="C247">-MMULT(C243:E243,C244:E246)</f>
        <v>#VALUE!</v>
      </c>
      <c r="D247"/>
      <c r="E247"/>
      <c r="F247">
        <f>F240</f>
        <v>1</v>
      </c>
      <c r="G247"/>
    </row>
    <row r="248" spans="1:7">
      <c r="B248" t="s">
        <v>13</v>
      </c>
      <c r="C248" vm="2" t="e">
        <f t="shared" ref="C248" si="407">G243/SUMPRODUCT(_xlfn.ANCHORARRAY(C247),_xlfn.ANCHORARRAY(C247))</f>
        <v>#VALUE!</v>
      </c>
      <c r="D248"/>
      <c r="E248"/>
      <c r="G248"/>
    </row>
    <row r="249" spans="1:7">
      <c r="A249" t="s">
        <v>4</v>
      </c>
      <c r="B249" s="17" t="s">
        <v>5</v>
      </c>
      <c r="C249" vm="2" t="e" cm="1">
        <f t="array" ref="C249:E249">C242:E242+C248*(C247:E247)</f>
        <v>#VALUE!</v>
      </c>
      <c r="D249" vm="2" t="e">
        <v>#VALUE!</v>
      </c>
      <c r="E249" vm="2" t="e">
        <v>#VALUE!</v>
      </c>
      <c r="G249"/>
    </row>
    <row r="250" spans="1:7">
      <c r="A250" s="1">
        <f>1+A243</f>
        <v>36</v>
      </c>
      <c r="B250" t="s">
        <v>6</v>
      </c>
      <c r="C250" s="14" vm="2" t="e">
        <f t="shared" ref="C250:C313" si="408">3*C249-D249^3-0.5*C249*E249</f>
        <v>#VALUE!</v>
      </c>
      <c r="D250" s="15" vm="2" t="e">
        <f t="shared" ref="D250:D313" si="409">C249^2-(D249+0.1)^2+2*E249+0.9</f>
        <v>#VALUE!</v>
      </c>
      <c r="E250" s="15" vm="2" t="e">
        <f t="shared" ref="E250:E313" si="410">EXP(-C249)+1/D249+1.5*E249+2</f>
        <v>#VALUE!</v>
      </c>
      <c r="G250" s="1" vm="2" t="e">
        <f>0.5*(C250*C250+D250*D250+E250*E250)</f>
        <v>#VALUE!</v>
      </c>
    </row>
    <row r="251" spans="1:7">
      <c r="C251" s="18" vm="2" t="e">
        <f t="shared" ref="C251" si="411">3-0.5*E249</f>
        <v>#VALUE!</v>
      </c>
      <c r="D251" s="19" vm="2" t="e">
        <f t="shared" ref="D251" si="412">-3*D249^2</f>
        <v>#VALUE!</v>
      </c>
      <c r="E251" s="20" vm="2" t="e">
        <f t="shared" ref="E251" si="413">-0.5*C249</f>
        <v>#VALUE!</v>
      </c>
    </row>
    <row r="252" spans="1:7">
      <c r="B252" t="s">
        <v>7</v>
      </c>
      <c r="C252" s="21" vm="2" t="e">
        <f t="shared" ref="C252" si="414">2*C249</f>
        <v>#VALUE!</v>
      </c>
      <c r="D252" s="15" vm="2" t="e">
        <f t="shared" ref="D252" si="415">-2*(D249+0.1)</f>
        <v>#VALUE!</v>
      </c>
      <c r="E252" s="22">
        <f>2</f>
        <v>2</v>
      </c>
    </row>
    <row r="253" spans="1:7">
      <c r="C253" s="23" vm="2" t="e">
        <f t="shared" ref="C253" si="416">-EXP(-C249)</f>
        <v>#VALUE!</v>
      </c>
      <c r="D253" s="24" vm="2" t="e">
        <f t="shared" ref="D253" si="417">-1/D249^2</f>
        <v>#VALUE!</v>
      </c>
      <c r="E253" s="25">
        <f t="shared" ref="E253:E316" si="418">1.5</f>
        <v>1.5</v>
      </c>
    </row>
    <row r="254" spans="1:7">
      <c r="B254" t="s">
        <v>12</v>
      </c>
      <c r="C254" vm="2" t="e" cm="1">
        <f t="array" ref="C254">-MMULT(C250:E250,C251:E253)</f>
        <v>#VALUE!</v>
      </c>
      <c r="D254"/>
      <c r="E254"/>
      <c r="F254">
        <f>F247</f>
        <v>1</v>
      </c>
      <c r="G254"/>
    </row>
    <row r="255" spans="1:7">
      <c r="B255" t="s">
        <v>13</v>
      </c>
      <c r="C255" vm="2" t="e">
        <f t="shared" ref="C255" si="419">G250/SUMPRODUCT(_xlfn.ANCHORARRAY(C254),_xlfn.ANCHORARRAY(C254))</f>
        <v>#VALUE!</v>
      </c>
      <c r="D255"/>
      <c r="E255"/>
      <c r="G255"/>
    </row>
    <row r="256" spans="1:7">
      <c r="A256" t="s">
        <v>4</v>
      </c>
      <c r="B256" s="17" t="s">
        <v>5</v>
      </c>
      <c r="C256" vm="2" t="e" cm="1">
        <f t="array" ref="C256:E256">C249:E249+C255*(C254:E254)</f>
        <v>#VALUE!</v>
      </c>
      <c r="D256" vm="2" t="e">
        <v>#VALUE!</v>
      </c>
      <c r="E256" vm="2" t="e">
        <v>#VALUE!</v>
      </c>
      <c r="G256"/>
    </row>
    <row r="257" spans="1:7">
      <c r="A257" s="1">
        <f>1+A250</f>
        <v>37</v>
      </c>
      <c r="B257" t="s">
        <v>6</v>
      </c>
      <c r="C257" s="14" vm="2" t="e">
        <f t="shared" ref="C257:C320" si="420">3*C256-D256^3-0.5*C256*E256</f>
        <v>#VALUE!</v>
      </c>
      <c r="D257" s="15" vm="2" t="e">
        <f t="shared" ref="D257:D320" si="421">C256^2-(D256+0.1)^2+2*E256+0.9</f>
        <v>#VALUE!</v>
      </c>
      <c r="E257" s="15" vm="2" t="e">
        <f t="shared" ref="E257:E320" si="422">EXP(-C256)+1/D256+1.5*E256+2</f>
        <v>#VALUE!</v>
      </c>
      <c r="G257" s="1" vm="2" t="e">
        <f>0.5*(C257*C257+D257*D257+E257*E257)</f>
        <v>#VALUE!</v>
      </c>
    </row>
    <row r="258" spans="1:7">
      <c r="C258" s="18" vm="2" t="e">
        <f t="shared" ref="C258" si="423">3-0.5*E256</f>
        <v>#VALUE!</v>
      </c>
      <c r="D258" s="19" vm="2" t="e">
        <f t="shared" ref="D258" si="424">-3*D256^2</f>
        <v>#VALUE!</v>
      </c>
      <c r="E258" s="20" vm="2" t="e">
        <f t="shared" ref="E258" si="425">-0.5*C256</f>
        <v>#VALUE!</v>
      </c>
    </row>
    <row r="259" spans="1:7">
      <c r="B259" t="s">
        <v>7</v>
      </c>
      <c r="C259" s="21" vm="2" t="e">
        <f t="shared" ref="C259" si="426">2*C256</f>
        <v>#VALUE!</v>
      </c>
      <c r="D259" s="15" vm="2" t="e">
        <f t="shared" ref="D259" si="427">-2*(D256+0.1)</f>
        <v>#VALUE!</v>
      </c>
      <c r="E259" s="22">
        <f>2</f>
        <v>2</v>
      </c>
    </row>
    <row r="260" spans="1:7">
      <c r="C260" s="23" vm="2" t="e">
        <f t="shared" ref="C260" si="428">-EXP(-C256)</f>
        <v>#VALUE!</v>
      </c>
      <c r="D260" s="24" vm="2" t="e">
        <f t="shared" ref="D260" si="429">-1/D256^2</f>
        <v>#VALUE!</v>
      </c>
      <c r="E260" s="25">
        <f t="shared" ref="E260:E323" si="430">1.5</f>
        <v>1.5</v>
      </c>
    </row>
    <row r="261" spans="1:7">
      <c r="B261" t="s">
        <v>12</v>
      </c>
      <c r="C261" vm="2" t="e" cm="1">
        <f t="array" ref="C261">-MMULT(C257:E257,C258:E260)</f>
        <v>#VALUE!</v>
      </c>
      <c r="D261"/>
      <c r="E261"/>
      <c r="F261">
        <f>F254</f>
        <v>1</v>
      </c>
      <c r="G261"/>
    </row>
    <row r="262" spans="1:7">
      <c r="B262" t="s">
        <v>13</v>
      </c>
      <c r="C262" vm="2" t="e">
        <f t="shared" ref="C262" si="431">G257/SUMPRODUCT(_xlfn.ANCHORARRAY(C261),_xlfn.ANCHORARRAY(C261))</f>
        <v>#VALUE!</v>
      </c>
      <c r="D262"/>
      <c r="E262"/>
      <c r="G262"/>
    </row>
    <row r="263" spans="1:7">
      <c r="A263" t="s">
        <v>4</v>
      </c>
      <c r="B263" s="17" t="s">
        <v>5</v>
      </c>
      <c r="C263" vm="2" t="e" cm="1">
        <f t="array" ref="C263:E263">C256:E256+C262*(C261:E261)</f>
        <v>#VALUE!</v>
      </c>
      <c r="D263" vm="2" t="e">
        <v>#VALUE!</v>
      </c>
      <c r="E263" vm="2" t="e">
        <v>#VALUE!</v>
      </c>
      <c r="G263"/>
    </row>
    <row r="264" spans="1:7">
      <c r="A264" s="1">
        <f>1+A257</f>
        <v>38</v>
      </c>
      <c r="B264" t="s">
        <v>6</v>
      </c>
      <c r="C264" s="14" vm="2" t="e">
        <f t="shared" ref="C264:C327" si="432">3*C263-D263^3-0.5*C263*E263</f>
        <v>#VALUE!</v>
      </c>
      <c r="D264" s="15" vm="2" t="e">
        <f t="shared" ref="D264:D327" si="433">C263^2-(D263+0.1)^2+2*E263+0.9</f>
        <v>#VALUE!</v>
      </c>
      <c r="E264" s="15" vm="2" t="e">
        <f t="shared" ref="E264:E327" si="434">EXP(-C263)+1/D263+1.5*E263+2</f>
        <v>#VALUE!</v>
      </c>
      <c r="G264" s="1" vm="2" t="e">
        <f>0.5*(C264*C264+D264*D264+E264*E264)</f>
        <v>#VALUE!</v>
      </c>
    </row>
    <row r="265" spans="1:7">
      <c r="C265" s="18" vm="2" t="e">
        <f t="shared" ref="C265" si="435">3-0.5*E263</f>
        <v>#VALUE!</v>
      </c>
      <c r="D265" s="19" vm="2" t="e">
        <f t="shared" ref="D265" si="436">-3*D263^2</f>
        <v>#VALUE!</v>
      </c>
      <c r="E265" s="20" vm="2" t="e">
        <f t="shared" ref="E265" si="437">-0.5*C263</f>
        <v>#VALUE!</v>
      </c>
    </row>
    <row r="266" spans="1:7">
      <c r="B266" t="s">
        <v>7</v>
      </c>
      <c r="C266" s="21" vm="2" t="e">
        <f t="shared" ref="C266" si="438">2*C263</f>
        <v>#VALUE!</v>
      </c>
      <c r="D266" s="15" vm="2" t="e">
        <f t="shared" ref="D266" si="439">-2*(D263+0.1)</f>
        <v>#VALUE!</v>
      </c>
      <c r="E266" s="22">
        <f>2</f>
        <v>2</v>
      </c>
    </row>
    <row r="267" spans="1:7">
      <c r="C267" s="23" vm="2" t="e">
        <f t="shared" ref="C267" si="440">-EXP(-C263)</f>
        <v>#VALUE!</v>
      </c>
      <c r="D267" s="24" vm="2" t="e">
        <f t="shared" ref="D267" si="441">-1/D263^2</f>
        <v>#VALUE!</v>
      </c>
      <c r="E267" s="25">
        <f t="shared" ref="E267:E330" si="442">1.5</f>
        <v>1.5</v>
      </c>
    </row>
    <row r="268" spans="1:7">
      <c r="B268" t="s">
        <v>12</v>
      </c>
      <c r="C268" vm="2" t="e" cm="1">
        <f t="array" ref="C268">-MMULT(C264:E264,C265:E267)</f>
        <v>#VALUE!</v>
      </c>
      <c r="D268"/>
      <c r="E268"/>
      <c r="F268">
        <f>F261</f>
        <v>1</v>
      </c>
      <c r="G268"/>
    </row>
    <row r="269" spans="1:7">
      <c r="B269" t="s">
        <v>13</v>
      </c>
      <c r="C269" vm="2" t="e">
        <f t="shared" ref="C269" si="443">G264/SUMPRODUCT(_xlfn.ANCHORARRAY(C268),_xlfn.ANCHORARRAY(C268))</f>
        <v>#VALUE!</v>
      </c>
      <c r="D269"/>
      <c r="E269"/>
      <c r="G269"/>
    </row>
    <row r="270" spans="1:7">
      <c r="A270" t="s">
        <v>4</v>
      </c>
      <c r="B270" s="17" t="s">
        <v>5</v>
      </c>
      <c r="C270" vm="2" t="e" cm="1">
        <f t="array" ref="C270:E270">C263:E263+C269*(C268:E268)</f>
        <v>#VALUE!</v>
      </c>
      <c r="D270" vm="2" t="e">
        <v>#VALUE!</v>
      </c>
      <c r="E270" vm="2" t="e">
        <v>#VALUE!</v>
      </c>
      <c r="G270"/>
    </row>
    <row r="271" spans="1:7">
      <c r="A271" s="1">
        <f>1+A264</f>
        <v>39</v>
      </c>
      <c r="B271" t="s">
        <v>6</v>
      </c>
      <c r="C271" s="14" vm="2" t="e">
        <f t="shared" ref="C271:C334" si="444">3*C270-D270^3-0.5*C270*E270</f>
        <v>#VALUE!</v>
      </c>
      <c r="D271" s="15" vm="2" t="e">
        <f t="shared" ref="D271:D334" si="445">C270^2-(D270+0.1)^2+2*E270+0.9</f>
        <v>#VALUE!</v>
      </c>
      <c r="E271" s="15" vm="2" t="e">
        <f t="shared" ref="E271:E334" si="446">EXP(-C270)+1/D270+1.5*E270+2</f>
        <v>#VALUE!</v>
      </c>
      <c r="G271" s="1" vm="2" t="e">
        <f>0.5*(C271*C271+D271*D271+E271*E271)</f>
        <v>#VALUE!</v>
      </c>
    </row>
    <row r="272" spans="1:7">
      <c r="C272" s="18" vm="2" t="e">
        <f t="shared" ref="C272" si="447">3-0.5*E270</f>
        <v>#VALUE!</v>
      </c>
      <c r="D272" s="19" vm="2" t="e">
        <f t="shared" ref="D272" si="448">-3*D270^2</f>
        <v>#VALUE!</v>
      </c>
      <c r="E272" s="20" vm="2" t="e">
        <f t="shared" ref="E272" si="449">-0.5*C270</f>
        <v>#VALUE!</v>
      </c>
    </row>
    <row r="273" spans="1:7">
      <c r="B273" t="s">
        <v>7</v>
      </c>
      <c r="C273" s="21" vm="2" t="e">
        <f t="shared" ref="C273" si="450">2*C270</f>
        <v>#VALUE!</v>
      </c>
      <c r="D273" s="15" vm="2" t="e">
        <f t="shared" ref="D273" si="451">-2*(D270+0.1)</f>
        <v>#VALUE!</v>
      </c>
      <c r="E273" s="22">
        <f>2</f>
        <v>2</v>
      </c>
    </row>
    <row r="274" spans="1:7">
      <c r="C274" s="23" vm="2" t="e">
        <f t="shared" ref="C274" si="452">-EXP(-C270)</f>
        <v>#VALUE!</v>
      </c>
      <c r="D274" s="24" vm="2" t="e">
        <f t="shared" ref="D274" si="453">-1/D270^2</f>
        <v>#VALUE!</v>
      </c>
      <c r="E274" s="25">
        <f t="shared" ref="E274:E337" si="454">1.5</f>
        <v>1.5</v>
      </c>
    </row>
    <row r="275" spans="1:7">
      <c r="B275" t="s">
        <v>12</v>
      </c>
      <c r="C275" vm="2" t="e" cm="1">
        <f t="array" ref="C275">-MMULT(C271:E271,C272:E274)</f>
        <v>#VALUE!</v>
      </c>
      <c r="D275"/>
      <c r="E275"/>
      <c r="F275">
        <f>F268</f>
        <v>1</v>
      </c>
      <c r="G275"/>
    </row>
    <row r="276" spans="1:7">
      <c r="B276" t="s">
        <v>13</v>
      </c>
      <c r="C276" vm="2" t="e">
        <f t="shared" ref="C276" si="455">G271/SUMPRODUCT(_xlfn.ANCHORARRAY(C275),_xlfn.ANCHORARRAY(C275))</f>
        <v>#VALUE!</v>
      </c>
      <c r="D276"/>
      <c r="E276"/>
      <c r="G276"/>
    </row>
    <row r="277" spans="1:7">
      <c r="A277" t="s">
        <v>4</v>
      </c>
      <c r="B277" s="17" t="s">
        <v>5</v>
      </c>
      <c r="C277" vm="2" t="e" cm="1">
        <f t="array" ref="C277:E277">C270:E270+C276*(C275:E275)</f>
        <v>#VALUE!</v>
      </c>
      <c r="D277" vm="2" t="e">
        <v>#VALUE!</v>
      </c>
      <c r="E277" vm="2" t="e">
        <v>#VALUE!</v>
      </c>
      <c r="G277"/>
    </row>
    <row r="278" spans="1:7">
      <c r="A278" s="1">
        <f>1+A271</f>
        <v>40</v>
      </c>
      <c r="B278" t="s">
        <v>6</v>
      </c>
      <c r="C278" s="14" vm="2" t="e">
        <f t="shared" ref="C278:C341" si="456">3*C277-D277^3-0.5*C277*E277</f>
        <v>#VALUE!</v>
      </c>
      <c r="D278" s="15" vm="2" t="e">
        <f t="shared" ref="D278:D341" si="457">C277^2-(D277+0.1)^2+2*E277+0.9</f>
        <v>#VALUE!</v>
      </c>
      <c r="E278" s="15" vm="2" t="e">
        <f t="shared" ref="E278:E341" si="458">EXP(-C277)+1/D277+1.5*E277+2</f>
        <v>#VALUE!</v>
      </c>
      <c r="G278" s="1" vm="2" t="e">
        <f>0.5*(C278*C278+D278*D278+E278*E278)</f>
        <v>#VALUE!</v>
      </c>
    </row>
    <row r="279" spans="1:7">
      <c r="C279" s="18" vm="2" t="e">
        <f t="shared" ref="C279" si="459">3-0.5*E277</f>
        <v>#VALUE!</v>
      </c>
      <c r="D279" s="19" vm="2" t="e">
        <f t="shared" ref="D279" si="460">-3*D277^2</f>
        <v>#VALUE!</v>
      </c>
      <c r="E279" s="20" vm="2" t="e">
        <f t="shared" ref="E279" si="461">-0.5*C277</f>
        <v>#VALUE!</v>
      </c>
    </row>
    <row r="280" spans="1:7">
      <c r="B280" t="s">
        <v>7</v>
      </c>
      <c r="C280" s="21" vm="2" t="e">
        <f t="shared" ref="C280" si="462">2*C277</f>
        <v>#VALUE!</v>
      </c>
      <c r="D280" s="15" vm="2" t="e">
        <f t="shared" ref="D280" si="463">-2*(D277+0.1)</f>
        <v>#VALUE!</v>
      </c>
      <c r="E280" s="22">
        <f>2</f>
        <v>2</v>
      </c>
    </row>
    <row r="281" spans="1:7">
      <c r="C281" s="23" vm="2" t="e">
        <f t="shared" ref="C281" si="464">-EXP(-C277)</f>
        <v>#VALUE!</v>
      </c>
      <c r="D281" s="24" vm="2" t="e">
        <f t="shared" ref="D281" si="465">-1/D277^2</f>
        <v>#VALUE!</v>
      </c>
      <c r="E281" s="25">
        <f t="shared" ref="E281:E344" si="466">1.5</f>
        <v>1.5</v>
      </c>
    </row>
    <row r="282" spans="1:7">
      <c r="B282" t="s">
        <v>12</v>
      </c>
      <c r="C282" vm="2" t="e" cm="1">
        <f t="array" ref="C282">-MMULT(C278:E278,C279:E281)</f>
        <v>#VALUE!</v>
      </c>
      <c r="D282"/>
      <c r="E282"/>
      <c r="F282">
        <f>F275</f>
        <v>1</v>
      </c>
      <c r="G282"/>
    </row>
    <row r="283" spans="1:7">
      <c r="B283" t="s">
        <v>13</v>
      </c>
      <c r="C283" vm="2" t="e">
        <f t="shared" ref="C283" si="467">G278/SUMPRODUCT(_xlfn.ANCHORARRAY(C282),_xlfn.ANCHORARRAY(C282))</f>
        <v>#VALUE!</v>
      </c>
      <c r="D283"/>
      <c r="E283"/>
      <c r="G283"/>
    </row>
    <row r="284" spans="1:7">
      <c r="A284" t="s">
        <v>4</v>
      </c>
      <c r="B284" s="17" t="s">
        <v>5</v>
      </c>
      <c r="C284" vm="2" t="e" cm="1">
        <f t="array" ref="C284:E284">C277:E277+C283*(C282:E282)</f>
        <v>#VALUE!</v>
      </c>
      <c r="D284" vm="2" t="e">
        <v>#VALUE!</v>
      </c>
      <c r="E284" vm="2" t="e">
        <v>#VALUE!</v>
      </c>
      <c r="G284"/>
    </row>
    <row r="285" spans="1:7">
      <c r="A285" s="1">
        <f>1+A278</f>
        <v>41</v>
      </c>
      <c r="B285" t="s">
        <v>6</v>
      </c>
      <c r="C285" s="14" vm="2" t="e">
        <f t="shared" ref="C285:C348" si="468">3*C284-D284^3-0.5*C284*E284</f>
        <v>#VALUE!</v>
      </c>
      <c r="D285" s="15" vm="2" t="e">
        <f t="shared" ref="D285:D348" si="469">C284^2-(D284+0.1)^2+2*E284+0.9</f>
        <v>#VALUE!</v>
      </c>
      <c r="E285" s="15" vm="2" t="e">
        <f t="shared" ref="E285:E348" si="470">EXP(-C284)+1/D284+1.5*E284+2</f>
        <v>#VALUE!</v>
      </c>
      <c r="G285" s="1" vm="2" t="e">
        <f>0.5*(C285*C285+D285*D285+E285*E285)</f>
        <v>#VALUE!</v>
      </c>
    </row>
    <row r="286" spans="1:7">
      <c r="C286" s="18" vm="2" t="e">
        <f t="shared" ref="C286" si="471">3-0.5*E284</f>
        <v>#VALUE!</v>
      </c>
      <c r="D286" s="19" vm="2" t="e">
        <f t="shared" ref="D286" si="472">-3*D284^2</f>
        <v>#VALUE!</v>
      </c>
      <c r="E286" s="20" vm="2" t="e">
        <f t="shared" ref="E286" si="473">-0.5*C284</f>
        <v>#VALUE!</v>
      </c>
    </row>
    <row r="287" spans="1:7">
      <c r="B287" t="s">
        <v>7</v>
      </c>
      <c r="C287" s="21" vm="2" t="e">
        <f t="shared" ref="C287" si="474">2*C284</f>
        <v>#VALUE!</v>
      </c>
      <c r="D287" s="15" vm="2" t="e">
        <f t="shared" ref="D287" si="475">-2*(D284+0.1)</f>
        <v>#VALUE!</v>
      </c>
      <c r="E287" s="22">
        <f>2</f>
        <v>2</v>
      </c>
    </row>
    <row r="288" spans="1:7">
      <c r="C288" s="23" vm="2" t="e">
        <f t="shared" ref="C288" si="476">-EXP(-C284)</f>
        <v>#VALUE!</v>
      </c>
      <c r="D288" s="24" vm="2" t="e">
        <f t="shared" ref="D288" si="477">-1/D284^2</f>
        <v>#VALUE!</v>
      </c>
      <c r="E288" s="25">
        <f t="shared" ref="E288:E351" si="478">1.5</f>
        <v>1.5</v>
      </c>
    </row>
    <row r="289" spans="1:7">
      <c r="B289" t="s">
        <v>12</v>
      </c>
      <c r="C289" vm="2" t="e" cm="1">
        <f t="array" ref="C289">-MMULT(C285:E285,C286:E288)</f>
        <v>#VALUE!</v>
      </c>
      <c r="D289"/>
      <c r="E289"/>
      <c r="F289">
        <f>F282</f>
        <v>1</v>
      </c>
      <c r="G289"/>
    </row>
    <row r="290" spans="1:7">
      <c r="B290" t="s">
        <v>13</v>
      </c>
      <c r="C290" vm="2" t="e">
        <f t="shared" ref="C290" si="479">G285/SUMPRODUCT(_xlfn.ANCHORARRAY(C289),_xlfn.ANCHORARRAY(C289))</f>
        <v>#VALUE!</v>
      </c>
      <c r="D290"/>
      <c r="E290"/>
      <c r="G290"/>
    </row>
    <row r="291" spans="1:7">
      <c r="A291" t="s">
        <v>4</v>
      </c>
      <c r="B291" s="17" t="s">
        <v>5</v>
      </c>
      <c r="C291" vm="2" t="e" cm="1">
        <f t="array" ref="C291:E291">C284:E284+C290*(C289:E289)</f>
        <v>#VALUE!</v>
      </c>
      <c r="D291" vm="2" t="e">
        <v>#VALUE!</v>
      </c>
      <c r="E291" vm="2" t="e">
        <v>#VALUE!</v>
      </c>
      <c r="G291"/>
    </row>
    <row r="292" spans="1:7">
      <c r="A292" s="1">
        <f>1+A285</f>
        <v>42</v>
      </c>
      <c r="B292" t="s">
        <v>6</v>
      </c>
      <c r="C292" s="14" vm="2" t="e">
        <f t="shared" ref="C292:C355" si="480">3*C291-D291^3-0.5*C291*E291</f>
        <v>#VALUE!</v>
      </c>
      <c r="D292" s="15" vm="2" t="e">
        <f t="shared" ref="D292:D355" si="481">C291^2-(D291+0.1)^2+2*E291+0.9</f>
        <v>#VALUE!</v>
      </c>
      <c r="E292" s="15" vm="2" t="e">
        <f t="shared" ref="E292:E355" si="482">EXP(-C291)+1/D291+1.5*E291+2</f>
        <v>#VALUE!</v>
      </c>
      <c r="G292" s="1" vm="2" t="e">
        <f>0.5*(C292*C292+D292*D292+E292*E292)</f>
        <v>#VALUE!</v>
      </c>
    </row>
    <row r="293" spans="1:7">
      <c r="C293" s="18" vm="2" t="e">
        <f t="shared" ref="C293" si="483">3-0.5*E291</f>
        <v>#VALUE!</v>
      </c>
      <c r="D293" s="19" vm="2" t="e">
        <f t="shared" ref="D293" si="484">-3*D291^2</f>
        <v>#VALUE!</v>
      </c>
      <c r="E293" s="20" vm="2" t="e">
        <f t="shared" ref="E293" si="485">-0.5*C291</f>
        <v>#VALUE!</v>
      </c>
    </row>
    <row r="294" spans="1:7">
      <c r="B294" t="s">
        <v>7</v>
      </c>
      <c r="C294" s="21" vm="2" t="e">
        <f t="shared" ref="C294" si="486">2*C291</f>
        <v>#VALUE!</v>
      </c>
      <c r="D294" s="15" vm="2" t="e">
        <f t="shared" ref="D294" si="487">-2*(D291+0.1)</f>
        <v>#VALUE!</v>
      </c>
      <c r="E294" s="22">
        <f>2</f>
        <v>2</v>
      </c>
    </row>
    <row r="295" spans="1:7">
      <c r="C295" s="23" vm="2" t="e">
        <f t="shared" ref="C295" si="488">-EXP(-C291)</f>
        <v>#VALUE!</v>
      </c>
      <c r="D295" s="24" vm="2" t="e">
        <f t="shared" ref="D295" si="489">-1/D291^2</f>
        <v>#VALUE!</v>
      </c>
      <c r="E295" s="25">
        <f t="shared" ref="E295:E358" si="490">1.5</f>
        <v>1.5</v>
      </c>
    </row>
    <row r="296" spans="1:7">
      <c r="B296" t="s">
        <v>12</v>
      </c>
      <c r="C296" vm="2" t="e" cm="1">
        <f t="array" ref="C296">-MMULT(C292:E292,C293:E295)</f>
        <v>#VALUE!</v>
      </c>
      <c r="D296"/>
      <c r="E296"/>
      <c r="F296">
        <f>F289</f>
        <v>1</v>
      </c>
      <c r="G296"/>
    </row>
    <row r="297" spans="1:7">
      <c r="B297" t="s">
        <v>13</v>
      </c>
      <c r="C297" vm="2" t="e">
        <f t="shared" ref="C297" si="491">G292/SUMPRODUCT(_xlfn.ANCHORARRAY(C296),_xlfn.ANCHORARRAY(C296))</f>
        <v>#VALUE!</v>
      </c>
      <c r="D297"/>
      <c r="E297"/>
      <c r="G297"/>
    </row>
    <row r="298" spans="1:7">
      <c r="A298" t="s">
        <v>4</v>
      </c>
      <c r="B298" s="17" t="s">
        <v>5</v>
      </c>
      <c r="C298" vm="2" t="e" cm="1">
        <f t="array" ref="C298:E298">C291:E291+C297*(C296:E296)</f>
        <v>#VALUE!</v>
      </c>
      <c r="D298" vm="2" t="e">
        <v>#VALUE!</v>
      </c>
      <c r="E298" vm="2" t="e">
        <v>#VALUE!</v>
      </c>
      <c r="G298"/>
    </row>
    <row r="299" spans="1:7">
      <c r="A299" s="1">
        <f>1+A292</f>
        <v>43</v>
      </c>
      <c r="B299" t="s">
        <v>6</v>
      </c>
      <c r="C299" s="14" vm="2" t="e">
        <f t="shared" ref="C299:C362" si="492">3*C298-D298^3-0.5*C298*E298</f>
        <v>#VALUE!</v>
      </c>
      <c r="D299" s="15" vm="2" t="e">
        <f t="shared" ref="D299:D362" si="493">C298^2-(D298+0.1)^2+2*E298+0.9</f>
        <v>#VALUE!</v>
      </c>
      <c r="E299" s="15" vm="2" t="e">
        <f t="shared" ref="E299:E362" si="494">EXP(-C298)+1/D298+1.5*E298+2</f>
        <v>#VALUE!</v>
      </c>
      <c r="G299" s="1" vm="2" t="e">
        <f>0.5*(C299*C299+D299*D299+E299*E299)</f>
        <v>#VALUE!</v>
      </c>
    </row>
    <row r="300" spans="1:7">
      <c r="C300" s="18" vm="2" t="e">
        <f t="shared" ref="C300" si="495">3-0.5*E298</f>
        <v>#VALUE!</v>
      </c>
      <c r="D300" s="19" vm="2" t="e">
        <f t="shared" ref="D300" si="496">-3*D298^2</f>
        <v>#VALUE!</v>
      </c>
      <c r="E300" s="20" vm="2" t="e">
        <f t="shared" ref="E300" si="497">-0.5*C298</f>
        <v>#VALUE!</v>
      </c>
    </row>
    <row r="301" spans="1:7">
      <c r="B301" t="s">
        <v>7</v>
      </c>
      <c r="C301" s="21" vm="2" t="e">
        <f t="shared" ref="C301" si="498">2*C298</f>
        <v>#VALUE!</v>
      </c>
      <c r="D301" s="15" vm="2" t="e">
        <f t="shared" ref="D301" si="499">-2*(D298+0.1)</f>
        <v>#VALUE!</v>
      </c>
      <c r="E301" s="22">
        <f>2</f>
        <v>2</v>
      </c>
    </row>
    <row r="302" spans="1:7">
      <c r="C302" s="23" vm="2" t="e">
        <f t="shared" ref="C302" si="500">-EXP(-C298)</f>
        <v>#VALUE!</v>
      </c>
      <c r="D302" s="24" vm="2" t="e">
        <f t="shared" ref="D302" si="501">-1/D298^2</f>
        <v>#VALUE!</v>
      </c>
      <c r="E302" s="25">
        <f t="shared" ref="E302:E365" si="502">1.5</f>
        <v>1.5</v>
      </c>
    </row>
    <row r="303" spans="1:7">
      <c r="B303" t="s">
        <v>12</v>
      </c>
      <c r="C303" vm="2" t="e" cm="1">
        <f t="array" ref="C303">-MMULT(C299:E299,C300:E302)</f>
        <v>#VALUE!</v>
      </c>
      <c r="D303"/>
      <c r="E303"/>
      <c r="F303">
        <f>F296</f>
        <v>1</v>
      </c>
      <c r="G303"/>
    </row>
    <row r="304" spans="1:7">
      <c r="B304" t="s">
        <v>13</v>
      </c>
      <c r="C304" vm="2" t="e">
        <f t="shared" ref="C304" si="503">G299/SUMPRODUCT(_xlfn.ANCHORARRAY(C303),_xlfn.ANCHORARRAY(C303))</f>
        <v>#VALUE!</v>
      </c>
      <c r="D304"/>
      <c r="E304"/>
      <c r="G304"/>
    </row>
    <row r="305" spans="1:7">
      <c r="A305" t="s">
        <v>4</v>
      </c>
      <c r="B305" s="17" t="s">
        <v>5</v>
      </c>
      <c r="C305" vm="2" t="e" cm="1">
        <f t="array" ref="C305:E305">C298:E298+C304*(C303:E303)</f>
        <v>#VALUE!</v>
      </c>
      <c r="D305" vm="2" t="e">
        <v>#VALUE!</v>
      </c>
      <c r="E305" vm="2" t="e">
        <v>#VALUE!</v>
      </c>
      <c r="G305"/>
    </row>
    <row r="306" spans="1:7">
      <c r="A306" s="1">
        <f>1+A299</f>
        <v>44</v>
      </c>
      <c r="B306" t="s">
        <v>6</v>
      </c>
      <c r="C306" s="14" vm="2" t="e">
        <f t="shared" ref="C306:C369" si="504">3*C305-D305^3-0.5*C305*E305</f>
        <v>#VALUE!</v>
      </c>
      <c r="D306" s="15" vm="2" t="e">
        <f t="shared" ref="D306:D369" si="505">C305^2-(D305+0.1)^2+2*E305+0.9</f>
        <v>#VALUE!</v>
      </c>
      <c r="E306" s="15" vm="2" t="e">
        <f t="shared" ref="E306:E369" si="506">EXP(-C305)+1/D305+1.5*E305+2</f>
        <v>#VALUE!</v>
      </c>
      <c r="G306" s="1" vm="2" t="e">
        <f>0.5*(C306*C306+D306*D306+E306*E306)</f>
        <v>#VALUE!</v>
      </c>
    </row>
    <row r="307" spans="1:7">
      <c r="C307" s="18" vm="2" t="e">
        <f t="shared" ref="C307" si="507">3-0.5*E305</f>
        <v>#VALUE!</v>
      </c>
      <c r="D307" s="19" vm="2" t="e">
        <f t="shared" ref="D307" si="508">-3*D305^2</f>
        <v>#VALUE!</v>
      </c>
      <c r="E307" s="20" vm="2" t="e">
        <f t="shared" ref="E307" si="509">-0.5*C305</f>
        <v>#VALUE!</v>
      </c>
    </row>
    <row r="308" spans="1:7">
      <c r="B308" t="s">
        <v>7</v>
      </c>
      <c r="C308" s="21" vm="2" t="e">
        <f t="shared" ref="C308" si="510">2*C305</f>
        <v>#VALUE!</v>
      </c>
      <c r="D308" s="15" vm="2" t="e">
        <f t="shared" ref="D308" si="511">-2*(D305+0.1)</f>
        <v>#VALUE!</v>
      </c>
      <c r="E308" s="22">
        <f>2</f>
        <v>2</v>
      </c>
    </row>
    <row r="309" spans="1:7">
      <c r="C309" s="23" vm="2" t="e">
        <f t="shared" ref="C309" si="512">-EXP(-C305)</f>
        <v>#VALUE!</v>
      </c>
      <c r="D309" s="24" vm="2" t="e">
        <f t="shared" ref="D309" si="513">-1/D305^2</f>
        <v>#VALUE!</v>
      </c>
      <c r="E309" s="25">
        <f t="shared" ref="E309:E372" si="514">1.5</f>
        <v>1.5</v>
      </c>
    </row>
    <row r="310" spans="1:7">
      <c r="B310" t="s">
        <v>12</v>
      </c>
      <c r="C310" vm="2" t="e" cm="1">
        <f t="array" ref="C310">-MMULT(C306:E306,C307:E309)</f>
        <v>#VALUE!</v>
      </c>
      <c r="D310"/>
      <c r="E310"/>
      <c r="F310">
        <f>F303</f>
        <v>1</v>
      </c>
      <c r="G310"/>
    </row>
    <row r="311" spans="1:7">
      <c r="B311" t="s">
        <v>13</v>
      </c>
      <c r="C311" vm="2" t="e">
        <f t="shared" ref="C311" si="515">G306/SUMPRODUCT(_xlfn.ANCHORARRAY(C310),_xlfn.ANCHORARRAY(C310))</f>
        <v>#VALUE!</v>
      </c>
      <c r="D311"/>
      <c r="E311"/>
      <c r="G311"/>
    </row>
    <row r="312" spans="1:7">
      <c r="A312" t="s">
        <v>4</v>
      </c>
      <c r="B312" s="17" t="s">
        <v>5</v>
      </c>
      <c r="C312" vm="2" t="e" cm="1">
        <f t="array" ref="C312:E312">C305:E305+C311*(C310:E310)</f>
        <v>#VALUE!</v>
      </c>
      <c r="D312" vm="2" t="e">
        <v>#VALUE!</v>
      </c>
      <c r="E312" vm="2" t="e">
        <v>#VALUE!</v>
      </c>
      <c r="G312"/>
    </row>
    <row r="313" spans="1:7">
      <c r="A313" s="1">
        <f>1+A306</f>
        <v>45</v>
      </c>
      <c r="B313" t="s">
        <v>6</v>
      </c>
      <c r="C313" s="14" vm="2" t="e">
        <f t="shared" ref="C313:C376" si="516">3*C312-D312^3-0.5*C312*E312</f>
        <v>#VALUE!</v>
      </c>
      <c r="D313" s="15" vm="2" t="e">
        <f t="shared" ref="D313:D376" si="517">C312^2-(D312+0.1)^2+2*E312+0.9</f>
        <v>#VALUE!</v>
      </c>
      <c r="E313" s="15" vm="2" t="e">
        <f t="shared" ref="E313:E376" si="518">EXP(-C312)+1/D312+1.5*E312+2</f>
        <v>#VALUE!</v>
      </c>
      <c r="G313" s="1" vm="2" t="e">
        <f>0.5*(C313*C313+D313*D313+E313*E313)</f>
        <v>#VALUE!</v>
      </c>
    </row>
    <row r="314" spans="1:7">
      <c r="C314" s="18" vm="2" t="e">
        <f t="shared" ref="C314" si="519">3-0.5*E312</f>
        <v>#VALUE!</v>
      </c>
      <c r="D314" s="19" vm="2" t="e">
        <f t="shared" ref="D314" si="520">-3*D312^2</f>
        <v>#VALUE!</v>
      </c>
      <c r="E314" s="20" vm="2" t="e">
        <f t="shared" ref="E314" si="521">-0.5*C312</f>
        <v>#VALUE!</v>
      </c>
    </row>
    <row r="315" spans="1:7">
      <c r="B315" t="s">
        <v>7</v>
      </c>
      <c r="C315" s="21" vm="2" t="e">
        <f t="shared" ref="C315" si="522">2*C312</f>
        <v>#VALUE!</v>
      </c>
      <c r="D315" s="15" vm="2" t="e">
        <f t="shared" ref="D315" si="523">-2*(D312+0.1)</f>
        <v>#VALUE!</v>
      </c>
      <c r="E315" s="22">
        <f>2</f>
        <v>2</v>
      </c>
    </row>
    <row r="316" spans="1:7">
      <c r="C316" s="23" vm="2" t="e">
        <f t="shared" ref="C316" si="524">-EXP(-C312)</f>
        <v>#VALUE!</v>
      </c>
      <c r="D316" s="24" vm="2" t="e">
        <f t="shared" ref="D316" si="525">-1/D312^2</f>
        <v>#VALUE!</v>
      </c>
      <c r="E316" s="25">
        <f t="shared" ref="E316:E379" si="526">1.5</f>
        <v>1.5</v>
      </c>
    </row>
    <row r="317" spans="1:7">
      <c r="B317" t="s">
        <v>12</v>
      </c>
      <c r="C317" vm="2" t="e" cm="1">
        <f t="array" ref="C317">-MMULT(C313:E313,C314:E316)</f>
        <v>#VALUE!</v>
      </c>
      <c r="D317"/>
      <c r="E317"/>
      <c r="F317">
        <f>F310</f>
        <v>1</v>
      </c>
      <c r="G317"/>
    </row>
    <row r="318" spans="1:7">
      <c r="B318" t="s">
        <v>13</v>
      </c>
      <c r="C318" vm="2" t="e">
        <f t="shared" ref="C318" si="527">G313/SUMPRODUCT(_xlfn.ANCHORARRAY(C317),_xlfn.ANCHORARRAY(C317))</f>
        <v>#VALUE!</v>
      </c>
      <c r="D318"/>
      <c r="E318"/>
      <c r="G318"/>
    </row>
    <row r="319" spans="1:7">
      <c r="A319" t="s">
        <v>4</v>
      </c>
      <c r="B319" s="17" t="s">
        <v>5</v>
      </c>
      <c r="C319" vm="2" t="e" cm="1">
        <f t="array" ref="C319:E319">C312:E312+C318*(C317:E317)</f>
        <v>#VALUE!</v>
      </c>
      <c r="D319" vm="2" t="e">
        <v>#VALUE!</v>
      </c>
      <c r="E319" vm="2" t="e">
        <v>#VALUE!</v>
      </c>
      <c r="G319"/>
    </row>
    <row r="320" spans="1:7">
      <c r="A320" s="1">
        <f>1+A313</f>
        <v>46</v>
      </c>
      <c r="B320" t="s">
        <v>6</v>
      </c>
      <c r="C320" s="14" vm="2" t="e">
        <f t="shared" ref="C320:C383" si="528">3*C319-D319^3-0.5*C319*E319</f>
        <v>#VALUE!</v>
      </c>
      <c r="D320" s="15" vm="2" t="e">
        <f t="shared" ref="D320:D383" si="529">C319^2-(D319+0.1)^2+2*E319+0.9</f>
        <v>#VALUE!</v>
      </c>
      <c r="E320" s="15" vm="2" t="e">
        <f t="shared" ref="E320:E383" si="530">EXP(-C319)+1/D319+1.5*E319+2</f>
        <v>#VALUE!</v>
      </c>
      <c r="G320" s="1" vm="2" t="e">
        <f>0.5*(C320*C320+D320*D320+E320*E320)</f>
        <v>#VALUE!</v>
      </c>
    </row>
    <row r="321" spans="1:7">
      <c r="C321" s="18" vm="2" t="e">
        <f t="shared" ref="C321" si="531">3-0.5*E319</f>
        <v>#VALUE!</v>
      </c>
      <c r="D321" s="19" vm="2" t="e">
        <f t="shared" ref="D321" si="532">-3*D319^2</f>
        <v>#VALUE!</v>
      </c>
      <c r="E321" s="20" vm="2" t="e">
        <f t="shared" ref="E321" si="533">-0.5*C319</f>
        <v>#VALUE!</v>
      </c>
    </row>
    <row r="322" spans="1:7">
      <c r="B322" t="s">
        <v>7</v>
      </c>
      <c r="C322" s="21" vm="2" t="e">
        <f t="shared" ref="C322" si="534">2*C319</f>
        <v>#VALUE!</v>
      </c>
      <c r="D322" s="15" vm="2" t="e">
        <f t="shared" ref="D322" si="535">-2*(D319+0.1)</f>
        <v>#VALUE!</v>
      </c>
      <c r="E322" s="22">
        <f>2</f>
        <v>2</v>
      </c>
    </row>
    <row r="323" spans="1:7">
      <c r="C323" s="23" vm="2" t="e">
        <f t="shared" ref="C323" si="536">-EXP(-C319)</f>
        <v>#VALUE!</v>
      </c>
      <c r="D323" s="24" vm="2" t="e">
        <f t="shared" ref="D323" si="537">-1/D319^2</f>
        <v>#VALUE!</v>
      </c>
      <c r="E323" s="25">
        <f t="shared" ref="E323:E386" si="538">1.5</f>
        <v>1.5</v>
      </c>
    </row>
    <row r="324" spans="1:7">
      <c r="B324" t="s">
        <v>12</v>
      </c>
      <c r="C324" vm="2" t="e" cm="1">
        <f t="array" ref="C324">-MMULT(C320:E320,C321:E323)</f>
        <v>#VALUE!</v>
      </c>
      <c r="D324"/>
      <c r="E324"/>
      <c r="F324">
        <f>F317</f>
        <v>1</v>
      </c>
      <c r="G324"/>
    </row>
    <row r="325" spans="1:7">
      <c r="B325" t="s">
        <v>13</v>
      </c>
      <c r="C325" vm="2" t="e">
        <f t="shared" ref="C325" si="539">G320/SUMPRODUCT(_xlfn.ANCHORARRAY(C324),_xlfn.ANCHORARRAY(C324))</f>
        <v>#VALUE!</v>
      </c>
      <c r="D325"/>
      <c r="E325"/>
      <c r="G325"/>
    </row>
    <row r="326" spans="1:7">
      <c r="A326" t="s">
        <v>4</v>
      </c>
      <c r="B326" s="17" t="s">
        <v>5</v>
      </c>
      <c r="C326" vm="2" t="e" cm="1">
        <f t="array" ref="C326:E326">C319:E319+C325*(C324:E324)</f>
        <v>#VALUE!</v>
      </c>
      <c r="D326" vm="2" t="e">
        <v>#VALUE!</v>
      </c>
      <c r="E326" vm="2" t="e">
        <v>#VALUE!</v>
      </c>
      <c r="G326"/>
    </row>
    <row r="327" spans="1:7">
      <c r="A327" s="1">
        <f>1+A320</f>
        <v>47</v>
      </c>
      <c r="B327" t="s">
        <v>6</v>
      </c>
      <c r="C327" s="14" vm="2" t="e">
        <f t="shared" ref="C327:C390" si="540">3*C326-D326^3-0.5*C326*E326</f>
        <v>#VALUE!</v>
      </c>
      <c r="D327" s="15" vm="2" t="e">
        <f t="shared" ref="D327:D390" si="541">C326^2-(D326+0.1)^2+2*E326+0.9</f>
        <v>#VALUE!</v>
      </c>
      <c r="E327" s="15" vm="2" t="e">
        <f t="shared" ref="E327:E390" si="542">EXP(-C326)+1/D326+1.5*E326+2</f>
        <v>#VALUE!</v>
      </c>
      <c r="G327" s="1" vm="2" t="e">
        <f>0.5*(C327*C327+D327*D327+E327*E327)</f>
        <v>#VALUE!</v>
      </c>
    </row>
    <row r="328" spans="1:7">
      <c r="C328" s="18" vm="2" t="e">
        <f t="shared" ref="C328" si="543">3-0.5*E326</f>
        <v>#VALUE!</v>
      </c>
      <c r="D328" s="19" vm="2" t="e">
        <f t="shared" ref="D328" si="544">-3*D326^2</f>
        <v>#VALUE!</v>
      </c>
      <c r="E328" s="20" vm="2" t="e">
        <f t="shared" ref="E328" si="545">-0.5*C326</f>
        <v>#VALUE!</v>
      </c>
    </row>
    <row r="329" spans="1:7">
      <c r="B329" t="s">
        <v>7</v>
      </c>
      <c r="C329" s="21" vm="2" t="e">
        <f t="shared" ref="C329" si="546">2*C326</f>
        <v>#VALUE!</v>
      </c>
      <c r="D329" s="15" vm="2" t="e">
        <f t="shared" ref="D329" si="547">-2*(D326+0.1)</f>
        <v>#VALUE!</v>
      </c>
      <c r="E329" s="22">
        <f>2</f>
        <v>2</v>
      </c>
    </row>
    <row r="330" spans="1:7">
      <c r="C330" s="23" vm="2" t="e">
        <f t="shared" ref="C330" si="548">-EXP(-C326)</f>
        <v>#VALUE!</v>
      </c>
      <c r="D330" s="24" vm="2" t="e">
        <f t="shared" ref="D330" si="549">-1/D326^2</f>
        <v>#VALUE!</v>
      </c>
      <c r="E330" s="25">
        <f t="shared" ref="E330:E393" si="550">1.5</f>
        <v>1.5</v>
      </c>
    </row>
    <row r="331" spans="1:7">
      <c r="B331" t="s">
        <v>12</v>
      </c>
      <c r="C331" vm="2" t="e" cm="1">
        <f t="array" ref="C331">-MMULT(C327:E327,C328:E330)</f>
        <v>#VALUE!</v>
      </c>
      <c r="D331"/>
      <c r="E331"/>
      <c r="F331">
        <f>F324</f>
        <v>1</v>
      </c>
      <c r="G331"/>
    </row>
    <row r="332" spans="1:7">
      <c r="B332" t="s">
        <v>13</v>
      </c>
      <c r="C332" vm="2" t="e">
        <f t="shared" ref="C332" si="551">G327/SUMPRODUCT(_xlfn.ANCHORARRAY(C331),_xlfn.ANCHORARRAY(C331))</f>
        <v>#VALUE!</v>
      </c>
      <c r="D332"/>
      <c r="E332"/>
      <c r="G332"/>
    </row>
    <row r="333" spans="1:7">
      <c r="A333" t="s">
        <v>4</v>
      </c>
      <c r="B333" s="17" t="s">
        <v>5</v>
      </c>
      <c r="C333" vm="2" t="e" cm="1">
        <f t="array" ref="C333:E333">C326:E326+C332*(C331:E331)</f>
        <v>#VALUE!</v>
      </c>
      <c r="D333" vm="2" t="e">
        <v>#VALUE!</v>
      </c>
      <c r="E333" vm="2" t="e">
        <v>#VALUE!</v>
      </c>
      <c r="G333"/>
    </row>
    <row r="334" spans="1:7">
      <c r="A334" s="1">
        <f>1+A327</f>
        <v>48</v>
      </c>
      <c r="B334" t="s">
        <v>6</v>
      </c>
      <c r="C334" s="14" vm="2" t="e">
        <f t="shared" ref="C334:C397" si="552">3*C333-D333^3-0.5*C333*E333</f>
        <v>#VALUE!</v>
      </c>
      <c r="D334" s="15" vm="2" t="e">
        <f t="shared" ref="D334:D397" si="553">C333^2-(D333+0.1)^2+2*E333+0.9</f>
        <v>#VALUE!</v>
      </c>
      <c r="E334" s="15" vm="2" t="e">
        <f t="shared" ref="E334:E397" si="554">EXP(-C333)+1/D333+1.5*E333+2</f>
        <v>#VALUE!</v>
      </c>
      <c r="G334" s="1" vm="2" t="e">
        <f>0.5*(C334*C334+D334*D334+E334*E334)</f>
        <v>#VALUE!</v>
      </c>
    </row>
    <row r="335" spans="1:7">
      <c r="C335" s="18" vm="2" t="e">
        <f t="shared" ref="C335" si="555">3-0.5*E333</f>
        <v>#VALUE!</v>
      </c>
      <c r="D335" s="19" vm="2" t="e">
        <f t="shared" ref="D335" si="556">-3*D333^2</f>
        <v>#VALUE!</v>
      </c>
      <c r="E335" s="20" vm="2" t="e">
        <f t="shared" ref="E335" si="557">-0.5*C333</f>
        <v>#VALUE!</v>
      </c>
    </row>
    <row r="336" spans="1:7">
      <c r="B336" t="s">
        <v>7</v>
      </c>
      <c r="C336" s="21" vm="2" t="e">
        <f t="shared" ref="C336" si="558">2*C333</f>
        <v>#VALUE!</v>
      </c>
      <c r="D336" s="15" vm="2" t="e">
        <f t="shared" ref="D336" si="559">-2*(D333+0.1)</f>
        <v>#VALUE!</v>
      </c>
      <c r="E336" s="22">
        <f>2</f>
        <v>2</v>
      </c>
    </row>
    <row r="337" spans="1:7">
      <c r="C337" s="23" vm="2" t="e">
        <f t="shared" ref="C337" si="560">-EXP(-C333)</f>
        <v>#VALUE!</v>
      </c>
      <c r="D337" s="24" vm="2" t="e">
        <f t="shared" ref="D337" si="561">-1/D333^2</f>
        <v>#VALUE!</v>
      </c>
      <c r="E337" s="25">
        <f t="shared" ref="E337:E400" si="562">1.5</f>
        <v>1.5</v>
      </c>
    </row>
    <row r="338" spans="1:7">
      <c r="B338" t="s">
        <v>12</v>
      </c>
      <c r="C338" vm="2" t="e" cm="1">
        <f t="array" ref="C338">-MMULT(C334:E334,C335:E337)</f>
        <v>#VALUE!</v>
      </c>
      <c r="D338"/>
      <c r="E338"/>
      <c r="F338">
        <f>F331</f>
        <v>1</v>
      </c>
      <c r="G338"/>
    </row>
    <row r="339" spans="1:7">
      <c r="B339" t="s">
        <v>13</v>
      </c>
      <c r="C339" vm="2" t="e">
        <f t="shared" ref="C339" si="563">G334/SUMPRODUCT(_xlfn.ANCHORARRAY(C338),_xlfn.ANCHORARRAY(C338))</f>
        <v>#VALUE!</v>
      </c>
      <c r="D339"/>
      <c r="E339"/>
      <c r="G339"/>
    </row>
    <row r="340" spans="1:7">
      <c r="A340" t="s">
        <v>4</v>
      </c>
      <c r="B340" s="17" t="s">
        <v>5</v>
      </c>
      <c r="C340" vm="2" t="e" cm="1">
        <f t="array" ref="C340:E340">C333:E333+C339*(C338:E338)</f>
        <v>#VALUE!</v>
      </c>
      <c r="D340" vm="2" t="e">
        <v>#VALUE!</v>
      </c>
      <c r="E340" vm="2" t="e">
        <v>#VALUE!</v>
      </c>
      <c r="G340"/>
    </row>
    <row r="341" spans="1:7">
      <c r="A341" s="1">
        <f>1+A334</f>
        <v>49</v>
      </c>
      <c r="B341" t="s">
        <v>6</v>
      </c>
      <c r="C341" s="14" vm="2" t="e">
        <f t="shared" ref="C341:C404" si="564">3*C340-D340^3-0.5*C340*E340</f>
        <v>#VALUE!</v>
      </c>
      <c r="D341" s="15" vm="2" t="e">
        <f t="shared" ref="D341:D404" si="565">C340^2-(D340+0.1)^2+2*E340+0.9</f>
        <v>#VALUE!</v>
      </c>
      <c r="E341" s="15" vm="2" t="e">
        <f t="shared" ref="E341:E404" si="566">EXP(-C340)+1/D340+1.5*E340+2</f>
        <v>#VALUE!</v>
      </c>
      <c r="G341" s="1" vm="2" t="e">
        <f>0.5*(C341*C341+D341*D341+E341*E341)</f>
        <v>#VALUE!</v>
      </c>
    </row>
    <row r="342" spans="1:7">
      <c r="C342" s="18" vm="2" t="e">
        <f t="shared" ref="C342" si="567">3-0.5*E340</f>
        <v>#VALUE!</v>
      </c>
      <c r="D342" s="19" vm="2" t="e">
        <f t="shared" ref="D342" si="568">-3*D340^2</f>
        <v>#VALUE!</v>
      </c>
      <c r="E342" s="20" vm="2" t="e">
        <f t="shared" ref="E342" si="569">-0.5*C340</f>
        <v>#VALUE!</v>
      </c>
    </row>
    <row r="343" spans="1:7">
      <c r="B343" t="s">
        <v>7</v>
      </c>
      <c r="C343" s="21" vm="2" t="e">
        <f t="shared" ref="C343" si="570">2*C340</f>
        <v>#VALUE!</v>
      </c>
      <c r="D343" s="15" vm="2" t="e">
        <f t="shared" ref="D343" si="571">-2*(D340+0.1)</f>
        <v>#VALUE!</v>
      </c>
      <c r="E343" s="22">
        <f>2</f>
        <v>2</v>
      </c>
    </row>
    <row r="344" spans="1:7">
      <c r="C344" s="23" vm="2" t="e">
        <f t="shared" ref="C344" si="572">-EXP(-C340)</f>
        <v>#VALUE!</v>
      </c>
      <c r="D344" s="24" vm="2" t="e">
        <f t="shared" ref="D344" si="573">-1/D340^2</f>
        <v>#VALUE!</v>
      </c>
      <c r="E344" s="25">
        <f t="shared" ref="E344:E407" si="574">1.5</f>
        <v>1.5</v>
      </c>
    </row>
    <row r="345" spans="1:7">
      <c r="B345" t="s">
        <v>12</v>
      </c>
      <c r="C345" vm="2" t="e" cm="1">
        <f t="array" ref="C345">-MMULT(C341:E341,C342:E344)</f>
        <v>#VALUE!</v>
      </c>
      <c r="D345"/>
      <c r="E345"/>
      <c r="F345">
        <f>F338</f>
        <v>1</v>
      </c>
      <c r="G345"/>
    </row>
    <row r="346" spans="1:7">
      <c r="B346" t="s">
        <v>13</v>
      </c>
      <c r="C346" vm="2" t="e">
        <f t="shared" ref="C346" si="575">G341/SUMPRODUCT(_xlfn.ANCHORARRAY(C345),_xlfn.ANCHORARRAY(C345))</f>
        <v>#VALUE!</v>
      </c>
      <c r="D346"/>
      <c r="E346"/>
      <c r="G346"/>
    </row>
    <row r="347" spans="1:7">
      <c r="A347" t="s">
        <v>4</v>
      </c>
      <c r="B347" s="17" t="s">
        <v>5</v>
      </c>
      <c r="C347" vm="2" t="e" cm="1">
        <f t="array" ref="C347:E347">C340:E340+C346*(C345:E345)</f>
        <v>#VALUE!</v>
      </c>
      <c r="D347" vm="2" t="e">
        <v>#VALUE!</v>
      </c>
      <c r="E347" vm="2" t="e">
        <v>#VALUE!</v>
      </c>
      <c r="G347"/>
    </row>
    <row r="348" spans="1:7">
      <c r="A348" s="1">
        <f>1+A341</f>
        <v>50</v>
      </c>
      <c r="B348" t="s">
        <v>6</v>
      </c>
      <c r="C348" s="14" vm="2" t="e">
        <f t="shared" ref="C348:C411" si="576">3*C347-D347^3-0.5*C347*E347</f>
        <v>#VALUE!</v>
      </c>
      <c r="D348" s="15" vm="2" t="e">
        <f t="shared" ref="D348:D411" si="577">C347^2-(D347+0.1)^2+2*E347+0.9</f>
        <v>#VALUE!</v>
      </c>
      <c r="E348" s="15" vm="2" t="e">
        <f t="shared" ref="E348:E411" si="578">EXP(-C347)+1/D347+1.5*E347+2</f>
        <v>#VALUE!</v>
      </c>
      <c r="G348" s="1" vm="2" t="e">
        <f>0.5*(C348*C348+D348*D348+E348*E348)</f>
        <v>#VALUE!</v>
      </c>
    </row>
    <row r="349" spans="1:7">
      <c r="C349" s="18" vm="2" t="e">
        <f t="shared" ref="C349" si="579">3-0.5*E347</f>
        <v>#VALUE!</v>
      </c>
      <c r="D349" s="19" vm="2" t="e">
        <f t="shared" ref="D349" si="580">-3*D347^2</f>
        <v>#VALUE!</v>
      </c>
      <c r="E349" s="20" vm="2" t="e">
        <f t="shared" ref="E349" si="581">-0.5*C347</f>
        <v>#VALUE!</v>
      </c>
    </row>
    <row r="350" spans="1:7">
      <c r="B350" t="s">
        <v>7</v>
      </c>
      <c r="C350" s="21" vm="2" t="e">
        <f t="shared" ref="C350" si="582">2*C347</f>
        <v>#VALUE!</v>
      </c>
      <c r="D350" s="15" vm="2" t="e">
        <f t="shared" ref="D350" si="583">-2*(D347+0.1)</f>
        <v>#VALUE!</v>
      </c>
      <c r="E350" s="22">
        <f>2</f>
        <v>2</v>
      </c>
    </row>
    <row r="351" spans="1:7">
      <c r="C351" s="23" vm="2" t="e">
        <f t="shared" ref="C351" si="584">-EXP(-C347)</f>
        <v>#VALUE!</v>
      </c>
      <c r="D351" s="24" vm="2" t="e">
        <f t="shared" ref="D351" si="585">-1/D347^2</f>
        <v>#VALUE!</v>
      </c>
      <c r="E351" s="25">
        <f t="shared" ref="E351:E414" si="586">1.5</f>
        <v>1.5</v>
      </c>
    </row>
    <row r="352" spans="1:7">
      <c r="B352" t="s">
        <v>12</v>
      </c>
      <c r="C352" vm="2" t="e" cm="1">
        <f t="array" ref="C352">-MMULT(C348:E348,C349:E351)</f>
        <v>#VALUE!</v>
      </c>
      <c r="D352"/>
      <c r="E352"/>
      <c r="F352">
        <f>F345</f>
        <v>1</v>
      </c>
      <c r="G352"/>
    </row>
    <row r="353" spans="1:7">
      <c r="B353" t="s">
        <v>13</v>
      </c>
      <c r="C353" vm="2" t="e">
        <f t="shared" ref="C353" si="587">G348/SUMPRODUCT(_xlfn.ANCHORARRAY(C352),_xlfn.ANCHORARRAY(C352))</f>
        <v>#VALUE!</v>
      </c>
      <c r="D353"/>
      <c r="E353"/>
      <c r="G353"/>
    </row>
    <row r="354" spans="1:7">
      <c r="A354" t="s">
        <v>4</v>
      </c>
      <c r="B354" s="17" t="s">
        <v>5</v>
      </c>
      <c r="C354" vm="2" t="e" cm="1">
        <f t="array" ref="C354:E354">C347:E347+C353*(C352:E352)</f>
        <v>#VALUE!</v>
      </c>
      <c r="D354" vm="2" t="e">
        <v>#VALUE!</v>
      </c>
      <c r="E354" vm="2" t="e">
        <v>#VALUE!</v>
      </c>
      <c r="G354"/>
    </row>
    <row r="355" spans="1:7">
      <c r="A355" s="1">
        <f>1+A348</f>
        <v>51</v>
      </c>
      <c r="B355" t="s">
        <v>6</v>
      </c>
      <c r="C355" s="14" vm="2" t="e">
        <f t="shared" ref="C355:C418" si="588">3*C354-D354^3-0.5*C354*E354</f>
        <v>#VALUE!</v>
      </c>
      <c r="D355" s="15" vm="2" t="e">
        <f t="shared" ref="D355:D418" si="589">C354^2-(D354+0.1)^2+2*E354+0.9</f>
        <v>#VALUE!</v>
      </c>
      <c r="E355" s="15" vm="2" t="e">
        <f t="shared" ref="E355:E418" si="590">EXP(-C354)+1/D354+1.5*E354+2</f>
        <v>#VALUE!</v>
      </c>
      <c r="G355" s="1" vm="2" t="e">
        <f>0.5*(C355*C355+D355*D355+E355*E355)</f>
        <v>#VALUE!</v>
      </c>
    </row>
    <row r="356" spans="1:7">
      <c r="C356" s="18" vm="2" t="e">
        <f t="shared" ref="C356" si="591">3-0.5*E354</f>
        <v>#VALUE!</v>
      </c>
      <c r="D356" s="19" vm="2" t="e">
        <f t="shared" ref="D356" si="592">-3*D354^2</f>
        <v>#VALUE!</v>
      </c>
      <c r="E356" s="20" vm="2" t="e">
        <f t="shared" ref="E356" si="593">-0.5*C354</f>
        <v>#VALUE!</v>
      </c>
    </row>
    <row r="357" spans="1:7">
      <c r="B357" t="s">
        <v>7</v>
      </c>
      <c r="C357" s="21" vm="2" t="e">
        <f t="shared" ref="C357" si="594">2*C354</f>
        <v>#VALUE!</v>
      </c>
      <c r="D357" s="15" vm="2" t="e">
        <f t="shared" ref="D357" si="595">-2*(D354+0.1)</f>
        <v>#VALUE!</v>
      </c>
      <c r="E357" s="22">
        <f>2</f>
        <v>2</v>
      </c>
    </row>
    <row r="358" spans="1:7">
      <c r="C358" s="23" vm="2" t="e">
        <f t="shared" ref="C358" si="596">-EXP(-C354)</f>
        <v>#VALUE!</v>
      </c>
      <c r="D358" s="24" vm="2" t="e">
        <f t="shared" ref="D358" si="597">-1/D354^2</f>
        <v>#VALUE!</v>
      </c>
      <c r="E358" s="25">
        <f t="shared" ref="E358:E421" si="598">1.5</f>
        <v>1.5</v>
      </c>
    </row>
    <row r="359" spans="1:7">
      <c r="B359" t="s">
        <v>12</v>
      </c>
      <c r="C359" vm="2" t="e" cm="1">
        <f t="array" ref="C359">-MMULT(C355:E355,C356:E358)</f>
        <v>#VALUE!</v>
      </c>
      <c r="D359"/>
      <c r="E359"/>
      <c r="F359">
        <f>F352</f>
        <v>1</v>
      </c>
      <c r="G359"/>
    </row>
    <row r="360" spans="1:7">
      <c r="B360" t="s">
        <v>13</v>
      </c>
      <c r="C360" vm="2" t="e">
        <f t="shared" ref="C360" si="599">G355/SUMPRODUCT(_xlfn.ANCHORARRAY(C359),_xlfn.ANCHORARRAY(C359))</f>
        <v>#VALUE!</v>
      </c>
      <c r="D360"/>
      <c r="E360"/>
      <c r="G360"/>
    </row>
    <row r="361" spans="1:7">
      <c r="A361" t="s">
        <v>4</v>
      </c>
      <c r="B361" s="17" t="s">
        <v>5</v>
      </c>
      <c r="C361" vm="2" t="e" cm="1">
        <f t="array" ref="C361:E361">C354:E354+C360*(C359:E359)</f>
        <v>#VALUE!</v>
      </c>
      <c r="D361" vm="2" t="e">
        <v>#VALUE!</v>
      </c>
      <c r="E361" vm="2" t="e">
        <v>#VALUE!</v>
      </c>
      <c r="G361"/>
    </row>
    <row r="362" spans="1:7">
      <c r="A362" s="1">
        <f>1+A355</f>
        <v>52</v>
      </c>
      <c r="B362" t="s">
        <v>6</v>
      </c>
      <c r="C362" s="14" vm="2" t="e">
        <f t="shared" ref="C362:C425" si="600">3*C361-D361^3-0.5*C361*E361</f>
        <v>#VALUE!</v>
      </c>
      <c r="D362" s="15" vm="2" t="e">
        <f t="shared" ref="D362:D425" si="601">C361^2-(D361+0.1)^2+2*E361+0.9</f>
        <v>#VALUE!</v>
      </c>
      <c r="E362" s="15" vm="2" t="e">
        <f t="shared" ref="E362:E425" si="602">EXP(-C361)+1/D361+1.5*E361+2</f>
        <v>#VALUE!</v>
      </c>
      <c r="G362" s="1" vm="2" t="e">
        <f>0.5*(C362*C362+D362*D362+E362*E362)</f>
        <v>#VALUE!</v>
      </c>
    </row>
    <row r="363" spans="1:7">
      <c r="C363" s="18" vm="2" t="e">
        <f t="shared" ref="C363" si="603">3-0.5*E361</f>
        <v>#VALUE!</v>
      </c>
      <c r="D363" s="19" vm="2" t="e">
        <f t="shared" ref="D363" si="604">-3*D361^2</f>
        <v>#VALUE!</v>
      </c>
      <c r="E363" s="20" vm="2" t="e">
        <f t="shared" ref="E363" si="605">-0.5*C361</f>
        <v>#VALUE!</v>
      </c>
    </row>
    <row r="364" spans="1:7">
      <c r="B364" t="s">
        <v>7</v>
      </c>
      <c r="C364" s="21" vm="2" t="e">
        <f t="shared" ref="C364" si="606">2*C361</f>
        <v>#VALUE!</v>
      </c>
      <c r="D364" s="15" vm="2" t="e">
        <f t="shared" ref="D364" si="607">-2*(D361+0.1)</f>
        <v>#VALUE!</v>
      </c>
      <c r="E364" s="22">
        <f>2</f>
        <v>2</v>
      </c>
    </row>
    <row r="365" spans="1:7">
      <c r="C365" s="23" vm="2" t="e">
        <f t="shared" ref="C365" si="608">-EXP(-C361)</f>
        <v>#VALUE!</v>
      </c>
      <c r="D365" s="24" vm="2" t="e">
        <f t="shared" ref="D365" si="609">-1/D361^2</f>
        <v>#VALUE!</v>
      </c>
      <c r="E365" s="25">
        <f t="shared" ref="E365:E428" si="610">1.5</f>
        <v>1.5</v>
      </c>
    </row>
    <row r="366" spans="1:7">
      <c r="B366" t="s">
        <v>12</v>
      </c>
      <c r="C366" vm="2" t="e" cm="1">
        <f t="array" ref="C366">-MMULT(C362:E362,C363:E365)</f>
        <v>#VALUE!</v>
      </c>
      <c r="D366"/>
      <c r="E366"/>
      <c r="F366">
        <f>F359</f>
        <v>1</v>
      </c>
      <c r="G366"/>
    </row>
    <row r="367" spans="1:7">
      <c r="B367" t="s">
        <v>13</v>
      </c>
      <c r="C367" vm="2" t="e">
        <f t="shared" ref="C367" si="611">G362/SUMPRODUCT(_xlfn.ANCHORARRAY(C366),_xlfn.ANCHORARRAY(C366))</f>
        <v>#VALUE!</v>
      </c>
      <c r="D367"/>
      <c r="E367"/>
      <c r="G367"/>
    </row>
    <row r="368" spans="1:7">
      <c r="A368" t="s">
        <v>4</v>
      </c>
      <c r="B368" s="17" t="s">
        <v>5</v>
      </c>
      <c r="C368" vm="2" t="e" cm="1">
        <f t="array" ref="C368:E368">C361:E361+C367*(C366:E366)</f>
        <v>#VALUE!</v>
      </c>
      <c r="D368" vm="2" t="e">
        <v>#VALUE!</v>
      </c>
      <c r="E368" vm="2" t="e">
        <v>#VALUE!</v>
      </c>
      <c r="G368"/>
    </row>
    <row r="369" spans="1:7">
      <c r="A369" s="1">
        <f>1+A362</f>
        <v>53</v>
      </c>
      <c r="B369" t="s">
        <v>6</v>
      </c>
      <c r="C369" s="14" vm="2" t="e">
        <f t="shared" ref="C369:C432" si="612">3*C368-D368^3-0.5*C368*E368</f>
        <v>#VALUE!</v>
      </c>
      <c r="D369" s="15" vm="2" t="e">
        <f t="shared" ref="D369:D432" si="613">C368^2-(D368+0.1)^2+2*E368+0.9</f>
        <v>#VALUE!</v>
      </c>
      <c r="E369" s="15" vm="2" t="e">
        <f t="shared" ref="E369:E432" si="614">EXP(-C368)+1/D368+1.5*E368+2</f>
        <v>#VALUE!</v>
      </c>
      <c r="G369" s="1" vm="2" t="e">
        <f>0.5*(C369*C369+D369*D369+E369*E369)</f>
        <v>#VALUE!</v>
      </c>
    </row>
    <row r="370" spans="1:7">
      <c r="C370" s="18" vm="2" t="e">
        <f t="shared" ref="C370" si="615">3-0.5*E368</f>
        <v>#VALUE!</v>
      </c>
      <c r="D370" s="19" vm="2" t="e">
        <f t="shared" ref="D370" si="616">-3*D368^2</f>
        <v>#VALUE!</v>
      </c>
      <c r="E370" s="20" vm="2" t="e">
        <f t="shared" ref="E370" si="617">-0.5*C368</f>
        <v>#VALUE!</v>
      </c>
    </row>
    <row r="371" spans="1:7">
      <c r="B371" t="s">
        <v>7</v>
      </c>
      <c r="C371" s="21" vm="2" t="e">
        <f t="shared" ref="C371" si="618">2*C368</f>
        <v>#VALUE!</v>
      </c>
      <c r="D371" s="15" vm="2" t="e">
        <f t="shared" ref="D371" si="619">-2*(D368+0.1)</f>
        <v>#VALUE!</v>
      </c>
      <c r="E371" s="22">
        <f>2</f>
        <v>2</v>
      </c>
    </row>
    <row r="372" spans="1:7">
      <c r="C372" s="23" vm="2" t="e">
        <f t="shared" ref="C372" si="620">-EXP(-C368)</f>
        <v>#VALUE!</v>
      </c>
      <c r="D372" s="24" vm="2" t="e">
        <f t="shared" ref="D372" si="621">-1/D368^2</f>
        <v>#VALUE!</v>
      </c>
      <c r="E372" s="25">
        <f t="shared" ref="E372:E435" si="622">1.5</f>
        <v>1.5</v>
      </c>
    </row>
    <row r="373" spans="1:7">
      <c r="B373" t="s">
        <v>12</v>
      </c>
      <c r="C373" vm="2" t="e" cm="1">
        <f t="array" ref="C373">-MMULT(C369:E369,C370:E372)</f>
        <v>#VALUE!</v>
      </c>
      <c r="D373"/>
      <c r="E373"/>
      <c r="F373">
        <f>F366</f>
        <v>1</v>
      </c>
      <c r="G373"/>
    </row>
    <row r="374" spans="1:7">
      <c r="B374" t="s">
        <v>13</v>
      </c>
      <c r="C374" vm="2" t="e">
        <f t="shared" ref="C374" si="623">G369/SUMPRODUCT(_xlfn.ANCHORARRAY(C373),_xlfn.ANCHORARRAY(C373))</f>
        <v>#VALUE!</v>
      </c>
      <c r="D374"/>
      <c r="E374"/>
      <c r="G374"/>
    </row>
    <row r="375" spans="1:7">
      <c r="A375" t="s">
        <v>4</v>
      </c>
      <c r="B375" s="17" t="s">
        <v>5</v>
      </c>
      <c r="C375" vm="2" t="e" cm="1">
        <f t="array" ref="C375:E375">C368:E368+C374*(C373:E373)</f>
        <v>#VALUE!</v>
      </c>
      <c r="D375" vm="2" t="e">
        <v>#VALUE!</v>
      </c>
      <c r="E375" vm="2" t="e">
        <v>#VALUE!</v>
      </c>
      <c r="G375"/>
    </row>
    <row r="376" spans="1:7">
      <c r="A376" s="1">
        <f>1+A369</f>
        <v>54</v>
      </c>
      <c r="B376" t="s">
        <v>6</v>
      </c>
      <c r="C376" s="14" vm="2" t="e">
        <f t="shared" ref="C376:C439" si="624">3*C375-D375^3-0.5*C375*E375</f>
        <v>#VALUE!</v>
      </c>
      <c r="D376" s="15" vm="2" t="e">
        <f t="shared" ref="D376:D439" si="625">C375^2-(D375+0.1)^2+2*E375+0.9</f>
        <v>#VALUE!</v>
      </c>
      <c r="E376" s="15" vm="2" t="e">
        <f t="shared" ref="E376:E439" si="626">EXP(-C375)+1/D375+1.5*E375+2</f>
        <v>#VALUE!</v>
      </c>
      <c r="G376" s="1" vm="2" t="e">
        <f>0.5*(C376*C376+D376*D376+E376*E376)</f>
        <v>#VALUE!</v>
      </c>
    </row>
    <row r="377" spans="1:7">
      <c r="C377" s="18" vm="2" t="e">
        <f t="shared" ref="C377" si="627">3-0.5*E375</f>
        <v>#VALUE!</v>
      </c>
      <c r="D377" s="19" vm="2" t="e">
        <f t="shared" ref="D377" si="628">-3*D375^2</f>
        <v>#VALUE!</v>
      </c>
      <c r="E377" s="20" vm="2" t="e">
        <f t="shared" ref="E377" si="629">-0.5*C375</f>
        <v>#VALUE!</v>
      </c>
    </row>
    <row r="378" spans="1:7">
      <c r="B378" t="s">
        <v>7</v>
      </c>
      <c r="C378" s="21" vm="2" t="e">
        <f t="shared" ref="C378" si="630">2*C375</f>
        <v>#VALUE!</v>
      </c>
      <c r="D378" s="15" vm="2" t="e">
        <f t="shared" ref="D378" si="631">-2*(D375+0.1)</f>
        <v>#VALUE!</v>
      </c>
      <c r="E378" s="22">
        <f>2</f>
        <v>2</v>
      </c>
    </row>
    <row r="379" spans="1:7">
      <c r="C379" s="23" vm="2" t="e">
        <f t="shared" ref="C379" si="632">-EXP(-C375)</f>
        <v>#VALUE!</v>
      </c>
      <c r="D379" s="24" vm="2" t="e">
        <f t="shared" ref="D379" si="633">-1/D375^2</f>
        <v>#VALUE!</v>
      </c>
      <c r="E379" s="25">
        <f t="shared" ref="E379:E442" si="634">1.5</f>
        <v>1.5</v>
      </c>
    </row>
    <row r="380" spans="1:7">
      <c r="B380" t="s">
        <v>12</v>
      </c>
      <c r="C380" vm="2" t="e" cm="1">
        <f t="array" ref="C380">-MMULT(C376:E376,C377:E379)</f>
        <v>#VALUE!</v>
      </c>
      <c r="D380"/>
      <c r="E380"/>
      <c r="F380">
        <f>F373</f>
        <v>1</v>
      </c>
      <c r="G380"/>
    </row>
    <row r="381" spans="1:7">
      <c r="B381" t="s">
        <v>13</v>
      </c>
      <c r="C381" vm="2" t="e">
        <f t="shared" ref="C381" si="635">G376/SUMPRODUCT(_xlfn.ANCHORARRAY(C380),_xlfn.ANCHORARRAY(C380))</f>
        <v>#VALUE!</v>
      </c>
      <c r="D381"/>
      <c r="E381"/>
      <c r="G381"/>
    </row>
    <row r="382" spans="1:7">
      <c r="A382" t="s">
        <v>4</v>
      </c>
      <c r="B382" s="17" t="s">
        <v>5</v>
      </c>
      <c r="C382" vm="2" t="e" cm="1">
        <f t="array" ref="C382:E382">C375:E375+C381*(C380:E380)</f>
        <v>#VALUE!</v>
      </c>
      <c r="D382" vm="2" t="e">
        <v>#VALUE!</v>
      </c>
      <c r="E382" vm="2" t="e">
        <v>#VALUE!</v>
      </c>
      <c r="G382"/>
    </row>
    <row r="383" spans="1:7">
      <c r="A383" s="1">
        <f>1+A376</f>
        <v>55</v>
      </c>
      <c r="B383" t="s">
        <v>6</v>
      </c>
      <c r="C383" s="14" vm="2" t="e">
        <f t="shared" ref="C383:C446" si="636">3*C382-D382^3-0.5*C382*E382</f>
        <v>#VALUE!</v>
      </c>
      <c r="D383" s="15" vm="2" t="e">
        <f t="shared" ref="D383:D446" si="637">C382^2-(D382+0.1)^2+2*E382+0.9</f>
        <v>#VALUE!</v>
      </c>
      <c r="E383" s="15" vm="2" t="e">
        <f t="shared" ref="E383:E446" si="638">EXP(-C382)+1/D382+1.5*E382+2</f>
        <v>#VALUE!</v>
      </c>
      <c r="G383" s="1" vm="2" t="e">
        <f>0.5*(C383*C383+D383*D383+E383*E383)</f>
        <v>#VALUE!</v>
      </c>
    </row>
    <row r="384" spans="1:7">
      <c r="C384" s="18" vm="2" t="e">
        <f t="shared" ref="C384" si="639">3-0.5*E382</f>
        <v>#VALUE!</v>
      </c>
      <c r="D384" s="19" vm="2" t="e">
        <f t="shared" ref="D384" si="640">-3*D382^2</f>
        <v>#VALUE!</v>
      </c>
      <c r="E384" s="20" vm="2" t="e">
        <f t="shared" ref="E384" si="641">-0.5*C382</f>
        <v>#VALUE!</v>
      </c>
    </row>
    <row r="385" spans="1:7">
      <c r="B385" t="s">
        <v>7</v>
      </c>
      <c r="C385" s="21" vm="2" t="e">
        <f t="shared" ref="C385" si="642">2*C382</f>
        <v>#VALUE!</v>
      </c>
      <c r="D385" s="15" vm="2" t="e">
        <f t="shared" ref="D385" si="643">-2*(D382+0.1)</f>
        <v>#VALUE!</v>
      </c>
      <c r="E385" s="22">
        <f>2</f>
        <v>2</v>
      </c>
    </row>
    <row r="386" spans="1:7">
      <c r="C386" s="23" vm="2" t="e">
        <f t="shared" ref="C386" si="644">-EXP(-C382)</f>
        <v>#VALUE!</v>
      </c>
      <c r="D386" s="24" vm="2" t="e">
        <f t="shared" ref="D386" si="645">-1/D382^2</f>
        <v>#VALUE!</v>
      </c>
      <c r="E386" s="25">
        <f t="shared" ref="E386:E449" si="646">1.5</f>
        <v>1.5</v>
      </c>
    </row>
    <row r="387" spans="1:7">
      <c r="B387" t="s">
        <v>12</v>
      </c>
      <c r="C387" vm="2" t="e" cm="1">
        <f t="array" ref="C387">-MMULT(C383:E383,C384:E386)</f>
        <v>#VALUE!</v>
      </c>
      <c r="D387"/>
      <c r="E387"/>
      <c r="F387">
        <f>F380</f>
        <v>1</v>
      </c>
      <c r="G387"/>
    </row>
    <row r="388" spans="1:7">
      <c r="B388" t="s">
        <v>13</v>
      </c>
      <c r="C388" vm="2" t="e">
        <f t="shared" ref="C388" si="647">G383/SUMPRODUCT(_xlfn.ANCHORARRAY(C387),_xlfn.ANCHORARRAY(C387))</f>
        <v>#VALUE!</v>
      </c>
      <c r="D388"/>
      <c r="E388"/>
      <c r="G388"/>
    </row>
    <row r="389" spans="1:7">
      <c r="A389" t="s">
        <v>4</v>
      </c>
      <c r="B389" s="17" t="s">
        <v>5</v>
      </c>
      <c r="C389" vm="2" t="e" cm="1">
        <f t="array" ref="C389:E389">C382:E382+C388*(C387:E387)</f>
        <v>#VALUE!</v>
      </c>
      <c r="D389" vm="2" t="e">
        <v>#VALUE!</v>
      </c>
      <c r="E389" vm="2" t="e">
        <v>#VALUE!</v>
      </c>
      <c r="G389"/>
    </row>
    <row r="390" spans="1:7">
      <c r="A390" s="1">
        <f>1+A383</f>
        <v>56</v>
      </c>
      <c r="B390" t="s">
        <v>6</v>
      </c>
      <c r="C390" s="14" vm="2" t="e">
        <f t="shared" ref="C390:C453" si="648">3*C389-D389^3-0.5*C389*E389</f>
        <v>#VALUE!</v>
      </c>
      <c r="D390" s="15" vm="2" t="e">
        <f t="shared" ref="D390:D453" si="649">C389^2-(D389+0.1)^2+2*E389+0.9</f>
        <v>#VALUE!</v>
      </c>
      <c r="E390" s="15" vm="2" t="e">
        <f t="shared" ref="E390:E453" si="650">EXP(-C389)+1/D389+1.5*E389+2</f>
        <v>#VALUE!</v>
      </c>
      <c r="G390" s="1" vm="2" t="e">
        <f>0.5*(C390*C390+D390*D390+E390*E390)</f>
        <v>#VALUE!</v>
      </c>
    </row>
    <row r="391" spans="1:7">
      <c r="C391" s="18" vm="2" t="e">
        <f t="shared" ref="C391" si="651">3-0.5*E389</f>
        <v>#VALUE!</v>
      </c>
      <c r="D391" s="19" vm="2" t="e">
        <f t="shared" ref="D391" si="652">-3*D389^2</f>
        <v>#VALUE!</v>
      </c>
      <c r="E391" s="20" vm="2" t="e">
        <f t="shared" ref="E391" si="653">-0.5*C389</f>
        <v>#VALUE!</v>
      </c>
    </row>
    <row r="392" spans="1:7">
      <c r="B392" t="s">
        <v>7</v>
      </c>
      <c r="C392" s="21" vm="2" t="e">
        <f t="shared" ref="C392" si="654">2*C389</f>
        <v>#VALUE!</v>
      </c>
      <c r="D392" s="15" vm="2" t="e">
        <f t="shared" ref="D392" si="655">-2*(D389+0.1)</f>
        <v>#VALUE!</v>
      </c>
      <c r="E392" s="22">
        <f>2</f>
        <v>2</v>
      </c>
    </row>
    <row r="393" spans="1:7">
      <c r="C393" s="23" vm="2" t="e">
        <f t="shared" ref="C393" si="656">-EXP(-C389)</f>
        <v>#VALUE!</v>
      </c>
      <c r="D393" s="24" vm="2" t="e">
        <f t="shared" ref="D393" si="657">-1/D389^2</f>
        <v>#VALUE!</v>
      </c>
      <c r="E393" s="25">
        <f t="shared" ref="E393:E456" si="658">1.5</f>
        <v>1.5</v>
      </c>
    </row>
    <row r="394" spans="1:7">
      <c r="B394" t="s">
        <v>12</v>
      </c>
      <c r="C394" vm="2" t="e" cm="1">
        <f t="array" ref="C394">-MMULT(C390:E390,C391:E393)</f>
        <v>#VALUE!</v>
      </c>
      <c r="D394"/>
      <c r="E394"/>
      <c r="F394">
        <f>F387</f>
        <v>1</v>
      </c>
      <c r="G394"/>
    </row>
    <row r="395" spans="1:7">
      <c r="B395" t="s">
        <v>13</v>
      </c>
      <c r="C395" vm="2" t="e">
        <f t="shared" ref="C395" si="659">G390/SUMPRODUCT(_xlfn.ANCHORARRAY(C394),_xlfn.ANCHORARRAY(C394))</f>
        <v>#VALUE!</v>
      </c>
      <c r="D395"/>
      <c r="E395"/>
      <c r="G395"/>
    </row>
    <row r="396" spans="1:7">
      <c r="A396" t="s">
        <v>4</v>
      </c>
      <c r="B396" s="17" t="s">
        <v>5</v>
      </c>
      <c r="C396" vm="2" t="e" cm="1">
        <f t="array" ref="C396:E396">C389:E389+C395*(C394:E394)</f>
        <v>#VALUE!</v>
      </c>
      <c r="D396" vm="2" t="e">
        <v>#VALUE!</v>
      </c>
      <c r="E396" vm="2" t="e">
        <v>#VALUE!</v>
      </c>
      <c r="G396"/>
    </row>
    <row r="397" spans="1:7">
      <c r="A397" s="1">
        <f>1+A390</f>
        <v>57</v>
      </c>
      <c r="B397" t="s">
        <v>6</v>
      </c>
      <c r="C397" s="14" vm="2" t="e">
        <f t="shared" ref="C397:C460" si="660">3*C396-D396^3-0.5*C396*E396</f>
        <v>#VALUE!</v>
      </c>
      <c r="D397" s="15" vm="2" t="e">
        <f t="shared" ref="D397:D460" si="661">C396^2-(D396+0.1)^2+2*E396+0.9</f>
        <v>#VALUE!</v>
      </c>
      <c r="E397" s="15" vm="2" t="e">
        <f t="shared" ref="E397:E460" si="662">EXP(-C396)+1/D396+1.5*E396+2</f>
        <v>#VALUE!</v>
      </c>
      <c r="G397" s="1" vm="2" t="e">
        <f>0.5*(C397*C397+D397*D397+E397*E397)</f>
        <v>#VALUE!</v>
      </c>
    </row>
    <row r="398" spans="1:7">
      <c r="C398" s="18" vm="2" t="e">
        <f t="shared" ref="C398" si="663">3-0.5*E396</f>
        <v>#VALUE!</v>
      </c>
      <c r="D398" s="19" vm="2" t="e">
        <f t="shared" ref="D398" si="664">-3*D396^2</f>
        <v>#VALUE!</v>
      </c>
      <c r="E398" s="20" vm="2" t="e">
        <f t="shared" ref="E398" si="665">-0.5*C396</f>
        <v>#VALUE!</v>
      </c>
    </row>
    <row r="399" spans="1:7">
      <c r="B399" t="s">
        <v>7</v>
      </c>
      <c r="C399" s="21" vm="2" t="e">
        <f t="shared" ref="C399" si="666">2*C396</f>
        <v>#VALUE!</v>
      </c>
      <c r="D399" s="15" vm="2" t="e">
        <f t="shared" ref="D399" si="667">-2*(D396+0.1)</f>
        <v>#VALUE!</v>
      </c>
      <c r="E399" s="22">
        <f>2</f>
        <v>2</v>
      </c>
    </row>
    <row r="400" spans="1:7">
      <c r="C400" s="23" vm="2" t="e">
        <f t="shared" ref="C400" si="668">-EXP(-C396)</f>
        <v>#VALUE!</v>
      </c>
      <c r="D400" s="24" vm="2" t="e">
        <f t="shared" ref="D400" si="669">-1/D396^2</f>
        <v>#VALUE!</v>
      </c>
      <c r="E400" s="25">
        <f t="shared" ref="E400:E463" si="670">1.5</f>
        <v>1.5</v>
      </c>
    </row>
    <row r="401" spans="1:7">
      <c r="B401" t="s">
        <v>12</v>
      </c>
      <c r="C401" vm="2" t="e" cm="1">
        <f t="array" ref="C401">-MMULT(C397:E397,C398:E400)</f>
        <v>#VALUE!</v>
      </c>
      <c r="D401"/>
      <c r="E401"/>
      <c r="F401">
        <f>F394</f>
        <v>1</v>
      </c>
      <c r="G401"/>
    </row>
    <row r="402" spans="1:7">
      <c r="B402" t="s">
        <v>13</v>
      </c>
      <c r="C402" vm="2" t="e">
        <f t="shared" ref="C402" si="671">G397/SUMPRODUCT(_xlfn.ANCHORARRAY(C401),_xlfn.ANCHORARRAY(C401))</f>
        <v>#VALUE!</v>
      </c>
      <c r="D402"/>
      <c r="E402"/>
      <c r="G402"/>
    </row>
    <row r="403" spans="1:7">
      <c r="A403" t="s">
        <v>4</v>
      </c>
      <c r="B403" s="17" t="s">
        <v>5</v>
      </c>
      <c r="C403" vm="2" t="e" cm="1">
        <f t="array" ref="C403:E403">C396:E396+C402*(C401:E401)</f>
        <v>#VALUE!</v>
      </c>
      <c r="D403" vm="2" t="e">
        <v>#VALUE!</v>
      </c>
      <c r="E403" vm="2" t="e">
        <v>#VALUE!</v>
      </c>
      <c r="G403"/>
    </row>
    <row r="404" spans="1:7">
      <c r="A404" s="1">
        <f>1+A397</f>
        <v>58</v>
      </c>
      <c r="B404" t="s">
        <v>6</v>
      </c>
      <c r="C404" s="14" vm="2" t="e">
        <f t="shared" ref="C404:C467" si="672">3*C403-D403^3-0.5*C403*E403</f>
        <v>#VALUE!</v>
      </c>
      <c r="D404" s="15" vm="2" t="e">
        <f t="shared" ref="D404:D467" si="673">C403^2-(D403+0.1)^2+2*E403+0.9</f>
        <v>#VALUE!</v>
      </c>
      <c r="E404" s="15" vm="2" t="e">
        <f t="shared" ref="E404:E467" si="674">EXP(-C403)+1/D403+1.5*E403+2</f>
        <v>#VALUE!</v>
      </c>
      <c r="G404" s="1" vm="2" t="e">
        <f>0.5*(C404*C404+D404*D404+E404*E404)</f>
        <v>#VALUE!</v>
      </c>
    </row>
    <row r="405" spans="1:7">
      <c r="C405" s="18" vm="2" t="e">
        <f t="shared" ref="C405" si="675">3-0.5*E403</f>
        <v>#VALUE!</v>
      </c>
      <c r="D405" s="19" vm="2" t="e">
        <f t="shared" ref="D405" si="676">-3*D403^2</f>
        <v>#VALUE!</v>
      </c>
      <c r="E405" s="20" vm="2" t="e">
        <f t="shared" ref="E405" si="677">-0.5*C403</f>
        <v>#VALUE!</v>
      </c>
    </row>
    <row r="406" spans="1:7">
      <c r="B406" t="s">
        <v>7</v>
      </c>
      <c r="C406" s="21" vm="2" t="e">
        <f t="shared" ref="C406" si="678">2*C403</f>
        <v>#VALUE!</v>
      </c>
      <c r="D406" s="15" vm="2" t="e">
        <f t="shared" ref="D406" si="679">-2*(D403+0.1)</f>
        <v>#VALUE!</v>
      </c>
      <c r="E406" s="22">
        <f>2</f>
        <v>2</v>
      </c>
    </row>
    <row r="407" spans="1:7">
      <c r="C407" s="23" vm="2" t="e">
        <f t="shared" ref="C407" si="680">-EXP(-C403)</f>
        <v>#VALUE!</v>
      </c>
      <c r="D407" s="24" vm="2" t="e">
        <f t="shared" ref="D407" si="681">-1/D403^2</f>
        <v>#VALUE!</v>
      </c>
      <c r="E407" s="25">
        <f t="shared" ref="E407:E470" si="682">1.5</f>
        <v>1.5</v>
      </c>
    </row>
    <row r="408" spans="1:7">
      <c r="B408" t="s">
        <v>12</v>
      </c>
      <c r="C408" vm="2" t="e" cm="1">
        <f t="array" ref="C408">-MMULT(C404:E404,C405:E407)</f>
        <v>#VALUE!</v>
      </c>
      <c r="D408"/>
      <c r="E408"/>
      <c r="F408">
        <f>F401</f>
        <v>1</v>
      </c>
      <c r="G408"/>
    </row>
    <row r="409" spans="1:7">
      <c r="B409" t="s">
        <v>13</v>
      </c>
      <c r="C409" vm="2" t="e">
        <f t="shared" ref="C409" si="683">G404/SUMPRODUCT(_xlfn.ANCHORARRAY(C408),_xlfn.ANCHORARRAY(C408))</f>
        <v>#VALUE!</v>
      </c>
      <c r="D409"/>
      <c r="E409"/>
      <c r="G409"/>
    </row>
    <row r="410" spans="1:7">
      <c r="A410" t="s">
        <v>4</v>
      </c>
      <c r="B410" s="17" t="s">
        <v>5</v>
      </c>
      <c r="C410" vm="2" t="e" cm="1">
        <f t="array" ref="C410:E410">C403:E403+C409*(C408:E408)</f>
        <v>#VALUE!</v>
      </c>
      <c r="D410" vm="2" t="e">
        <v>#VALUE!</v>
      </c>
      <c r="E410" vm="2" t="e">
        <v>#VALUE!</v>
      </c>
      <c r="G410"/>
    </row>
    <row r="411" spans="1:7">
      <c r="A411" s="1">
        <f>1+A404</f>
        <v>59</v>
      </c>
      <c r="B411" t="s">
        <v>6</v>
      </c>
      <c r="C411" s="14" vm="2" t="e">
        <f t="shared" ref="C411:C474" si="684">3*C410-D410^3-0.5*C410*E410</f>
        <v>#VALUE!</v>
      </c>
      <c r="D411" s="15" vm="2" t="e">
        <f t="shared" ref="D411:D474" si="685">C410^2-(D410+0.1)^2+2*E410+0.9</f>
        <v>#VALUE!</v>
      </c>
      <c r="E411" s="15" vm="2" t="e">
        <f t="shared" ref="E411:E474" si="686">EXP(-C410)+1/D410+1.5*E410+2</f>
        <v>#VALUE!</v>
      </c>
      <c r="G411" s="1" vm="2" t="e">
        <f>0.5*(C411*C411+D411*D411+E411*E411)</f>
        <v>#VALUE!</v>
      </c>
    </row>
    <row r="412" spans="1:7">
      <c r="C412" s="18" vm="2" t="e">
        <f t="shared" ref="C412" si="687">3-0.5*E410</f>
        <v>#VALUE!</v>
      </c>
      <c r="D412" s="19" vm="2" t="e">
        <f t="shared" ref="D412" si="688">-3*D410^2</f>
        <v>#VALUE!</v>
      </c>
      <c r="E412" s="20" vm="2" t="e">
        <f t="shared" ref="E412" si="689">-0.5*C410</f>
        <v>#VALUE!</v>
      </c>
    </row>
    <row r="413" spans="1:7">
      <c r="B413" t="s">
        <v>7</v>
      </c>
      <c r="C413" s="21" vm="2" t="e">
        <f t="shared" ref="C413" si="690">2*C410</f>
        <v>#VALUE!</v>
      </c>
      <c r="D413" s="15" vm="2" t="e">
        <f t="shared" ref="D413" si="691">-2*(D410+0.1)</f>
        <v>#VALUE!</v>
      </c>
      <c r="E413" s="22">
        <f>2</f>
        <v>2</v>
      </c>
    </row>
    <row r="414" spans="1:7">
      <c r="C414" s="23" vm="2" t="e">
        <f t="shared" ref="C414" si="692">-EXP(-C410)</f>
        <v>#VALUE!</v>
      </c>
      <c r="D414" s="24" vm="2" t="e">
        <f t="shared" ref="D414" si="693">-1/D410^2</f>
        <v>#VALUE!</v>
      </c>
      <c r="E414" s="25">
        <f t="shared" ref="E414:E477" si="694">1.5</f>
        <v>1.5</v>
      </c>
    </row>
    <row r="415" spans="1:7">
      <c r="B415" t="s">
        <v>12</v>
      </c>
      <c r="C415" vm="2" t="e" cm="1">
        <f t="array" ref="C415">-MMULT(C411:E411,C412:E414)</f>
        <v>#VALUE!</v>
      </c>
      <c r="D415"/>
      <c r="E415"/>
      <c r="F415">
        <f>F408</f>
        <v>1</v>
      </c>
      <c r="G415"/>
    </row>
    <row r="416" spans="1:7">
      <c r="B416" t="s">
        <v>13</v>
      </c>
      <c r="C416" vm="2" t="e">
        <f t="shared" ref="C416" si="695">G411/SUMPRODUCT(_xlfn.ANCHORARRAY(C415),_xlfn.ANCHORARRAY(C415))</f>
        <v>#VALUE!</v>
      </c>
      <c r="D416"/>
      <c r="E416"/>
      <c r="G416"/>
    </row>
    <row r="417" spans="1:7">
      <c r="A417" t="s">
        <v>4</v>
      </c>
      <c r="B417" s="17" t="s">
        <v>5</v>
      </c>
      <c r="C417" vm="2" t="e" cm="1">
        <f t="array" ref="C417:E417">C410:E410+C416*(C415:E415)</f>
        <v>#VALUE!</v>
      </c>
      <c r="D417" vm="2" t="e">
        <v>#VALUE!</v>
      </c>
      <c r="E417" vm="2" t="e">
        <v>#VALUE!</v>
      </c>
      <c r="G417"/>
    </row>
    <row r="418" spans="1:7">
      <c r="A418" s="1">
        <f>1+A411</f>
        <v>60</v>
      </c>
      <c r="B418" t="s">
        <v>6</v>
      </c>
      <c r="C418" s="14" vm="2" t="e">
        <f t="shared" ref="C418:C481" si="696">3*C417-D417^3-0.5*C417*E417</f>
        <v>#VALUE!</v>
      </c>
      <c r="D418" s="15" vm="2" t="e">
        <f t="shared" ref="D418:D481" si="697">C417^2-(D417+0.1)^2+2*E417+0.9</f>
        <v>#VALUE!</v>
      </c>
      <c r="E418" s="15" vm="2" t="e">
        <f t="shared" ref="E418:E481" si="698">EXP(-C417)+1/D417+1.5*E417+2</f>
        <v>#VALUE!</v>
      </c>
      <c r="G418" s="1" vm="2" t="e">
        <f>0.5*(C418*C418+D418*D418+E418*E418)</f>
        <v>#VALUE!</v>
      </c>
    </row>
    <row r="419" spans="1:7">
      <c r="C419" s="18" vm="2" t="e">
        <f t="shared" ref="C419" si="699">3-0.5*E417</f>
        <v>#VALUE!</v>
      </c>
      <c r="D419" s="19" vm="2" t="e">
        <f t="shared" ref="D419" si="700">-3*D417^2</f>
        <v>#VALUE!</v>
      </c>
      <c r="E419" s="20" vm="2" t="e">
        <f t="shared" ref="E419" si="701">-0.5*C417</f>
        <v>#VALUE!</v>
      </c>
    </row>
    <row r="420" spans="1:7">
      <c r="B420" t="s">
        <v>7</v>
      </c>
      <c r="C420" s="21" vm="2" t="e">
        <f t="shared" ref="C420" si="702">2*C417</f>
        <v>#VALUE!</v>
      </c>
      <c r="D420" s="15" vm="2" t="e">
        <f t="shared" ref="D420" si="703">-2*(D417+0.1)</f>
        <v>#VALUE!</v>
      </c>
      <c r="E420" s="22">
        <f>2</f>
        <v>2</v>
      </c>
    </row>
    <row r="421" spans="1:7">
      <c r="C421" s="23" vm="2" t="e">
        <f t="shared" ref="C421" si="704">-EXP(-C417)</f>
        <v>#VALUE!</v>
      </c>
      <c r="D421" s="24" vm="2" t="e">
        <f t="shared" ref="D421" si="705">-1/D417^2</f>
        <v>#VALUE!</v>
      </c>
      <c r="E421" s="25">
        <f t="shared" ref="E421:E484" si="706">1.5</f>
        <v>1.5</v>
      </c>
    </row>
    <row r="422" spans="1:7">
      <c r="B422" t="s">
        <v>12</v>
      </c>
      <c r="C422" vm="2" t="e" cm="1">
        <f t="array" ref="C422">-MMULT(C418:E418,C419:E421)</f>
        <v>#VALUE!</v>
      </c>
      <c r="D422"/>
      <c r="E422"/>
      <c r="F422">
        <f>F415</f>
        <v>1</v>
      </c>
      <c r="G422"/>
    </row>
    <row r="423" spans="1:7">
      <c r="B423" t="s">
        <v>13</v>
      </c>
      <c r="C423" vm="2" t="e">
        <f t="shared" ref="C423" si="707">G418/SUMPRODUCT(_xlfn.ANCHORARRAY(C422),_xlfn.ANCHORARRAY(C422))</f>
        <v>#VALUE!</v>
      </c>
      <c r="D423"/>
      <c r="E423"/>
      <c r="G423"/>
    </row>
    <row r="424" spans="1:7">
      <c r="A424" t="s">
        <v>4</v>
      </c>
      <c r="B424" s="17" t="s">
        <v>5</v>
      </c>
      <c r="C424" vm="2" t="e" cm="1">
        <f t="array" ref="C424:E424">C417:E417+C423*(C422:E422)</f>
        <v>#VALUE!</v>
      </c>
      <c r="D424" vm="2" t="e">
        <v>#VALUE!</v>
      </c>
      <c r="E424" vm="2" t="e">
        <v>#VALUE!</v>
      </c>
      <c r="G424"/>
    </row>
    <row r="425" spans="1:7">
      <c r="A425" s="1">
        <f>1+A418</f>
        <v>61</v>
      </c>
      <c r="B425" t="s">
        <v>6</v>
      </c>
      <c r="C425" s="14" vm="2" t="e">
        <f t="shared" ref="C425:C488" si="708">3*C424-D424^3-0.5*C424*E424</f>
        <v>#VALUE!</v>
      </c>
      <c r="D425" s="15" vm="2" t="e">
        <f t="shared" ref="D425:D488" si="709">C424^2-(D424+0.1)^2+2*E424+0.9</f>
        <v>#VALUE!</v>
      </c>
      <c r="E425" s="15" vm="2" t="e">
        <f t="shared" ref="E425:E488" si="710">EXP(-C424)+1/D424+1.5*E424+2</f>
        <v>#VALUE!</v>
      </c>
      <c r="G425" s="1" vm="2" t="e">
        <f>0.5*(C425*C425+D425*D425+E425*E425)</f>
        <v>#VALUE!</v>
      </c>
    </row>
    <row r="426" spans="1:7">
      <c r="C426" s="18" vm="2" t="e">
        <f t="shared" ref="C426" si="711">3-0.5*E424</f>
        <v>#VALUE!</v>
      </c>
      <c r="D426" s="19" vm="2" t="e">
        <f t="shared" ref="D426" si="712">-3*D424^2</f>
        <v>#VALUE!</v>
      </c>
      <c r="E426" s="20" vm="2" t="e">
        <f t="shared" ref="E426" si="713">-0.5*C424</f>
        <v>#VALUE!</v>
      </c>
    </row>
    <row r="427" spans="1:7">
      <c r="B427" t="s">
        <v>7</v>
      </c>
      <c r="C427" s="21" vm="2" t="e">
        <f t="shared" ref="C427" si="714">2*C424</f>
        <v>#VALUE!</v>
      </c>
      <c r="D427" s="15" vm="2" t="e">
        <f t="shared" ref="D427" si="715">-2*(D424+0.1)</f>
        <v>#VALUE!</v>
      </c>
      <c r="E427" s="22">
        <f>2</f>
        <v>2</v>
      </c>
    </row>
    <row r="428" spans="1:7">
      <c r="C428" s="23" vm="2" t="e">
        <f t="shared" ref="C428" si="716">-EXP(-C424)</f>
        <v>#VALUE!</v>
      </c>
      <c r="D428" s="24" vm="2" t="e">
        <f t="shared" ref="D428" si="717">-1/D424^2</f>
        <v>#VALUE!</v>
      </c>
      <c r="E428" s="25">
        <f t="shared" ref="E428:E491" si="718">1.5</f>
        <v>1.5</v>
      </c>
    </row>
    <row r="429" spans="1:7">
      <c r="B429" t="s">
        <v>12</v>
      </c>
      <c r="C429" vm="2" t="e" cm="1">
        <f t="array" ref="C429">-MMULT(C425:E425,C426:E428)</f>
        <v>#VALUE!</v>
      </c>
      <c r="D429"/>
      <c r="E429"/>
      <c r="F429">
        <f>F422</f>
        <v>1</v>
      </c>
      <c r="G429"/>
    </row>
    <row r="430" spans="1:7">
      <c r="B430" t="s">
        <v>13</v>
      </c>
      <c r="C430" vm="2" t="e">
        <f t="shared" ref="C430" si="719">G425/SUMPRODUCT(_xlfn.ANCHORARRAY(C429),_xlfn.ANCHORARRAY(C429))</f>
        <v>#VALUE!</v>
      </c>
      <c r="D430"/>
      <c r="E430"/>
      <c r="G430"/>
    </row>
    <row r="431" spans="1:7">
      <c r="A431" t="s">
        <v>4</v>
      </c>
      <c r="B431" s="17" t="s">
        <v>5</v>
      </c>
      <c r="C431" vm="2" t="e" cm="1">
        <f t="array" ref="C431:E431">C424:E424+C430*(C429:E429)</f>
        <v>#VALUE!</v>
      </c>
      <c r="D431" vm="2" t="e">
        <v>#VALUE!</v>
      </c>
      <c r="E431" vm="2" t="e">
        <v>#VALUE!</v>
      </c>
      <c r="G431"/>
    </row>
    <row r="432" spans="1:7">
      <c r="A432" s="1">
        <f>1+A425</f>
        <v>62</v>
      </c>
      <c r="B432" t="s">
        <v>6</v>
      </c>
      <c r="C432" s="14" vm="2" t="e">
        <f t="shared" ref="C432:C495" si="720">3*C431-D431^3-0.5*C431*E431</f>
        <v>#VALUE!</v>
      </c>
      <c r="D432" s="15" vm="2" t="e">
        <f t="shared" ref="D432:D495" si="721">C431^2-(D431+0.1)^2+2*E431+0.9</f>
        <v>#VALUE!</v>
      </c>
      <c r="E432" s="15" vm="2" t="e">
        <f t="shared" ref="E432:E495" si="722">EXP(-C431)+1/D431+1.5*E431+2</f>
        <v>#VALUE!</v>
      </c>
      <c r="G432" s="1" vm="2" t="e">
        <f>0.5*(C432*C432+D432*D432+E432*E432)</f>
        <v>#VALUE!</v>
      </c>
    </row>
    <row r="433" spans="1:7">
      <c r="C433" s="18" vm="2" t="e">
        <f t="shared" ref="C433" si="723">3-0.5*E431</f>
        <v>#VALUE!</v>
      </c>
      <c r="D433" s="19" vm="2" t="e">
        <f t="shared" ref="D433" si="724">-3*D431^2</f>
        <v>#VALUE!</v>
      </c>
      <c r="E433" s="20" vm="2" t="e">
        <f t="shared" ref="E433" si="725">-0.5*C431</f>
        <v>#VALUE!</v>
      </c>
    </row>
    <row r="434" spans="1:7">
      <c r="B434" t="s">
        <v>7</v>
      </c>
      <c r="C434" s="21" vm="2" t="e">
        <f t="shared" ref="C434" si="726">2*C431</f>
        <v>#VALUE!</v>
      </c>
      <c r="D434" s="15" vm="2" t="e">
        <f t="shared" ref="D434" si="727">-2*(D431+0.1)</f>
        <v>#VALUE!</v>
      </c>
      <c r="E434" s="22">
        <f>2</f>
        <v>2</v>
      </c>
    </row>
    <row r="435" spans="1:7">
      <c r="C435" s="23" vm="2" t="e">
        <f t="shared" ref="C435" si="728">-EXP(-C431)</f>
        <v>#VALUE!</v>
      </c>
      <c r="D435" s="24" vm="2" t="e">
        <f t="shared" ref="D435" si="729">-1/D431^2</f>
        <v>#VALUE!</v>
      </c>
      <c r="E435" s="25">
        <f t="shared" ref="E435:E498" si="730">1.5</f>
        <v>1.5</v>
      </c>
    </row>
    <row r="436" spans="1:7">
      <c r="B436" t="s">
        <v>12</v>
      </c>
      <c r="C436" vm="2" t="e" cm="1">
        <f t="array" ref="C436">-MMULT(C432:E432,C433:E435)</f>
        <v>#VALUE!</v>
      </c>
      <c r="D436"/>
      <c r="E436"/>
      <c r="F436">
        <f>F429</f>
        <v>1</v>
      </c>
      <c r="G436"/>
    </row>
    <row r="437" spans="1:7">
      <c r="B437" t="s">
        <v>13</v>
      </c>
      <c r="C437" vm="2" t="e">
        <f t="shared" ref="C437" si="731">G432/SUMPRODUCT(_xlfn.ANCHORARRAY(C436),_xlfn.ANCHORARRAY(C436))</f>
        <v>#VALUE!</v>
      </c>
      <c r="D437"/>
      <c r="E437"/>
      <c r="G437"/>
    </row>
    <row r="438" spans="1:7">
      <c r="A438" t="s">
        <v>4</v>
      </c>
      <c r="B438" s="17" t="s">
        <v>5</v>
      </c>
      <c r="C438" vm="2" t="e" cm="1">
        <f t="array" ref="C438:E438">C431:E431+C437*(C436:E436)</f>
        <v>#VALUE!</v>
      </c>
      <c r="D438" vm="2" t="e">
        <v>#VALUE!</v>
      </c>
      <c r="E438" vm="2" t="e">
        <v>#VALUE!</v>
      </c>
      <c r="G438"/>
    </row>
    <row r="439" spans="1:7">
      <c r="A439" s="1">
        <f>1+A432</f>
        <v>63</v>
      </c>
      <c r="B439" t="s">
        <v>6</v>
      </c>
      <c r="C439" s="14" vm="2" t="e">
        <f t="shared" ref="C439:C502" si="732">3*C438-D438^3-0.5*C438*E438</f>
        <v>#VALUE!</v>
      </c>
      <c r="D439" s="15" vm="2" t="e">
        <f t="shared" ref="D439:D502" si="733">C438^2-(D438+0.1)^2+2*E438+0.9</f>
        <v>#VALUE!</v>
      </c>
      <c r="E439" s="15" vm="2" t="e">
        <f t="shared" ref="E439:E502" si="734">EXP(-C438)+1/D438+1.5*E438+2</f>
        <v>#VALUE!</v>
      </c>
      <c r="G439" s="1" vm="2" t="e">
        <f>0.5*(C439*C439+D439*D439+E439*E439)</f>
        <v>#VALUE!</v>
      </c>
    </row>
    <row r="440" spans="1:7">
      <c r="C440" s="18" vm="2" t="e">
        <f t="shared" ref="C440" si="735">3-0.5*E438</f>
        <v>#VALUE!</v>
      </c>
      <c r="D440" s="19" vm="2" t="e">
        <f t="shared" ref="D440" si="736">-3*D438^2</f>
        <v>#VALUE!</v>
      </c>
      <c r="E440" s="20" vm="2" t="e">
        <f t="shared" ref="E440" si="737">-0.5*C438</f>
        <v>#VALUE!</v>
      </c>
    </row>
    <row r="441" spans="1:7">
      <c r="B441" t="s">
        <v>7</v>
      </c>
      <c r="C441" s="21" vm="2" t="e">
        <f t="shared" ref="C441" si="738">2*C438</f>
        <v>#VALUE!</v>
      </c>
      <c r="D441" s="15" vm="2" t="e">
        <f t="shared" ref="D441" si="739">-2*(D438+0.1)</f>
        <v>#VALUE!</v>
      </c>
      <c r="E441" s="22">
        <f>2</f>
        <v>2</v>
      </c>
    </row>
    <row r="442" spans="1:7">
      <c r="C442" s="23" vm="2" t="e">
        <f t="shared" ref="C442" si="740">-EXP(-C438)</f>
        <v>#VALUE!</v>
      </c>
      <c r="D442" s="24" vm="2" t="e">
        <f t="shared" ref="D442" si="741">-1/D438^2</f>
        <v>#VALUE!</v>
      </c>
      <c r="E442" s="25">
        <f t="shared" ref="E442:E505" si="742">1.5</f>
        <v>1.5</v>
      </c>
    </row>
    <row r="443" spans="1:7">
      <c r="B443" t="s">
        <v>12</v>
      </c>
      <c r="C443" vm="2" t="e" cm="1">
        <f t="array" ref="C443">-MMULT(C439:E439,C440:E442)</f>
        <v>#VALUE!</v>
      </c>
      <c r="D443"/>
      <c r="E443"/>
      <c r="F443">
        <f>F436</f>
        <v>1</v>
      </c>
      <c r="G443"/>
    </row>
    <row r="444" spans="1:7">
      <c r="B444" t="s">
        <v>13</v>
      </c>
      <c r="C444" vm="2" t="e">
        <f t="shared" ref="C444" si="743">G439/SUMPRODUCT(_xlfn.ANCHORARRAY(C443),_xlfn.ANCHORARRAY(C443))</f>
        <v>#VALUE!</v>
      </c>
      <c r="D444"/>
      <c r="E444"/>
      <c r="G444"/>
    </row>
    <row r="445" spans="1:7">
      <c r="A445" t="s">
        <v>4</v>
      </c>
      <c r="B445" s="17" t="s">
        <v>5</v>
      </c>
      <c r="C445" vm="2" t="e" cm="1">
        <f t="array" ref="C445:E445">C438:E438+C444*(C443:E443)</f>
        <v>#VALUE!</v>
      </c>
      <c r="D445" vm="2" t="e">
        <v>#VALUE!</v>
      </c>
      <c r="E445" vm="2" t="e">
        <v>#VALUE!</v>
      </c>
      <c r="G445"/>
    </row>
    <row r="446" spans="1:7">
      <c r="A446" s="1">
        <f>1+A439</f>
        <v>64</v>
      </c>
      <c r="B446" t="s">
        <v>6</v>
      </c>
      <c r="C446" s="14" vm="2" t="e">
        <f t="shared" ref="C446:C509" si="744">3*C445-D445^3-0.5*C445*E445</f>
        <v>#VALUE!</v>
      </c>
      <c r="D446" s="15" vm="2" t="e">
        <f t="shared" ref="D446:D509" si="745">C445^2-(D445+0.1)^2+2*E445+0.9</f>
        <v>#VALUE!</v>
      </c>
      <c r="E446" s="15" vm="2" t="e">
        <f t="shared" ref="E446:E509" si="746">EXP(-C445)+1/D445+1.5*E445+2</f>
        <v>#VALUE!</v>
      </c>
      <c r="G446" s="1" vm="2" t="e">
        <f>0.5*(C446*C446+D446*D446+E446*E446)</f>
        <v>#VALUE!</v>
      </c>
    </row>
    <row r="447" spans="1:7">
      <c r="C447" s="18" vm="2" t="e">
        <f t="shared" ref="C447" si="747">3-0.5*E445</f>
        <v>#VALUE!</v>
      </c>
      <c r="D447" s="19" vm="2" t="e">
        <f t="shared" ref="D447" si="748">-3*D445^2</f>
        <v>#VALUE!</v>
      </c>
      <c r="E447" s="20" vm="2" t="e">
        <f t="shared" ref="E447" si="749">-0.5*C445</f>
        <v>#VALUE!</v>
      </c>
    </row>
    <row r="448" spans="1:7">
      <c r="B448" t="s">
        <v>7</v>
      </c>
      <c r="C448" s="21" vm="2" t="e">
        <f t="shared" ref="C448" si="750">2*C445</f>
        <v>#VALUE!</v>
      </c>
      <c r="D448" s="15" vm="2" t="e">
        <f t="shared" ref="D448" si="751">-2*(D445+0.1)</f>
        <v>#VALUE!</v>
      </c>
      <c r="E448" s="22">
        <f>2</f>
        <v>2</v>
      </c>
    </row>
    <row r="449" spans="1:7">
      <c r="C449" s="23" vm="2" t="e">
        <f t="shared" ref="C449" si="752">-EXP(-C445)</f>
        <v>#VALUE!</v>
      </c>
      <c r="D449" s="24" vm="2" t="e">
        <f t="shared" ref="D449" si="753">-1/D445^2</f>
        <v>#VALUE!</v>
      </c>
      <c r="E449" s="25">
        <f t="shared" ref="E449:E512" si="754">1.5</f>
        <v>1.5</v>
      </c>
    </row>
    <row r="450" spans="1:7">
      <c r="B450" t="s">
        <v>12</v>
      </c>
      <c r="C450" vm="2" t="e" cm="1">
        <f t="array" ref="C450">-MMULT(C446:E446,C447:E449)</f>
        <v>#VALUE!</v>
      </c>
      <c r="D450"/>
      <c r="E450"/>
      <c r="F450">
        <f>F443</f>
        <v>1</v>
      </c>
      <c r="G450"/>
    </row>
    <row r="451" spans="1:7">
      <c r="B451" t="s">
        <v>13</v>
      </c>
      <c r="C451" vm="2" t="e">
        <f t="shared" ref="C451" si="755">G446/SUMPRODUCT(_xlfn.ANCHORARRAY(C450),_xlfn.ANCHORARRAY(C450))</f>
        <v>#VALUE!</v>
      </c>
      <c r="D451"/>
      <c r="E451"/>
      <c r="G451"/>
    </row>
    <row r="452" spans="1:7">
      <c r="A452" t="s">
        <v>4</v>
      </c>
      <c r="B452" s="17" t="s">
        <v>5</v>
      </c>
      <c r="C452" vm="2" t="e" cm="1">
        <f t="array" ref="C452:E452">C445:E445+C451*(C450:E450)</f>
        <v>#VALUE!</v>
      </c>
      <c r="D452" vm="2" t="e">
        <v>#VALUE!</v>
      </c>
      <c r="E452" vm="2" t="e">
        <v>#VALUE!</v>
      </c>
      <c r="G452"/>
    </row>
    <row r="453" spans="1:7">
      <c r="A453" s="1">
        <f>1+A446</f>
        <v>65</v>
      </c>
      <c r="B453" t="s">
        <v>6</v>
      </c>
      <c r="C453" s="14" vm="2" t="e">
        <f t="shared" ref="C453:C516" si="756">3*C452-D452^3-0.5*C452*E452</f>
        <v>#VALUE!</v>
      </c>
      <c r="D453" s="15" vm="2" t="e">
        <f t="shared" ref="D453:D516" si="757">C452^2-(D452+0.1)^2+2*E452+0.9</f>
        <v>#VALUE!</v>
      </c>
      <c r="E453" s="15" vm="2" t="e">
        <f t="shared" ref="E453:E516" si="758">EXP(-C452)+1/D452+1.5*E452+2</f>
        <v>#VALUE!</v>
      </c>
      <c r="G453" s="1" vm="2" t="e">
        <f>0.5*(C453*C453+D453*D453+E453*E453)</f>
        <v>#VALUE!</v>
      </c>
    </row>
    <row r="454" spans="1:7">
      <c r="C454" s="18" vm="2" t="e">
        <f t="shared" ref="C454" si="759">3-0.5*E452</f>
        <v>#VALUE!</v>
      </c>
      <c r="D454" s="19" vm="2" t="e">
        <f t="shared" ref="D454" si="760">-3*D452^2</f>
        <v>#VALUE!</v>
      </c>
      <c r="E454" s="20" vm="2" t="e">
        <f t="shared" ref="E454" si="761">-0.5*C452</f>
        <v>#VALUE!</v>
      </c>
    </row>
    <row r="455" spans="1:7">
      <c r="B455" t="s">
        <v>7</v>
      </c>
      <c r="C455" s="21" vm="2" t="e">
        <f t="shared" ref="C455" si="762">2*C452</f>
        <v>#VALUE!</v>
      </c>
      <c r="D455" s="15" vm="2" t="e">
        <f t="shared" ref="D455" si="763">-2*(D452+0.1)</f>
        <v>#VALUE!</v>
      </c>
      <c r="E455" s="22">
        <f>2</f>
        <v>2</v>
      </c>
    </row>
    <row r="456" spans="1:7">
      <c r="C456" s="23" vm="2" t="e">
        <f t="shared" ref="C456" si="764">-EXP(-C452)</f>
        <v>#VALUE!</v>
      </c>
      <c r="D456" s="24" vm="2" t="e">
        <f t="shared" ref="D456" si="765">-1/D452^2</f>
        <v>#VALUE!</v>
      </c>
      <c r="E456" s="25">
        <f t="shared" ref="E456:E519" si="766">1.5</f>
        <v>1.5</v>
      </c>
    </row>
    <row r="457" spans="1:7">
      <c r="B457" t="s">
        <v>12</v>
      </c>
      <c r="C457" vm="2" t="e" cm="1">
        <f t="array" ref="C457">-MMULT(C453:E453,C454:E456)</f>
        <v>#VALUE!</v>
      </c>
      <c r="D457"/>
      <c r="E457"/>
      <c r="F457">
        <f>F450</f>
        <v>1</v>
      </c>
      <c r="G457"/>
    </row>
    <row r="458" spans="1:7">
      <c r="B458" t="s">
        <v>13</v>
      </c>
      <c r="C458" vm="2" t="e">
        <f t="shared" ref="C458" si="767">G453/SUMPRODUCT(_xlfn.ANCHORARRAY(C457),_xlfn.ANCHORARRAY(C457))</f>
        <v>#VALUE!</v>
      </c>
      <c r="D458"/>
      <c r="E458"/>
      <c r="G458"/>
    </row>
    <row r="459" spans="1:7">
      <c r="A459" t="s">
        <v>4</v>
      </c>
      <c r="B459" s="17" t="s">
        <v>5</v>
      </c>
      <c r="C459" vm="2" t="e" cm="1">
        <f t="array" ref="C459:E459">C452:E452+C458*(C457:E457)</f>
        <v>#VALUE!</v>
      </c>
      <c r="D459" vm="2" t="e">
        <v>#VALUE!</v>
      </c>
      <c r="E459" vm="2" t="e">
        <v>#VALUE!</v>
      </c>
      <c r="G459"/>
    </row>
    <row r="460" spans="1:7">
      <c r="A460" s="1">
        <f>1+A453</f>
        <v>66</v>
      </c>
      <c r="B460" t="s">
        <v>6</v>
      </c>
      <c r="C460" s="14" vm="2" t="e">
        <f t="shared" ref="C460:C523" si="768">3*C459-D459^3-0.5*C459*E459</f>
        <v>#VALUE!</v>
      </c>
      <c r="D460" s="15" vm="2" t="e">
        <f t="shared" ref="D460:D523" si="769">C459^2-(D459+0.1)^2+2*E459+0.9</f>
        <v>#VALUE!</v>
      </c>
      <c r="E460" s="15" vm="2" t="e">
        <f t="shared" ref="E460:E523" si="770">EXP(-C459)+1/D459+1.5*E459+2</f>
        <v>#VALUE!</v>
      </c>
      <c r="G460" s="1" vm="2" t="e">
        <f>0.5*(C460*C460+D460*D460+E460*E460)</f>
        <v>#VALUE!</v>
      </c>
    </row>
    <row r="461" spans="1:7">
      <c r="C461" s="18" vm="2" t="e">
        <f t="shared" ref="C461" si="771">3-0.5*E459</f>
        <v>#VALUE!</v>
      </c>
      <c r="D461" s="19" vm="2" t="e">
        <f t="shared" ref="D461" si="772">-3*D459^2</f>
        <v>#VALUE!</v>
      </c>
      <c r="E461" s="20" vm="2" t="e">
        <f t="shared" ref="E461" si="773">-0.5*C459</f>
        <v>#VALUE!</v>
      </c>
    </row>
    <row r="462" spans="1:7">
      <c r="B462" t="s">
        <v>7</v>
      </c>
      <c r="C462" s="21" vm="2" t="e">
        <f t="shared" ref="C462" si="774">2*C459</f>
        <v>#VALUE!</v>
      </c>
      <c r="D462" s="15" vm="2" t="e">
        <f t="shared" ref="D462" si="775">-2*(D459+0.1)</f>
        <v>#VALUE!</v>
      </c>
      <c r="E462" s="22">
        <f>2</f>
        <v>2</v>
      </c>
    </row>
    <row r="463" spans="1:7">
      <c r="C463" s="23" vm="2" t="e">
        <f t="shared" ref="C463" si="776">-EXP(-C459)</f>
        <v>#VALUE!</v>
      </c>
      <c r="D463" s="24" vm="2" t="e">
        <f t="shared" ref="D463" si="777">-1/D459^2</f>
        <v>#VALUE!</v>
      </c>
      <c r="E463" s="25">
        <f t="shared" ref="E463:E526" si="778">1.5</f>
        <v>1.5</v>
      </c>
    </row>
    <row r="464" spans="1:7">
      <c r="B464" t="s">
        <v>12</v>
      </c>
      <c r="C464" vm="2" t="e" cm="1">
        <f t="array" ref="C464">-MMULT(C460:E460,C461:E463)</f>
        <v>#VALUE!</v>
      </c>
      <c r="D464"/>
      <c r="E464"/>
      <c r="F464">
        <f>F457</f>
        <v>1</v>
      </c>
      <c r="G464"/>
    </row>
    <row r="465" spans="1:7">
      <c r="B465" t="s">
        <v>13</v>
      </c>
      <c r="C465" vm="2" t="e">
        <f t="shared" ref="C465" si="779">G460/SUMPRODUCT(_xlfn.ANCHORARRAY(C464),_xlfn.ANCHORARRAY(C464))</f>
        <v>#VALUE!</v>
      </c>
      <c r="D465"/>
      <c r="E465"/>
      <c r="G465"/>
    </row>
    <row r="466" spans="1:7">
      <c r="A466" t="s">
        <v>4</v>
      </c>
      <c r="B466" s="17" t="s">
        <v>5</v>
      </c>
      <c r="C466" vm="2" t="e" cm="1">
        <f t="array" ref="C466:E466">C459:E459+C465*(C464:E464)</f>
        <v>#VALUE!</v>
      </c>
      <c r="D466" vm="2" t="e">
        <v>#VALUE!</v>
      </c>
      <c r="E466" vm="2" t="e">
        <v>#VALUE!</v>
      </c>
      <c r="G466"/>
    </row>
    <row r="467" spans="1:7">
      <c r="A467" s="1">
        <f>1+A460</f>
        <v>67</v>
      </c>
      <c r="B467" t="s">
        <v>6</v>
      </c>
      <c r="C467" s="14" vm="2" t="e">
        <f t="shared" ref="C467:C530" si="780">3*C466-D466^3-0.5*C466*E466</f>
        <v>#VALUE!</v>
      </c>
      <c r="D467" s="15" vm="2" t="e">
        <f t="shared" ref="D467:D530" si="781">C466^2-(D466+0.1)^2+2*E466+0.9</f>
        <v>#VALUE!</v>
      </c>
      <c r="E467" s="15" vm="2" t="e">
        <f t="shared" ref="E467:E530" si="782">EXP(-C466)+1/D466+1.5*E466+2</f>
        <v>#VALUE!</v>
      </c>
      <c r="G467" s="1" vm="2" t="e">
        <f>0.5*(C467*C467+D467*D467+E467*E467)</f>
        <v>#VALUE!</v>
      </c>
    </row>
    <row r="468" spans="1:7">
      <c r="C468" s="18" vm="2" t="e">
        <f t="shared" ref="C468" si="783">3-0.5*E466</f>
        <v>#VALUE!</v>
      </c>
      <c r="D468" s="19" vm="2" t="e">
        <f t="shared" ref="D468" si="784">-3*D466^2</f>
        <v>#VALUE!</v>
      </c>
      <c r="E468" s="20" vm="2" t="e">
        <f t="shared" ref="E468" si="785">-0.5*C466</f>
        <v>#VALUE!</v>
      </c>
    </row>
    <row r="469" spans="1:7">
      <c r="B469" t="s">
        <v>7</v>
      </c>
      <c r="C469" s="21" vm="2" t="e">
        <f t="shared" ref="C469" si="786">2*C466</f>
        <v>#VALUE!</v>
      </c>
      <c r="D469" s="15" vm="2" t="e">
        <f t="shared" ref="D469" si="787">-2*(D466+0.1)</f>
        <v>#VALUE!</v>
      </c>
      <c r="E469" s="22">
        <f>2</f>
        <v>2</v>
      </c>
    </row>
    <row r="470" spans="1:7">
      <c r="C470" s="23" vm="2" t="e">
        <f t="shared" ref="C470" si="788">-EXP(-C466)</f>
        <v>#VALUE!</v>
      </c>
      <c r="D470" s="24" vm="2" t="e">
        <f t="shared" ref="D470" si="789">-1/D466^2</f>
        <v>#VALUE!</v>
      </c>
      <c r="E470" s="25">
        <f t="shared" ref="E470:E533" si="790">1.5</f>
        <v>1.5</v>
      </c>
    </row>
    <row r="471" spans="1:7">
      <c r="B471" t="s">
        <v>12</v>
      </c>
      <c r="C471" vm="2" t="e" cm="1">
        <f t="array" ref="C471">-MMULT(C467:E467,C468:E470)</f>
        <v>#VALUE!</v>
      </c>
      <c r="D471"/>
      <c r="E471"/>
      <c r="F471">
        <f>F464</f>
        <v>1</v>
      </c>
      <c r="G471"/>
    </row>
    <row r="472" spans="1:7">
      <c r="B472" t="s">
        <v>13</v>
      </c>
      <c r="C472" vm="2" t="e">
        <f t="shared" ref="C472" si="791">G467/SUMPRODUCT(_xlfn.ANCHORARRAY(C471),_xlfn.ANCHORARRAY(C471))</f>
        <v>#VALUE!</v>
      </c>
      <c r="D472"/>
      <c r="E472"/>
      <c r="G472"/>
    </row>
    <row r="473" spans="1:7">
      <c r="A473" t="s">
        <v>4</v>
      </c>
      <c r="B473" s="17" t="s">
        <v>5</v>
      </c>
      <c r="C473" vm="2" t="e" cm="1">
        <f t="array" ref="C473:E473">C466:E466+C472*(C471:E471)</f>
        <v>#VALUE!</v>
      </c>
      <c r="D473" vm="2" t="e">
        <v>#VALUE!</v>
      </c>
      <c r="E473" vm="2" t="e">
        <v>#VALUE!</v>
      </c>
      <c r="G473"/>
    </row>
    <row r="474" spans="1:7">
      <c r="A474" s="1">
        <f>1+A467</f>
        <v>68</v>
      </c>
      <c r="B474" t="s">
        <v>6</v>
      </c>
      <c r="C474" s="14" vm="2" t="e">
        <f t="shared" ref="C474:C537" si="792">3*C473-D473^3-0.5*C473*E473</f>
        <v>#VALUE!</v>
      </c>
      <c r="D474" s="15" vm="2" t="e">
        <f t="shared" ref="D474:D537" si="793">C473^2-(D473+0.1)^2+2*E473+0.9</f>
        <v>#VALUE!</v>
      </c>
      <c r="E474" s="15" vm="2" t="e">
        <f t="shared" ref="E474:E537" si="794">EXP(-C473)+1/D473+1.5*E473+2</f>
        <v>#VALUE!</v>
      </c>
      <c r="G474" s="1" vm="2" t="e">
        <f>0.5*(C474*C474+D474*D474+E474*E474)</f>
        <v>#VALUE!</v>
      </c>
    </row>
    <row r="475" spans="1:7">
      <c r="C475" s="18" vm="2" t="e">
        <f t="shared" ref="C475" si="795">3-0.5*E473</f>
        <v>#VALUE!</v>
      </c>
      <c r="D475" s="19" vm="2" t="e">
        <f t="shared" ref="D475" si="796">-3*D473^2</f>
        <v>#VALUE!</v>
      </c>
      <c r="E475" s="20" vm="2" t="e">
        <f t="shared" ref="E475" si="797">-0.5*C473</f>
        <v>#VALUE!</v>
      </c>
    </row>
    <row r="476" spans="1:7">
      <c r="B476" t="s">
        <v>7</v>
      </c>
      <c r="C476" s="21" vm="2" t="e">
        <f t="shared" ref="C476" si="798">2*C473</f>
        <v>#VALUE!</v>
      </c>
      <c r="D476" s="15" vm="2" t="e">
        <f t="shared" ref="D476" si="799">-2*(D473+0.1)</f>
        <v>#VALUE!</v>
      </c>
      <c r="E476" s="22">
        <f>2</f>
        <v>2</v>
      </c>
    </row>
    <row r="477" spans="1:7">
      <c r="C477" s="23" vm="2" t="e">
        <f t="shared" ref="C477" si="800">-EXP(-C473)</f>
        <v>#VALUE!</v>
      </c>
      <c r="D477" s="24" vm="2" t="e">
        <f t="shared" ref="D477" si="801">-1/D473^2</f>
        <v>#VALUE!</v>
      </c>
      <c r="E477" s="25">
        <f t="shared" ref="E477:E540" si="802">1.5</f>
        <v>1.5</v>
      </c>
    </row>
    <row r="478" spans="1:7">
      <c r="B478" t="s">
        <v>12</v>
      </c>
      <c r="C478" vm="2" t="e" cm="1">
        <f t="array" ref="C478">-MMULT(C474:E474,C475:E477)</f>
        <v>#VALUE!</v>
      </c>
      <c r="D478"/>
      <c r="E478"/>
      <c r="F478">
        <f>F471</f>
        <v>1</v>
      </c>
      <c r="G478"/>
    </row>
    <row r="479" spans="1:7">
      <c r="B479" t="s">
        <v>13</v>
      </c>
      <c r="C479" vm="2" t="e">
        <f t="shared" ref="C479" si="803">G474/SUMPRODUCT(_xlfn.ANCHORARRAY(C478),_xlfn.ANCHORARRAY(C478))</f>
        <v>#VALUE!</v>
      </c>
      <c r="D479"/>
      <c r="E479"/>
      <c r="G479"/>
    </row>
    <row r="480" spans="1:7">
      <c r="A480" t="s">
        <v>4</v>
      </c>
      <c r="B480" s="17" t="s">
        <v>5</v>
      </c>
      <c r="C480" vm="2" t="e" cm="1">
        <f t="array" ref="C480:E480">C473:E473+C479*(C478:E478)</f>
        <v>#VALUE!</v>
      </c>
      <c r="D480" vm="2" t="e">
        <v>#VALUE!</v>
      </c>
      <c r="E480" vm="2" t="e">
        <v>#VALUE!</v>
      </c>
      <c r="G480"/>
    </row>
    <row r="481" spans="1:7">
      <c r="A481" s="1">
        <f>1+A474</f>
        <v>69</v>
      </c>
      <c r="B481" t="s">
        <v>6</v>
      </c>
      <c r="C481" s="14" vm="2" t="e">
        <f t="shared" ref="C481:C544" si="804">3*C480-D480^3-0.5*C480*E480</f>
        <v>#VALUE!</v>
      </c>
      <c r="D481" s="15" vm="2" t="e">
        <f t="shared" ref="D481:D544" si="805">C480^2-(D480+0.1)^2+2*E480+0.9</f>
        <v>#VALUE!</v>
      </c>
      <c r="E481" s="15" vm="2" t="e">
        <f t="shared" ref="E481:E544" si="806">EXP(-C480)+1/D480+1.5*E480+2</f>
        <v>#VALUE!</v>
      </c>
      <c r="G481" s="1" vm="2" t="e">
        <f>0.5*(C481*C481+D481*D481+E481*E481)</f>
        <v>#VALUE!</v>
      </c>
    </row>
    <row r="482" spans="1:7">
      <c r="C482" s="18" vm="2" t="e">
        <f t="shared" ref="C482" si="807">3-0.5*E480</f>
        <v>#VALUE!</v>
      </c>
      <c r="D482" s="19" vm="2" t="e">
        <f t="shared" ref="D482" si="808">-3*D480^2</f>
        <v>#VALUE!</v>
      </c>
      <c r="E482" s="20" vm="2" t="e">
        <f t="shared" ref="E482" si="809">-0.5*C480</f>
        <v>#VALUE!</v>
      </c>
    </row>
    <row r="483" spans="1:7">
      <c r="B483" t="s">
        <v>7</v>
      </c>
      <c r="C483" s="21" vm="2" t="e">
        <f t="shared" ref="C483" si="810">2*C480</f>
        <v>#VALUE!</v>
      </c>
      <c r="D483" s="15" vm="2" t="e">
        <f t="shared" ref="D483" si="811">-2*(D480+0.1)</f>
        <v>#VALUE!</v>
      </c>
      <c r="E483" s="22">
        <f>2</f>
        <v>2</v>
      </c>
    </row>
    <row r="484" spans="1:7">
      <c r="C484" s="23" vm="2" t="e">
        <f t="shared" ref="C484" si="812">-EXP(-C480)</f>
        <v>#VALUE!</v>
      </c>
      <c r="D484" s="24" vm="2" t="e">
        <f t="shared" ref="D484" si="813">-1/D480^2</f>
        <v>#VALUE!</v>
      </c>
      <c r="E484" s="25">
        <f t="shared" ref="E484:E547" si="814">1.5</f>
        <v>1.5</v>
      </c>
    </row>
    <row r="485" spans="1:7">
      <c r="B485" t="s">
        <v>12</v>
      </c>
      <c r="C485" vm="2" t="e" cm="1">
        <f t="array" ref="C485">-MMULT(C481:E481,C482:E484)</f>
        <v>#VALUE!</v>
      </c>
      <c r="D485"/>
      <c r="E485"/>
      <c r="F485">
        <f>F478</f>
        <v>1</v>
      </c>
      <c r="G485"/>
    </row>
    <row r="486" spans="1:7">
      <c r="B486" t="s">
        <v>13</v>
      </c>
      <c r="C486" vm="2" t="e">
        <f t="shared" ref="C486" si="815">G481/SUMPRODUCT(_xlfn.ANCHORARRAY(C485),_xlfn.ANCHORARRAY(C485))</f>
        <v>#VALUE!</v>
      </c>
      <c r="D486"/>
      <c r="E486"/>
      <c r="G486"/>
    </row>
    <row r="487" spans="1:7">
      <c r="A487" t="s">
        <v>4</v>
      </c>
      <c r="B487" s="17" t="s">
        <v>5</v>
      </c>
      <c r="C487" vm="2" t="e" cm="1">
        <f t="array" ref="C487:E487">C480:E480+C486*(C485:E485)</f>
        <v>#VALUE!</v>
      </c>
      <c r="D487" vm="2" t="e">
        <v>#VALUE!</v>
      </c>
      <c r="E487" vm="2" t="e">
        <v>#VALUE!</v>
      </c>
      <c r="G487"/>
    </row>
    <row r="488" spans="1:7">
      <c r="A488" s="1">
        <f>1+A481</f>
        <v>70</v>
      </c>
      <c r="B488" t="s">
        <v>6</v>
      </c>
      <c r="C488" s="14" vm="2" t="e">
        <f t="shared" ref="C488:C551" si="816">3*C487-D487^3-0.5*C487*E487</f>
        <v>#VALUE!</v>
      </c>
      <c r="D488" s="15" vm="2" t="e">
        <f t="shared" ref="D488:D551" si="817">C487^2-(D487+0.1)^2+2*E487+0.9</f>
        <v>#VALUE!</v>
      </c>
      <c r="E488" s="15" vm="2" t="e">
        <f t="shared" ref="E488:E551" si="818">EXP(-C487)+1/D487+1.5*E487+2</f>
        <v>#VALUE!</v>
      </c>
      <c r="G488" s="1" vm="2" t="e">
        <f>0.5*(C488*C488+D488*D488+E488*E488)</f>
        <v>#VALUE!</v>
      </c>
    </row>
    <row r="489" spans="1:7">
      <c r="C489" s="18" vm="2" t="e">
        <f t="shared" ref="C489" si="819">3-0.5*E487</f>
        <v>#VALUE!</v>
      </c>
      <c r="D489" s="19" vm="2" t="e">
        <f t="shared" ref="D489" si="820">-3*D487^2</f>
        <v>#VALUE!</v>
      </c>
      <c r="E489" s="20" vm="2" t="e">
        <f t="shared" ref="E489" si="821">-0.5*C487</f>
        <v>#VALUE!</v>
      </c>
    </row>
    <row r="490" spans="1:7">
      <c r="B490" t="s">
        <v>7</v>
      </c>
      <c r="C490" s="21" vm="2" t="e">
        <f t="shared" ref="C490" si="822">2*C487</f>
        <v>#VALUE!</v>
      </c>
      <c r="D490" s="15" vm="2" t="e">
        <f t="shared" ref="D490" si="823">-2*(D487+0.1)</f>
        <v>#VALUE!</v>
      </c>
      <c r="E490" s="22">
        <f>2</f>
        <v>2</v>
      </c>
    </row>
    <row r="491" spans="1:7">
      <c r="C491" s="23" vm="2" t="e">
        <f t="shared" ref="C491" si="824">-EXP(-C487)</f>
        <v>#VALUE!</v>
      </c>
      <c r="D491" s="24" vm="2" t="e">
        <f t="shared" ref="D491" si="825">-1/D487^2</f>
        <v>#VALUE!</v>
      </c>
      <c r="E491" s="25">
        <f t="shared" ref="E491:E554" si="826">1.5</f>
        <v>1.5</v>
      </c>
    </row>
    <row r="492" spans="1:7">
      <c r="B492" t="s">
        <v>12</v>
      </c>
      <c r="C492" vm="2" t="e" cm="1">
        <f t="array" ref="C492">-MMULT(C488:E488,C489:E491)</f>
        <v>#VALUE!</v>
      </c>
      <c r="D492"/>
      <c r="E492"/>
      <c r="F492">
        <f>F485</f>
        <v>1</v>
      </c>
      <c r="G492"/>
    </row>
    <row r="493" spans="1:7">
      <c r="B493" t="s">
        <v>13</v>
      </c>
      <c r="C493" vm="2" t="e">
        <f t="shared" ref="C493" si="827">G488/SUMPRODUCT(_xlfn.ANCHORARRAY(C492),_xlfn.ANCHORARRAY(C492))</f>
        <v>#VALUE!</v>
      </c>
      <c r="D493"/>
      <c r="E493"/>
      <c r="G493"/>
    </row>
    <row r="494" spans="1:7">
      <c r="A494" t="s">
        <v>4</v>
      </c>
      <c r="B494" s="17" t="s">
        <v>5</v>
      </c>
      <c r="C494" vm="2" t="e" cm="1">
        <f t="array" ref="C494:E494">C487:E487+C493*(C492:E492)</f>
        <v>#VALUE!</v>
      </c>
      <c r="D494" vm="2" t="e">
        <v>#VALUE!</v>
      </c>
      <c r="E494" vm="2" t="e">
        <v>#VALUE!</v>
      </c>
      <c r="G494"/>
    </row>
    <row r="495" spans="1:7">
      <c r="A495" s="1">
        <f>1+A488</f>
        <v>71</v>
      </c>
      <c r="B495" t="s">
        <v>6</v>
      </c>
      <c r="C495" s="14" vm="2" t="e">
        <f t="shared" ref="C495:C558" si="828">3*C494-D494^3-0.5*C494*E494</f>
        <v>#VALUE!</v>
      </c>
      <c r="D495" s="15" vm="2" t="e">
        <f t="shared" ref="D495:D558" si="829">C494^2-(D494+0.1)^2+2*E494+0.9</f>
        <v>#VALUE!</v>
      </c>
      <c r="E495" s="15" vm="2" t="e">
        <f t="shared" ref="E495:E558" si="830">EXP(-C494)+1/D494+1.5*E494+2</f>
        <v>#VALUE!</v>
      </c>
      <c r="G495" s="1" vm="2" t="e">
        <f>0.5*(C495*C495+D495*D495+E495*E495)</f>
        <v>#VALUE!</v>
      </c>
    </row>
    <row r="496" spans="1:7">
      <c r="C496" s="18" vm="2" t="e">
        <f t="shared" ref="C496" si="831">3-0.5*E494</f>
        <v>#VALUE!</v>
      </c>
      <c r="D496" s="19" vm="2" t="e">
        <f t="shared" ref="D496" si="832">-3*D494^2</f>
        <v>#VALUE!</v>
      </c>
      <c r="E496" s="20" vm="2" t="e">
        <f t="shared" ref="E496" si="833">-0.5*C494</f>
        <v>#VALUE!</v>
      </c>
    </row>
    <row r="497" spans="1:7">
      <c r="B497" t="s">
        <v>7</v>
      </c>
      <c r="C497" s="21" vm="2" t="e">
        <f t="shared" ref="C497" si="834">2*C494</f>
        <v>#VALUE!</v>
      </c>
      <c r="D497" s="15" vm="2" t="e">
        <f t="shared" ref="D497" si="835">-2*(D494+0.1)</f>
        <v>#VALUE!</v>
      </c>
      <c r="E497" s="22">
        <f>2</f>
        <v>2</v>
      </c>
    </row>
    <row r="498" spans="1:7">
      <c r="C498" s="23" vm="2" t="e">
        <f t="shared" ref="C498" si="836">-EXP(-C494)</f>
        <v>#VALUE!</v>
      </c>
      <c r="D498" s="24" vm="2" t="e">
        <f t="shared" ref="D498" si="837">-1/D494^2</f>
        <v>#VALUE!</v>
      </c>
      <c r="E498" s="25">
        <f t="shared" ref="E498:E561" si="838">1.5</f>
        <v>1.5</v>
      </c>
    </row>
    <row r="499" spans="1:7">
      <c r="B499" t="s">
        <v>12</v>
      </c>
      <c r="C499" vm="2" t="e" cm="1">
        <f t="array" ref="C499">-MMULT(C495:E495,C496:E498)</f>
        <v>#VALUE!</v>
      </c>
      <c r="D499"/>
      <c r="E499"/>
      <c r="F499">
        <f>F492</f>
        <v>1</v>
      </c>
      <c r="G499"/>
    </row>
    <row r="500" spans="1:7">
      <c r="B500" t="s">
        <v>13</v>
      </c>
      <c r="C500" vm="2" t="e">
        <f t="shared" ref="C500" si="839">G495/SUMPRODUCT(_xlfn.ANCHORARRAY(C499),_xlfn.ANCHORARRAY(C499))</f>
        <v>#VALUE!</v>
      </c>
      <c r="D500"/>
      <c r="E500"/>
      <c r="G500"/>
    </row>
    <row r="501" spans="1:7">
      <c r="A501" t="s">
        <v>4</v>
      </c>
      <c r="B501" s="17" t="s">
        <v>5</v>
      </c>
      <c r="C501" vm="2" t="e" cm="1">
        <f t="array" ref="C501:E501">C494:E494+C500*(C499:E499)</f>
        <v>#VALUE!</v>
      </c>
      <c r="D501" vm="2" t="e">
        <v>#VALUE!</v>
      </c>
      <c r="E501" vm="2" t="e">
        <v>#VALUE!</v>
      </c>
      <c r="G501"/>
    </row>
    <row r="502" spans="1:7">
      <c r="A502" s="1">
        <f>1+A495</f>
        <v>72</v>
      </c>
      <c r="B502" t="s">
        <v>6</v>
      </c>
      <c r="C502" s="14" vm="2" t="e">
        <f t="shared" ref="C502:C565" si="840">3*C501-D501^3-0.5*C501*E501</f>
        <v>#VALUE!</v>
      </c>
      <c r="D502" s="15" vm="2" t="e">
        <f t="shared" ref="D502:D565" si="841">C501^2-(D501+0.1)^2+2*E501+0.9</f>
        <v>#VALUE!</v>
      </c>
      <c r="E502" s="15" vm="2" t="e">
        <f t="shared" ref="E502:E565" si="842">EXP(-C501)+1/D501+1.5*E501+2</f>
        <v>#VALUE!</v>
      </c>
      <c r="G502" s="1" vm="2" t="e">
        <f>0.5*(C502*C502+D502*D502+E502*E502)</f>
        <v>#VALUE!</v>
      </c>
    </row>
    <row r="503" spans="1:7">
      <c r="C503" s="18" vm="2" t="e">
        <f t="shared" ref="C503" si="843">3-0.5*E501</f>
        <v>#VALUE!</v>
      </c>
      <c r="D503" s="19" vm="2" t="e">
        <f t="shared" ref="D503" si="844">-3*D501^2</f>
        <v>#VALUE!</v>
      </c>
      <c r="E503" s="20" vm="2" t="e">
        <f t="shared" ref="E503" si="845">-0.5*C501</f>
        <v>#VALUE!</v>
      </c>
    </row>
    <row r="504" spans="1:7">
      <c r="B504" t="s">
        <v>7</v>
      </c>
      <c r="C504" s="21" vm="2" t="e">
        <f t="shared" ref="C504" si="846">2*C501</f>
        <v>#VALUE!</v>
      </c>
      <c r="D504" s="15" vm="2" t="e">
        <f t="shared" ref="D504" si="847">-2*(D501+0.1)</f>
        <v>#VALUE!</v>
      </c>
      <c r="E504" s="22">
        <f>2</f>
        <v>2</v>
      </c>
    </row>
    <row r="505" spans="1:7">
      <c r="C505" s="23" vm="2" t="e">
        <f t="shared" ref="C505" si="848">-EXP(-C501)</f>
        <v>#VALUE!</v>
      </c>
      <c r="D505" s="24" vm="2" t="e">
        <f t="shared" ref="D505" si="849">-1/D501^2</f>
        <v>#VALUE!</v>
      </c>
      <c r="E505" s="25">
        <f t="shared" ref="E505:E568" si="850">1.5</f>
        <v>1.5</v>
      </c>
    </row>
    <row r="506" spans="1:7">
      <c r="B506" t="s">
        <v>12</v>
      </c>
      <c r="C506" vm="2" t="e" cm="1">
        <f t="array" ref="C506">-MMULT(C502:E502,C503:E505)</f>
        <v>#VALUE!</v>
      </c>
      <c r="D506"/>
      <c r="E506"/>
      <c r="F506">
        <f>F499</f>
        <v>1</v>
      </c>
      <c r="G506"/>
    </row>
    <row r="507" spans="1:7">
      <c r="B507" t="s">
        <v>13</v>
      </c>
      <c r="C507" vm="2" t="e">
        <f t="shared" ref="C507" si="851">G502/SUMPRODUCT(_xlfn.ANCHORARRAY(C506),_xlfn.ANCHORARRAY(C506))</f>
        <v>#VALUE!</v>
      </c>
      <c r="D507"/>
      <c r="E507"/>
      <c r="G507"/>
    </row>
    <row r="508" spans="1:7">
      <c r="A508" t="s">
        <v>4</v>
      </c>
      <c r="B508" s="17" t="s">
        <v>5</v>
      </c>
      <c r="C508" vm="2" t="e" cm="1">
        <f t="array" ref="C508:E508">C501:E501+C507*(C506:E506)</f>
        <v>#VALUE!</v>
      </c>
      <c r="D508" vm="2" t="e">
        <v>#VALUE!</v>
      </c>
      <c r="E508" vm="2" t="e">
        <v>#VALUE!</v>
      </c>
      <c r="G508"/>
    </row>
    <row r="509" spans="1:7">
      <c r="A509" s="1">
        <f>1+A502</f>
        <v>73</v>
      </c>
      <c r="B509" t="s">
        <v>6</v>
      </c>
      <c r="C509" s="14" vm="2" t="e">
        <f t="shared" ref="C509:C572" si="852">3*C508-D508^3-0.5*C508*E508</f>
        <v>#VALUE!</v>
      </c>
      <c r="D509" s="15" vm="2" t="e">
        <f t="shared" ref="D509:D572" si="853">C508^2-(D508+0.1)^2+2*E508+0.9</f>
        <v>#VALUE!</v>
      </c>
      <c r="E509" s="15" vm="2" t="e">
        <f t="shared" ref="E509:E572" si="854">EXP(-C508)+1/D508+1.5*E508+2</f>
        <v>#VALUE!</v>
      </c>
      <c r="G509" s="1" vm="2" t="e">
        <f>0.5*(C509*C509+D509*D509+E509*E509)</f>
        <v>#VALUE!</v>
      </c>
    </row>
    <row r="510" spans="1:7">
      <c r="C510" s="18" vm="2" t="e">
        <f t="shared" ref="C510" si="855">3-0.5*E508</f>
        <v>#VALUE!</v>
      </c>
      <c r="D510" s="19" vm="2" t="e">
        <f t="shared" ref="D510" si="856">-3*D508^2</f>
        <v>#VALUE!</v>
      </c>
      <c r="E510" s="20" vm="2" t="e">
        <f t="shared" ref="E510" si="857">-0.5*C508</f>
        <v>#VALUE!</v>
      </c>
    </row>
    <row r="511" spans="1:7">
      <c r="B511" t="s">
        <v>7</v>
      </c>
      <c r="C511" s="21" vm="2" t="e">
        <f t="shared" ref="C511" si="858">2*C508</f>
        <v>#VALUE!</v>
      </c>
      <c r="D511" s="15" vm="2" t="e">
        <f t="shared" ref="D511" si="859">-2*(D508+0.1)</f>
        <v>#VALUE!</v>
      </c>
      <c r="E511" s="22">
        <f>2</f>
        <v>2</v>
      </c>
    </row>
    <row r="512" spans="1:7">
      <c r="C512" s="23" vm="2" t="e">
        <f t="shared" ref="C512" si="860">-EXP(-C508)</f>
        <v>#VALUE!</v>
      </c>
      <c r="D512" s="24" vm="2" t="e">
        <f t="shared" ref="D512" si="861">-1/D508^2</f>
        <v>#VALUE!</v>
      </c>
      <c r="E512" s="25">
        <f t="shared" ref="E512:E575" si="862">1.5</f>
        <v>1.5</v>
      </c>
    </row>
    <row r="513" spans="1:7">
      <c r="B513" t="s">
        <v>12</v>
      </c>
      <c r="C513" vm="2" t="e" cm="1">
        <f t="array" ref="C513">-MMULT(C509:E509,C510:E512)</f>
        <v>#VALUE!</v>
      </c>
      <c r="D513"/>
      <c r="E513"/>
      <c r="F513">
        <f>F506</f>
        <v>1</v>
      </c>
      <c r="G513"/>
    </row>
    <row r="514" spans="1:7">
      <c r="B514" t="s">
        <v>13</v>
      </c>
      <c r="C514" vm="2" t="e">
        <f t="shared" ref="C514" si="863">G509/SUMPRODUCT(_xlfn.ANCHORARRAY(C513),_xlfn.ANCHORARRAY(C513))</f>
        <v>#VALUE!</v>
      </c>
      <c r="D514"/>
      <c r="E514"/>
      <c r="G514"/>
    </row>
    <row r="515" spans="1:7">
      <c r="A515" t="s">
        <v>4</v>
      </c>
      <c r="B515" s="17" t="s">
        <v>5</v>
      </c>
      <c r="C515" vm="2" t="e" cm="1">
        <f t="array" ref="C515:E515">C508:E508+C514*(C513:E513)</f>
        <v>#VALUE!</v>
      </c>
      <c r="D515" vm="2" t="e">
        <v>#VALUE!</v>
      </c>
      <c r="E515" vm="2" t="e">
        <v>#VALUE!</v>
      </c>
      <c r="G515"/>
    </row>
    <row r="516" spans="1:7">
      <c r="A516" s="1">
        <f>1+A509</f>
        <v>74</v>
      </c>
      <c r="B516" t="s">
        <v>6</v>
      </c>
      <c r="C516" s="14" vm="2" t="e">
        <f t="shared" ref="C516:C579" si="864">3*C515-D515^3-0.5*C515*E515</f>
        <v>#VALUE!</v>
      </c>
      <c r="D516" s="15" vm="2" t="e">
        <f t="shared" ref="D516:D579" si="865">C515^2-(D515+0.1)^2+2*E515+0.9</f>
        <v>#VALUE!</v>
      </c>
      <c r="E516" s="15" vm="2" t="e">
        <f t="shared" ref="E516:E579" si="866">EXP(-C515)+1/D515+1.5*E515+2</f>
        <v>#VALUE!</v>
      </c>
      <c r="G516" s="1" vm="2" t="e">
        <f>0.5*(C516*C516+D516*D516+E516*E516)</f>
        <v>#VALUE!</v>
      </c>
    </row>
    <row r="517" spans="1:7">
      <c r="C517" s="18" vm="2" t="e">
        <f t="shared" ref="C517" si="867">3-0.5*E515</f>
        <v>#VALUE!</v>
      </c>
      <c r="D517" s="19" vm="2" t="e">
        <f t="shared" ref="D517" si="868">-3*D515^2</f>
        <v>#VALUE!</v>
      </c>
      <c r="E517" s="20" vm="2" t="e">
        <f t="shared" ref="E517" si="869">-0.5*C515</f>
        <v>#VALUE!</v>
      </c>
    </row>
    <row r="518" spans="1:7">
      <c r="B518" t="s">
        <v>7</v>
      </c>
      <c r="C518" s="21" vm="2" t="e">
        <f t="shared" ref="C518" si="870">2*C515</f>
        <v>#VALUE!</v>
      </c>
      <c r="D518" s="15" vm="2" t="e">
        <f t="shared" ref="D518" si="871">-2*(D515+0.1)</f>
        <v>#VALUE!</v>
      </c>
      <c r="E518" s="22">
        <f>2</f>
        <v>2</v>
      </c>
    </row>
    <row r="519" spans="1:7">
      <c r="C519" s="23" vm="2" t="e">
        <f t="shared" ref="C519" si="872">-EXP(-C515)</f>
        <v>#VALUE!</v>
      </c>
      <c r="D519" s="24" vm="2" t="e">
        <f t="shared" ref="D519" si="873">-1/D515^2</f>
        <v>#VALUE!</v>
      </c>
      <c r="E519" s="25">
        <f t="shared" ref="E519:E582" si="874">1.5</f>
        <v>1.5</v>
      </c>
    </row>
    <row r="520" spans="1:7">
      <c r="B520" t="s">
        <v>12</v>
      </c>
      <c r="C520" vm="2" t="e" cm="1">
        <f t="array" ref="C520">-MMULT(C516:E516,C517:E519)</f>
        <v>#VALUE!</v>
      </c>
      <c r="D520"/>
      <c r="E520"/>
      <c r="F520">
        <f>F513</f>
        <v>1</v>
      </c>
      <c r="G520"/>
    </row>
    <row r="521" spans="1:7">
      <c r="B521" t="s">
        <v>13</v>
      </c>
      <c r="C521" vm="2" t="e">
        <f t="shared" ref="C521" si="875">G516/SUMPRODUCT(_xlfn.ANCHORARRAY(C520),_xlfn.ANCHORARRAY(C520))</f>
        <v>#VALUE!</v>
      </c>
      <c r="D521"/>
      <c r="E521"/>
      <c r="G521"/>
    </row>
    <row r="522" spans="1:7">
      <c r="A522" t="s">
        <v>4</v>
      </c>
      <c r="B522" s="17" t="s">
        <v>5</v>
      </c>
      <c r="C522" vm="2" t="e" cm="1">
        <f t="array" ref="C522:E522">C515:E515+C521*(C520:E520)</f>
        <v>#VALUE!</v>
      </c>
      <c r="D522" vm="2" t="e">
        <v>#VALUE!</v>
      </c>
      <c r="E522" vm="2" t="e">
        <v>#VALUE!</v>
      </c>
      <c r="G522"/>
    </row>
    <row r="523" spans="1:7">
      <c r="A523" s="1">
        <f>1+A516</f>
        <v>75</v>
      </c>
      <c r="B523" t="s">
        <v>6</v>
      </c>
      <c r="C523" s="14" vm="2" t="e">
        <f t="shared" ref="C523:C586" si="876">3*C522-D522^3-0.5*C522*E522</f>
        <v>#VALUE!</v>
      </c>
      <c r="D523" s="15" vm="2" t="e">
        <f t="shared" ref="D523:D586" si="877">C522^2-(D522+0.1)^2+2*E522+0.9</f>
        <v>#VALUE!</v>
      </c>
      <c r="E523" s="15" vm="2" t="e">
        <f t="shared" ref="E523:E586" si="878">EXP(-C522)+1/D522+1.5*E522+2</f>
        <v>#VALUE!</v>
      </c>
      <c r="G523" s="1" vm="2" t="e">
        <f>0.5*(C523*C523+D523*D523+E523*E523)</f>
        <v>#VALUE!</v>
      </c>
    </row>
    <row r="524" spans="1:7">
      <c r="C524" s="18" vm="2" t="e">
        <f t="shared" ref="C524" si="879">3-0.5*E522</f>
        <v>#VALUE!</v>
      </c>
      <c r="D524" s="19" vm="2" t="e">
        <f t="shared" ref="D524" si="880">-3*D522^2</f>
        <v>#VALUE!</v>
      </c>
      <c r="E524" s="20" vm="2" t="e">
        <f t="shared" ref="E524" si="881">-0.5*C522</f>
        <v>#VALUE!</v>
      </c>
    </row>
    <row r="525" spans="1:7">
      <c r="B525" t="s">
        <v>7</v>
      </c>
      <c r="C525" s="21" vm="2" t="e">
        <f t="shared" ref="C525" si="882">2*C522</f>
        <v>#VALUE!</v>
      </c>
      <c r="D525" s="15" vm="2" t="e">
        <f t="shared" ref="D525" si="883">-2*(D522+0.1)</f>
        <v>#VALUE!</v>
      </c>
      <c r="E525" s="22">
        <f>2</f>
        <v>2</v>
      </c>
    </row>
    <row r="526" spans="1:7">
      <c r="C526" s="23" vm="2" t="e">
        <f t="shared" ref="C526" si="884">-EXP(-C522)</f>
        <v>#VALUE!</v>
      </c>
      <c r="D526" s="24" vm="2" t="e">
        <f t="shared" ref="D526" si="885">-1/D522^2</f>
        <v>#VALUE!</v>
      </c>
      <c r="E526" s="25">
        <f t="shared" ref="E526:E589" si="886">1.5</f>
        <v>1.5</v>
      </c>
    </row>
    <row r="527" spans="1:7">
      <c r="B527" t="s">
        <v>12</v>
      </c>
      <c r="C527" vm="2" t="e" cm="1">
        <f t="array" ref="C527">-MMULT(C523:E523,C524:E526)</f>
        <v>#VALUE!</v>
      </c>
      <c r="D527"/>
      <c r="E527"/>
      <c r="F527">
        <f>F520</f>
        <v>1</v>
      </c>
      <c r="G527"/>
    </row>
    <row r="528" spans="1:7">
      <c r="B528" t="s">
        <v>13</v>
      </c>
      <c r="C528" vm="2" t="e">
        <f t="shared" ref="C528" si="887">G523/SUMPRODUCT(_xlfn.ANCHORARRAY(C527),_xlfn.ANCHORARRAY(C527))</f>
        <v>#VALUE!</v>
      </c>
      <c r="D528"/>
      <c r="E528"/>
      <c r="G528"/>
    </row>
    <row r="529" spans="1:7">
      <c r="A529" t="s">
        <v>4</v>
      </c>
      <c r="B529" s="17" t="s">
        <v>5</v>
      </c>
      <c r="C529" vm="2" t="e" cm="1">
        <f t="array" ref="C529:E529">C522:E522+C528*(C527:E527)</f>
        <v>#VALUE!</v>
      </c>
      <c r="D529" vm="2" t="e">
        <v>#VALUE!</v>
      </c>
      <c r="E529" vm="2" t="e">
        <v>#VALUE!</v>
      </c>
      <c r="G529"/>
    </row>
    <row r="530" spans="1:7">
      <c r="A530" s="1">
        <f>1+A523</f>
        <v>76</v>
      </c>
      <c r="B530" t="s">
        <v>6</v>
      </c>
      <c r="C530" s="14" vm="2" t="e">
        <f t="shared" ref="C530:C593" si="888">3*C529-D529^3-0.5*C529*E529</f>
        <v>#VALUE!</v>
      </c>
      <c r="D530" s="15" vm="2" t="e">
        <f t="shared" ref="D530:D593" si="889">C529^2-(D529+0.1)^2+2*E529+0.9</f>
        <v>#VALUE!</v>
      </c>
      <c r="E530" s="15" vm="2" t="e">
        <f t="shared" ref="E530:E593" si="890">EXP(-C529)+1/D529+1.5*E529+2</f>
        <v>#VALUE!</v>
      </c>
      <c r="G530" s="1" vm="2" t="e">
        <f>0.5*(C530*C530+D530*D530+E530*E530)</f>
        <v>#VALUE!</v>
      </c>
    </row>
    <row r="531" spans="1:7">
      <c r="C531" s="18" vm="2" t="e">
        <f t="shared" ref="C531" si="891">3-0.5*E529</f>
        <v>#VALUE!</v>
      </c>
      <c r="D531" s="19" vm="2" t="e">
        <f t="shared" ref="D531" si="892">-3*D529^2</f>
        <v>#VALUE!</v>
      </c>
      <c r="E531" s="20" vm="2" t="e">
        <f t="shared" ref="E531" si="893">-0.5*C529</f>
        <v>#VALUE!</v>
      </c>
    </row>
    <row r="532" spans="1:7">
      <c r="B532" t="s">
        <v>7</v>
      </c>
      <c r="C532" s="21" vm="2" t="e">
        <f t="shared" ref="C532" si="894">2*C529</f>
        <v>#VALUE!</v>
      </c>
      <c r="D532" s="15" vm="2" t="e">
        <f t="shared" ref="D532" si="895">-2*(D529+0.1)</f>
        <v>#VALUE!</v>
      </c>
      <c r="E532" s="22">
        <f>2</f>
        <v>2</v>
      </c>
    </row>
    <row r="533" spans="1:7">
      <c r="C533" s="23" vm="2" t="e">
        <f t="shared" ref="C533" si="896">-EXP(-C529)</f>
        <v>#VALUE!</v>
      </c>
      <c r="D533" s="24" vm="2" t="e">
        <f t="shared" ref="D533" si="897">-1/D529^2</f>
        <v>#VALUE!</v>
      </c>
      <c r="E533" s="25">
        <f t="shared" ref="E533:E596" si="898">1.5</f>
        <v>1.5</v>
      </c>
    </row>
    <row r="534" spans="1:7">
      <c r="B534" t="s">
        <v>12</v>
      </c>
      <c r="C534" vm="2" t="e" cm="1">
        <f t="array" ref="C534">-MMULT(C530:E530,C531:E533)</f>
        <v>#VALUE!</v>
      </c>
      <c r="D534"/>
      <c r="E534"/>
      <c r="F534">
        <f>F527</f>
        <v>1</v>
      </c>
      <c r="G534"/>
    </row>
    <row r="535" spans="1:7">
      <c r="B535" t="s">
        <v>13</v>
      </c>
      <c r="C535" vm="2" t="e">
        <f t="shared" ref="C535" si="899">G530/SUMPRODUCT(_xlfn.ANCHORARRAY(C534),_xlfn.ANCHORARRAY(C534))</f>
        <v>#VALUE!</v>
      </c>
      <c r="D535"/>
      <c r="E535"/>
      <c r="G535"/>
    </row>
    <row r="536" spans="1:7">
      <c r="A536" t="s">
        <v>4</v>
      </c>
      <c r="B536" s="17" t="s">
        <v>5</v>
      </c>
      <c r="C536" vm="2" t="e" cm="1">
        <f t="array" ref="C536:E536">C529:E529+C535*(C534:E534)</f>
        <v>#VALUE!</v>
      </c>
      <c r="D536" vm="2" t="e">
        <v>#VALUE!</v>
      </c>
      <c r="E536" vm="2" t="e">
        <v>#VALUE!</v>
      </c>
      <c r="G536"/>
    </row>
    <row r="537" spans="1:7">
      <c r="A537" s="1">
        <f>1+A530</f>
        <v>77</v>
      </c>
      <c r="B537" t="s">
        <v>6</v>
      </c>
      <c r="C537" s="14" vm="2" t="e">
        <f t="shared" ref="C537:C600" si="900">3*C536-D536^3-0.5*C536*E536</f>
        <v>#VALUE!</v>
      </c>
      <c r="D537" s="15" vm="2" t="e">
        <f t="shared" ref="D537:D600" si="901">C536^2-(D536+0.1)^2+2*E536+0.9</f>
        <v>#VALUE!</v>
      </c>
      <c r="E537" s="15" vm="2" t="e">
        <f t="shared" ref="E537:E600" si="902">EXP(-C536)+1/D536+1.5*E536+2</f>
        <v>#VALUE!</v>
      </c>
      <c r="G537" s="1" vm="2" t="e">
        <f>0.5*(C537*C537+D537*D537+E537*E537)</f>
        <v>#VALUE!</v>
      </c>
    </row>
    <row r="538" spans="1:7">
      <c r="C538" s="18" vm="2" t="e">
        <f t="shared" ref="C538" si="903">3-0.5*E536</f>
        <v>#VALUE!</v>
      </c>
      <c r="D538" s="19" vm="2" t="e">
        <f t="shared" ref="D538" si="904">-3*D536^2</f>
        <v>#VALUE!</v>
      </c>
      <c r="E538" s="20" vm="2" t="e">
        <f t="shared" ref="E538" si="905">-0.5*C536</f>
        <v>#VALUE!</v>
      </c>
    </row>
    <row r="539" spans="1:7">
      <c r="B539" t="s">
        <v>7</v>
      </c>
      <c r="C539" s="21" vm="2" t="e">
        <f t="shared" ref="C539" si="906">2*C536</f>
        <v>#VALUE!</v>
      </c>
      <c r="D539" s="15" vm="2" t="e">
        <f t="shared" ref="D539" si="907">-2*(D536+0.1)</f>
        <v>#VALUE!</v>
      </c>
      <c r="E539" s="22">
        <f>2</f>
        <v>2</v>
      </c>
    </row>
    <row r="540" spans="1:7">
      <c r="C540" s="23" vm="2" t="e">
        <f t="shared" ref="C540" si="908">-EXP(-C536)</f>
        <v>#VALUE!</v>
      </c>
      <c r="D540" s="24" vm="2" t="e">
        <f t="shared" ref="D540" si="909">-1/D536^2</f>
        <v>#VALUE!</v>
      </c>
      <c r="E540" s="25">
        <f t="shared" ref="E540:E603" si="910">1.5</f>
        <v>1.5</v>
      </c>
    </row>
    <row r="541" spans="1:7">
      <c r="B541" t="s">
        <v>12</v>
      </c>
      <c r="C541" vm="2" t="e" cm="1">
        <f t="array" ref="C541">-MMULT(C537:E537,C538:E540)</f>
        <v>#VALUE!</v>
      </c>
      <c r="D541"/>
      <c r="E541"/>
      <c r="F541">
        <f>F534</f>
        <v>1</v>
      </c>
      <c r="G541"/>
    </row>
    <row r="542" spans="1:7">
      <c r="B542" t="s">
        <v>13</v>
      </c>
      <c r="C542" vm="2" t="e">
        <f t="shared" ref="C542" si="911">G537/SUMPRODUCT(_xlfn.ANCHORARRAY(C541),_xlfn.ANCHORARRAY(C541))</f>
        <v>#VALUE!</v>
      </c>
      <c r="D542"/>
      <c r="E542"/>
      <c r="G542"/>
    </row>
    <row r="543" spans="1:7">
      <c r="A543" t="s">
        <v>4</v>
      </c>
      <c r="B543" s="17" t="s">
        <v>5</v>
      </c>
      <c r="C543" vm="2" t="e" cm="1">
        <f t="array" ref="C543:E543">C536:E536+C542*(C541:E541)</f>
        <v>#VALUE!</v>
      </c>
      <c r="D543" vm="2" t="e">
        <v>#VALUE!</v>
      </c>
      <c r="E543" vm="2" t="e">
        <v>#VALUE!</v>
      </c>
      <c r="G543"/>
    </row>
    <row r="544" spans="1:7">
      <c r="A544" s="1">
        <f>1+A537</f>
        <v>78</v>
      </c>
      <c r="B544" t="s">
        <v>6</v>
      </c>
      <c r="C544" s="14" vm="2" t="e">
        <f t="shared" ref="C544:C607" si="912">3*C543-D543^3-0.5*C543*E543</f>
        <v>#VALUE!</v>
      </c>
      <c r="D544" s="15" vm="2" t="e">
        <f t="shared" ref="D544:D607" si="913">C543^2-(D543+0.1)^2+2*E543+0.9</f>
        <v>#VALUE!</v>
      </c>
      <c r="E544" s="15" vm="2" t="e">
        <f t="shared" ref="E544:E607" si="914">EXP(-C543)+1/D543+1.5*E543+2</f>
        <v>#VALUE!</v>
      </c>
      <c r="G544" s="1" vm="2" t="e">
        <f>0.5*(C544*C544+D544*D544+E544*E544)</f>
        <v>#VALUE!</v>
      </c>
    </row>
    <row r="545" spans="1:7">
      <c r="C545" s="18" vm="2" t="e">
        <f t="shared" ref="C545" si="915">3-0.5*E543</f>
        <v>#VALUE!</v>
      </c>
      <c r="D545" s="19" vm="2" t="e">
        <f t="shared" ref="D545" si="916">-3*D543^2</f>
        <v>#VALUE!</v>
      </c>
      <c r="E545" s="20" vm="2" t="e">
        <f t="shared" ref="E545" si="917">-0.5*C543</f>
        <v>#VALUE!</v>
      </c>
    </row>
    <row r="546" spans="1:7">
      <c r="B546" t="s">
        <v>7</v>
      </c>
      <c r="C546" s="21" vm="2" t="e">
        <f t="shared" ref="C546" si="918">2*C543</f>
        <v>#VALUE!</v>
      </c>
      <c r="D546" s="15" vm="2" t="e">
        <f t="shared" ref="D546" si="919">-2*(D543+0.1)</f>
        <v>#VALUE!</v>
      </c>
      <c r="E546" s="22">
        <f>2</f>
        <v>2</v>
      </c>
    </row>
    <row r="547" spans="1:7">
      <c r="C547" s="23" vm="2" t="e">
        <f t="shared" ref="C547" si="920">-EXP(-C543)</f>
        <v>#VALUE!</v>
      </c>
      <c r="D547" s="24" vm="2" t="e">
        <f t="shared" ref="D547" si="921">-1/D543^2</f>
        <v>#VALUE!</v>
      </c>
      <c r="E547" s="25">
        <f t="shared" ref="E547:E610" si="922">1.5</f>
        <v>1.5</v>
      </c>
    </row>
    <row r="548" spans="1:7">
      <c r="B548" t="s">
        <v>12</v>
      </c>
      <c r="C548" vm="2" t="e" cm="1">
        <f t="array" ref="C548">-MMULT(C544:E544,C545:E547)</f>
        <v>#VALUE!</v>
      </c>
      <c r="D548"/>
      <c r="E548"/>
      <c r="F548">
        <f>F541</f>
        <v>1</v>
      </c>
      <c r="G548"/>
    </row>
    <row r="549" spans="1:7">
      <c r="B549" t="s">
        <v>13</v>
      </c>
      <c r="C549" vm="2" t="e">
        <f t="shared" ref="C549" si="923">G544/SUMPRODUCT(_xlfn.ANCHORARRAY(C548),_xlfn.ANCHORARRAY(C548))</f>
        <v>#VALUE!</v>
      </c>
      <c r="D549"/>
      <c r="E549"/>
      <c r="G549"/>
    </row>
    <row r="550" spans="1:7">
      <c r="A550" t="s">
        <v>4</v>
      </c>
      <c r="B550" s="17" t="s">
        <v>5</v>
      </c>
      <c r="C550" vm="2" t="e" cm="1">
        <f t="array" ref="C550:E550">C543:E543+C549*(C548:E548)</f>
        <v>#VALUE!</v>
      </c>
      <c r="D550" vm="2" t="e">
        <v>#VALUE!</v>
      </c>
      <c r="E550" vm="2" t="e">
        <v>#VALUE!</v>
      </c>
      <c r="G550"/>
    </row>
    <row r="551" spans="1:7">
      <c r="A551" s="1">
        <f>1+A544</f>
        <v>79</v>
      </c>
      <c r="B551" t="s">
        <v>6</v>
      </c>
      <c r="C551" s="14" vm="2" t="e">
        <f t="shared" ref="C551:C614" si="924">3*C550-D550^3-0.5*C550*E550</f>
        <v>#VALUE!</v>
      </c>
      <c r="D551" s="15" vm="2" t="e">
        <f t="shared" ref="D551:D614" si="925">C550^2-(D550+0.1)^2+2*E550+0.9</f>
        <v>#VALUE!</v>
      </c>
      <c r="E551" s="15" vm="2" t="e">
        <f t="shared" ref="E551:E614" si="926">EXP(-C550)+1/D550+1.5*E550+2</f>
        <v>#VALUE!</v>
      </c>
      <c r="G551" s="1" vm="2" t="e">
        <f>0.5*(C551*C551+D551*D551+E551*E551)</f>
        <v>#VALUE!</v>
      </c>
    </row>
    <row r="552" spans="1:7">
      <c r="C552" s="18" vm="2" t="e">
        <f t="shared" ref="C552" si="927">3-0.5*E550</f>
        <v>#VALUE!</v>
      </c>
      <c r="D552" s="19" vm="2" t="e">
        <f t="shared" ref="D552" si="928">-3*D550^2</f>
        <v>#VALUE!</v>
      </c>
      <c r="E552" s="20" vm="2" t="e">
        <f t="shared" ref="E552" si="929">-0.5*C550</f>
        <v>#VALUE!</v>
      </c>
    </row>
    <row r="553" spans="1:7">
      <c r="B553" t="s">
        <v>7</v>
      </c>
      <c r="C553" s="21" vm="2" t="e">
        <f t="shared" ref="C553" si="930">2*C550</f>
        <v>#VALUE!</v>
      </c>
      <c r="D553" s="15" vm="2" t="e">
        <f t="shared" ref="D553" si="931">-2*(D550+0.1)</f>
        <v>#VALUE!</v>
      </c>
      <c r="E553" s="22">
        <f>2</f>
        <v>2</v>
      </c>
    </row>
    <row r="554" spans="1:7">
      <c r="C554" s="23" vm="2" t="e">
        <f t="shared" ref="C554" si="932">-EXP(-C550)</f>
        <v>#VALUE!</v>
      </c>
      <c r="D554" s="24" vm="2" t="e">
        <f t="shared" ref="D554" si="933">-1/D550^2</f>
        <v>#VALUE!</v>
      </c>
      <c r="E554" s="25">
        <f t="shared" ref="E554:E617" si="934">1.5</f>
        <v>1.5</v>
      </c>
    </row>
    <row r="555" spans="1:7">
      <c r="B555" t="s">
        <v>12</v>
      </c>
      <c r="C555" vm="2" t="e" cm="1">
        <f t="array" ref="C555">-MMULT(C551:E551,C552:E554)</f>
        <v>#VALUE!</v>
      </c>
      <c r="D555"/>
      <c r="E555"/>
      <c r="F555">
        <f>F548</f>
        <v>1</v>
      </c>
      <c r="G555"/>
    </row>
    <row r="556" spans="1:7">
      <c r="B556" t="s">
        <v>13</v>
      </c>
      <c r="C556" vm="2" t="e">
        <f t="shared" ref="C556" si="935">G551/SUMPRODUCT(_xlfn.ANCHORARRAY(C555),_xlfn.ANCHORARRAY(C555))</f>
        <v>#VALUE!</v>
      </c>
      <c r="D556"/>
      <c r="E556"/>
      <c r="G556"/>
    </row>
    <row r="557" spans="1:7">
      <c r="A557" t="s">
        <v>4</v>
      </c>
      <c r="B557" s="17" t="s">
        <v>5</v>
      </c>
      <c r="C557" vm="2" t="e" cm="1">
        <f t="array" ref="C557:E557">C550:E550+C556*(C555:E555)</f>
        <v>#VALUE!</v>
      </c>
      <c r="D557" vm="2" t="e">
        <v>#VALUE!</v>
      </c>
      <c r="E557" vm="2" t="e">
        <v>#VALUE!</v>
      </c>
      <c r="G557"/>
    </row>
    <row r="558" spans="1:7">
      <c r="A558" s="1">
        <f>1+A551</f>
        <v>80</v>
      </c>
      <c r="B558" t="s">
        <v>6</v>
      </c>
      <c r="C558" s="14" vm="2" t="e">
        <f t="shared" ref="C558:C621" si="936">3*C557-D557^3-0.5*C557*E557</f>
        <v>#VALUE!</v>
      </c>
      <c r="D558" s="15" vm="2" t="e">
        <f t="shared" ref="D558:D621" si="937">C557^2-(D557+0.1)^2+2*E557+0.9</f>
        <v>#VALUE!</v>
      </c>
      <c r="E558" s="15" vm="2" t="e">
        <f t="shared" ref="E558:E621" si="938">EXP(-C557)+1/D557+1.5*E557+2</f>
        <v>#VALUE!</v>
      </c>
      <c r="G558" s="1" vm="2" t="e">
        <f>0.5*(C558*C558+D558*D558+E558*E558)</f>
        <v>#VALUE!</v>
      </c>
    </row>
    <row r="559" spans="1:7">
      <c r="C559" s="18" vm="2" t="e">
        <f t="shared" ref="C559" si="939">3-0.5*E557</f>
        <v>#VALUE!</v>
      </c>
      <c r="D559" s="19" vm="2" t="e">
        <f t="shared" ref="D559" si="940">-3*D557^2</f>
        <v>#VALUE!</v>
      </c>
      <c r="E559" s="20" vm="2" t="e">
        <f t="shared" ref="E559" si="941">-0.5*C557</f>
        <v>#VALUE!</v>
      </c>
    </row>
    <row r="560" spans="1:7">
      <c r="B560" t="s">
        <v>7</v>
      </c>
      <c r="C560" s="21" vm="2" t="e">
        <f t="shared" ref="C560" si="942">2*C557</f>
        <v>#VALUE!</v>
      </c>
      <c r="D560" s="15" vm="2" t="e">
        <f t="shared" ref="D560" si="943">-2*(D557+0.1)</f>
        <v>#VALUE!</v>
      </c>
      <c r="E560" s="22">
        <f>2</f>
        <v>2</v>
      </c>
    </row>
    <row r="561" spans="1:7">
      <c r="C561" s="23" vm="2" t="e">
        <f t="shared" ref="C561" si="944">-EXP(-C557)</f>
        <v>#VALUE!</v>
      </c>
      <c r="D561" s="24" vm="2" t="e">
        <f t="shared" ref="D561" si="945">-1/D557^2</f>
        <v>#VALUE!</v>
      </c>
      <c r="E561" s="25">
        <f t="shared" ref="E561:E624" si="946">1.5</f>
        <v>1.5</v>
      </c>
    </row>
    <row r="562" spans="1:7">
      <c r="B562" t="s">
        <v>12</v>
      </c>
      <c r="C562" vm="2" t="e" cm="1">
        <f t="array" ref="C562">-MMULT(C558:E558,C559:E561)</f>
        <v>#VALUE!</v>
      </c>
      <c r="D562"/>
      <c r="E562"/>
      <c r="F562">
        <f>F555</f>
        <v>1</v>
      </c>
      <c r="G562"/>
    </row>
    <row r="563" spans="1:7">
      <c r="B563" t="s">
        <v>13</v>
      </c>
      <c r="C563" vm="2" t="e">
        <f t="shared" ref="C563" si="947">G558/SUMPRODUCT(_xlfn.ANCHORARRAY(C562),_xlfn.ANCHORARRAY(C562))</f>
        <v>#VALUE!</v>
      </c>
      <c r="D563"/>
      <c r="E563"/>
      <c r="G563"/>
    </row>
    <row r="564" spans="1:7">
      <c r="A564" t="s">
        <v>4</v>
      </c>
      <c r="B564" s="17" t="s">
        <v>5</v>
      </c>
      <c r="C564" vm="2" t="e" cm="1">
        <f t="array" ref="C564:E564">C557:E557+C563*(C562:E562)</f>
        <v>#VALUE!</v>
      </c>
      <c r="D564" vm="2" t="e">
        <v>#VALUE!</v>
      </c>
      <c r="E564" vm="2" t="e">
        <v>#VALUE!</v>
      </c>
      <c r="G564"/>
    </row>
    <row r="565" spans="1:7">
      <c r="A565" s="1">
        <f>1+A558</f>
        <v>81</v>
      </c>
      <c r="B565" t="s">
        <v>6</v>
      </c>
      <c r="C565" s="14" vm="2" t="e">
        <f t="shared" ref="C565:C628" si="948">3*C564-D564^3-0.5*C564*E564</f>
        <v>#VALUE!</v>
      </c>
      <c r="D565" s="15" vm="2" t="e">
        <f t="shared" ref="D565:D628" si="949">C564^2-(D564+0.1)^2+2*E564+0.9</f>
        <v>#VALUE!</v>
      </c>
      <c r="E565" s="15" vm="2" t="e">
        <f t="shared" ref="E565:E628" si="950">EXP(-C564)+1/D564+1.5*E564+2</f>
        <v>#VALUE!</v>
      </c>
      <c r="G565" s="1" vm="2" t="e">
        <f>0.5*(C565*C565+D565*D565+E565*E565)</f>
        <v>#VALUE!</v>
      </c>
    </row>
    <row r="566" spans="1:7">
      <c r="C566" s="18" vm="2" t="e">
        <f t="shared" ref="C566" si="951">3-0.5*E564</f>
        <v>#VALUE!</v>
      </c>
      <c r="D566" s="19" vm="2" t="e">
        <f t="shared" ref="D566" si="952">-3*D564^2</f>
        <v>#VALUE!</v>
      </c>
      <c r="E566" s="20" vm="2" t="e">
        <f t="shared" ref="E566" si="953">-0.5*C564</f>
        <v>#VALUE!</v>
      </c>
    </row>
    <row r="567" spans="1:7">
      <c r="B567" t="s">
        <v>7</v>
      </c>
      <c r="C567" s="21" vm="2" t="e">
        <f t="shared" ref="C567" si="954">2*C564</f>
        <v>#VALUE!</v>
      </c>
      <c r="D567" s="15" vm="2" t="e">
        <f t="shared" ref="D567" si="955">-2*(D564+0.1)</f>
        <v>#VALUE!</v>
      </c>
      <c r="E567" s="22">
        <f>2</f>
        <v>2</v>
      </c>
    </row>
    <row r="568" spans="1:7">
      <c r="C568" s="23" vm="2" t="e">
        <f t="shared" ref="C568" si="956">-EXP(-C564)</f>
        <v>#VALUE!</v>
      </c>
      <c r="D568" s="24" vm="2" t="e">
        <f t="shared" ref="D568" si="957">-1/D564^2</f>
        <v>#VALUE!</v>
      </c>
      <c r="E568" s="25">
        <f t="shared" ref="E568:E631" si="958">1.5</f>
        <v>1.5</v>
      </c>
    </row>
    <row r="569" spans="1:7">
      <c r="B569" t="s">
        <v>12</v>
      </c>
      <c r="C569" vm="2" t="e" cm="1">
        <f t="array" ref="C569">-MMULT(C565:E565,C566:E568)</f>
        <v>#VALUE!</v>
      </c>
      <c r="D569"/>
      <c r="E569"/>
      <c r="F569">
        <f>F562</f>
        <v>1</v>
      </c>
      <c r="G569"/>
    </row>
    <row r="570" spans="1:7">
      <c r="B570" t="s">
        <v>13</v>
      </c>
      <c r="C570" vm="2" t="e">
        <f t="shared" ref="C570" si="959">G565/SUMPRODUCT(_xlfn.ANCHORARRAY(C569),_xlfn.ANCHORARRAY(C569))</f>
        <v>#VALUE!</v>
      </c>
      <c r="D570"/>
      <c r="E570"/>
      <c r="G570"/>
    </row>
    <row r="571" spans="1:7">
      <c r="A571" t="s">
        <v>4</v>
      </c>
      <c r="B571" s="17" t="s">
        <v>5</v>
      </c>
      <c r="C571" vm="2" t="e" cm="1">
        <f t="array" ref="C571:E571">C564:E564+C570*(C569:E569)</f>
        <v>#VALUE!</v>
      </c>
      <c r="D571" vm="2" t="e">
        <v>#VALUE!</v>
      </c>
      <c r="E571" vm="2" t="e">
        <v>#VALUE!</v>
      </c>
      <c r="G571"/>
    </row>
    <row r="572" spans="1:7">
      <c r="A572" s="1">
        <f>1+A565</f>
        <v>82</v>
      </c>
      <c r="B572" t="s">
        <v>6</v>
      </c>
      <c r="C572" s="14" vm="2" t="e">
        <f t="shared" ref="C572:C635" si="960">3*C571-D571^3-0.5*C571*E571</f>
        <v>#VALUE!</v>
      </c>
      <c r="D572" s="15" vm="2" t="e">
        <f t="shared" ref="D572:D635" si="961">C571^2-(D571+0.1)^2+2*E571+0.9</f>
        <v>#VALUE!</v>
      </c>
      <c r="E572" s="15" vm="2" t="e">
        <f t="shared" ref="E572:E635" si="962">EXP(-C571)+1/D571+1.5*E571+2</f>
        <v>#VALUE!</v>
      </c>
      <c r="G572" s="1" vm="2" t="e">
        <f>0.5*(C572*C572+D572*D572+E572*E572)</f>
        <v>#VALUE!</v>
      </c>
    </row>
    <row r="573" spans="1:7">
      <c r="C573" s="18" vm="2" t="e">
        <f t="shared" ref="C573" si="963">3-0.5*E571</f>
        <v>#VALUE!</v>
      </c>
      <c r="D573" s="19" vm="2" t="e">
        <f t="shared" ref="D573" si="964">-3*D571^2</f>
        <v>#VALUE!</v>
      </c>
      <c r="E573" s="20" vm="2" t="e">
        <f t="shared" ref="E573" si="965">-0.5*C571</f>
        <v>#VALUE!</v>
      </c>
    </row>
    <row r="574" spans="1:7">
      <c r="B574" t="s">
        <v>7</v>
      </c>
      <c r="C574" s="21" vm="2" t="e">
        <f t="shared" ref="C574" si="966">2*C571</f>
        <v>#VALUE!</v>
      </c>
      <c r="D574" s="15" vm="2" t="e">
        <f t="shared" ref="D574" si="967">-2*(D571+0.1)</f>
        <v>#VALUE!</v>
      </c>
      <c r="E574" s="22">
        <f>2</f>
        <v>2</v>
      </c>
    </row>
    <row r="575" spans="1:7">
      <c r="C575" s="23" vm="2" t="e">
        <f t="shared" ref="C575" si="968">-EXP(-C571)</f>
        <v>#VALUE!</v>
      </c>
      <c r="D575" s="24" vm="2" t="e">
        <f t="shared" ref="D575" si="969">-1/D571^2</f>
        <v>#VALUE!</v>
      </c>
      <c r="E575" s="25">
        <f t="shared" ref="E575:E638" si="970">1.5</f>
        <v>1.5</v>
      </c>
    </row>
    <row r="576" spans="1:7">
      <c r="B576" t="s">
        <v>12</v>
      </c>
      <c r="C576" vm="2" t="e" cm="1">
        <f t="array" ref="C576">-MMULT(C572:E572,C573:E575)</f>
        <v>#VALUE!</v>
      </c>
      <c r="D576"/>
      <c r="E576"/>
      <c r="F576">
        <f>F569</f>
        <v>1</v>
      </c>
      <c r="G576"/>
    </row>
    <row r="577" spans="1:7">
      <c r="B577" t="s">
        <v>13</v>
      </c>
      <c r="C577" vm="2" t="e">
        <f t="shared" ref="C577" si="971">G572/SUMPRODUCT(_xlfn.ANCHORARRAY(C576),_xlfn.ANCHORARRAY(C576))</f>
        <v>#VALUE!</v>
      </c>
      <c r="D577"/>
      <c r="E577"/>
      <c r="G577"/>
    </row>
    <row r="578" spans="1:7">
      <c r="A578" t="s">
        <v>4</v>
      </c>
      <c r="B578" s="17" t="s">
        <v>5</v>
      </c>
      <c r="C578" vm="2" t="e" cm="1">
        <f t="array" ref="C578:E578">C571:E571+C577*(C576:E576)</f>
        <v>#VALUE!</v>
      </c>
      <c r="D578" vm="2" t="e">
        <v>#VALUE!</v>
      </c>
      <c r="E578" vm="2" t="e">
        <v>#VALUE!</v>
      </c>
      <c r="G578"/>
    </row>
    <row r="579" spans="1:7">
      <c r="A579" s="1">
        <f>1+A572</f>
        <v>83</v>
      </c>
      <c r="B579" t="s">
        <v>6</v>
      </c>
      <c r="C579" s="14" vm="2" t="e">
        <f t="shared" ref="C579:C642" si="972">3*C578-D578^3-0.5*C578*E578</f>
        <v>#VALUE!</v>
      </c>
      <c r="D579" s="15" vm="2" t="e">
        <f t="shared" ref="D579:D642" si="973">C578^2-(D578+0.1)^2+2*E578+0.9</f>
        <v>#VALUE!</v>
      </c>
      <c r="E579" s="15" vm="2" t="e">
        <f t="shared" ref="E579:E642" si="974">EXP(-C578)+1/D578+1.5*E578+2</f>
        <v>#VALUE!</v>
      </c>
      <c r="G579" s="1" vm="2" t="e">
        <f>0.5*(C579*C579+D579*D579+E579*E579)</f>
        <v>#VALUE!</v>
      </c>
    </row>
    <row r="580" spans="1:7">
      <c r="C580" s="18" vm="2" t="e">
        <f t="shared" ref="C580" si="975">3-0.5*E578</f>
        <v>#VALUE!</v>
      </c>
      <c r="D580" s="19" vm="2" t="e">
        <f t="shared" ref="D580" si="976">-3*D578^2</f>
        <v>#VALUE!</v>
      </c>
      <c r="E580" s="20" vm="2" t="e">
        <f t="shared" ref="E580" si="977">-0.5*C578</f>
        <v>#VALUE!</v>
      </c>
    </row>
    <row r="581" spans="1:7">
      <c r="B581" t="s">
        <v>7</v>
      </c>
      <c r="C581" s="21" vm="2" t="e">
        <f t="shared" ref="C581" si="978">2*C578</f>
        <v>#VALUE!</v>
      </c>
      <c r="D581" s="15" vm="2" t="e">
        <f t="shared" ref="D581" si="979">-2*(D578+0.1)</f>
        <v>#VALUE!</v>
      </c>
      <c r="E581" s="22">
        <f>2</f>
        <v>2</v>
      </c>
    </row>
    <row r="582" spans="1:7">
      <c r="C582" s="23" vm="2" t="e">
        <f t="shared" ref="C582" si="980">-EXP(-C578)</f>
        <v>#VALUE!</v>
      </c>
      <c r="D582" s="24" vm="2" t="e">
        <f t="shared" ref="D582" si="981">-1/D578^2</f>
        <v>#VALUE!</v>
      </c>
      <c r="E582" s="25">
        <f t="shared" ref="E582:E645" si="982">1.5</f>
        <v>1.5</v>
      </c>
    </row>
    <row r="583" spans="1:7">
      <c r="B583" t="s">
        <v>12</v>
      </c>
      <c r="C583" vm="2" t="e" cm="1">
        <f t="array" ref="C583">-MMULT(C579:E579,C580:E582)</f>
        <v>#VALUE!</v>
      </c>
      <c r="D583"/>
      <c r="E583"/>
      <c r="F583">
        <f>F576</f>
        <v>1</v>
      </c>
      <c r="G583"/>
    </row>
    <row r="584" spans="1:7">
      <c r="B584" t="s">
        <v>13</v>
      </c>
      <c r="C584" vm="2" t="e">
        <f t="shared" ref="C584" si="983">G579/SUMPRODUCT(_xlfn.ANCHORARRAY(C583),_xlfn.ANCHORARRAY(C583))</f>
        <v>#VALUE!</v>
      </c>
      <c r="D584"/>
      <c r="E584"/>
      <c r="G584"/>
    </row>
    <row r="585" spans="1:7">
      <c r="A585" t="s">
        <v>4</v>
      </c>
      <c r="B585" s="17" t="s">
        <v>5</v>
      </c>
      <c r="C585" vm="2" t="e" cm="1">
        <f t="array" ref="C585:E585">C578:E578+C584*(C583:E583)</f>
        <v>#VALUE!</v>
      </c>
      <c r="D585" vm="2" t="e">
        <v>#VALUE!</v>
      </c>
      <c r="E585" vm="2" t="e">
        <v>#VALUE!</v>
      </c>
      <c r="G585"/>
    </row>
    <row r="586" spans="1:7">
      <c r="A586" s="1">
        <f>1+A579</f>
        <v>84</v>
      </c>
      <c r="B586" t="s">
        <v>6</v>
      </c>
      <c r="C586" s="14" vm="2" t="e">
        <f t="shared" ref="C586:C649" si="984">3*C585-D585^3-0.5*C585*E585</f>
        <v>#VALUE!</v>
      </c>
      <c r="D586" s="15" vm="2" t="e">
        <f t="shared" ref="D586:D649" si="985">C585^2-(D585+0.1)^2+2*E585+0.9</f>
        <v>#VALUE!</v>
      </c>
      <c r="E586" s="15" vm="2" t="e">
        <f t="shared" ref="E586:E649" si="986">EXP(-C585)+1/D585+1.5*E585+2</f>
        <v>#VALUE!</v>
      </c>
      <c r="G586" s="1" vm="2" t="e">
        <f>0.5*(C586*C586+D586*D586+E586*E586)</f>
        <v>#VALUE!</v>
      </c>
    </row>
    <row r="587" spans="1:7">
      <c r="C587" s="18" vm="2" t="e">
        <f t="shared" ref="C587" si="987">3-0.5*E585</f>
        <v>#VALUE!</v>
      </c>
      <c r="D587" s="19" vm="2" t="e">
        <f t="shared" ref="D587" si="988">-3*D585^2</f>
        <v>#VALUE!</v>
      </c>
      <c r="E587" s="20" vm="2" t="e">
        <f t="shared" ref="E587" si="989">-0.5*C585</f>
        <v>#VALUE!</v>
      </c>
    </row>
    <row r="588" spans="1:7">
      <c r="B588" t="s">
        <v>7</v>
      </c>
      <c r="C588" s="21" vm="2" t="e">
        <f t="shared" ref="C588" si="990">2*C585</f>
        <v>#VALUE!</v>
      </c>
      <c r="D588" s="15" vm="2" t="e">
        <f t="shared" ref="D588" si="991">-2*(D585+0.1)</f>
        <v>#VALUE!</v>
      </c>
      <c r="E588" s="22">
        <f>2</f>
        <v>2</v>
      </c>
    </row>
    <row r="589" spans="1:7">
      <c r="C589" s="23" vm="2" t="e">
        <f t="shared" ref="C589" si="992">-EXP(-C585)</f>
        <v>#VALUE!</v>
      </c>
      <c r="D589" s="24" vm="2" t="e">
        <f t="shared" ref="D589" si="993">-1/D585^2</f>
        <v>#VALUE!</v>
      </c>
      <c r="E589" s="25">
        <f t="shared" ref="E589:E652" si="994">1.5</f>
        <v>1.5</v>
      </c>
    </row>
    <row r="590" spans="1:7">
      <c r="B590" t="s">
        <v>12</v>
      </c>
      <c r="C590" vm="2" t="e" cm="1">
        <f t="array" ref="C590">-MMULT(C586:E586,C587:E589)</f>
        <v>#VALUE!</v>
      </c>
      <c r="D590"/>
      <c r="E590"/>
      <c r="F590">
        <f>F583</f>
        <v>1</v>
      </c>
      <c r="G590"/>
    </row>
    <row r="591" spans="1:7">
      <c r="B591" t="s">
        <v>13</v>
      </c>
      <c r="C591" vm="2" t="e">
        <f t="shared" ref="C591" si="995">G586/SUMPRODUCT(_xlfn.ANCHORARRAY(C590),_xlfn.ANCHORARRAY(C590))</f>
        <v>#VALUE!</v>
      </c>
      <c r="D591"/>
      <c r="E591"/>
      <c r="G591"/>
    </row>
    <row r="592" spans="1:7">
      <c r="A592" t="s">
        <v>4</v>
      </c>
      <c r="B592" s="17" t="s">
        <v>5</v>
      </c>
      <c r="C592" vm="2" t="e" cm="1">
        <f t="array" ref="C592:E592">C585:E585+C591*(C590:E590)</f>
        <v>#VALUE!</v>
      </c>
      <c r="D592" vm="2" t="e">
        <v>#VALUE!</v>
      </c>
      <c r="E592" vm="2" t="e">
        <v>#VALUE!</v>
      </c>
      <c r="G592"/>
    </row>
    <row r="593" spans="1:7">
      <c r="A593" s="1">
        <f>1+A586</f>
        <v>85</v>
      </c>
      <c r="B593" t="s">
        <v>6</v>
      </c>
      <c r="C593" s="14" vm="2" t="e">
        <f t="shared" ref="C593:C656" si="996">3*C592-D592^3-0.5*C592*E592</f>
        <v>#VALUE!</v>
      </c>
      <c r="D593" s="15" vm="2" t="e">
        <f t="shared" ref="D593:D656" si="997">C592^2-(D592+0.1)^2+2*E592+0.9</f>
        <v>#VALUE!</v>
      </c>
      <c r="E593" s="15" vm="2" t="e">
        <f t="shared" ref="E593:E656" si="998">EXP(-C592)+1/D592+1.5*E592+2</f>
        <v>#VALUE!</v>
      </c>
      <c r="G593" s="1" vm="2" t="e">
        <f>0.5*(C593*C593+D593*D593+E593*E593)</f>
        <v>#VALUE!</v>
      </c>
    </row>
    <row r="594" spans="1:7">
      <c r="C594" s="18" vm="2" t="e">
        <f t="shared" ref="C594" si="999">3-0.5*E592</f>
        <v>#VALUE!</v>
      </c>
      <c r="D594" s="19" vm="2" t="e">
        <f t="shared" ref="D594" si="1000">-3*D592^2</f>
        <v>#VALUE!</v>
      </c>
      <c r="E594" s="20" vm="2" t="e">
        <f t="shared" ref="E594" si="1001">-0.5*C592</f>
        <v>#VALUE!</v>
      </c>
    </row>
    <row r="595" spans="1:7">
      <c r="B595" t="s">
        <v>7</v>
      </c>
      <c r="C595" s="21" vm="2" t="e">
        <f t="shared" ref="C595" si="1002">2*C592</f>
        <v>#VALUE!</v>
      </c>
      <c r="D595" s="15" vm="2" t="e">
        <f t="shared" ref="D595" si="1003">-2*(D592+0.1)</f>
        <v>#VALUE!</v>
      </c>
      <c r="E595" s="22">
        <f>2</f>
        <v>2</v>
      </c>
    </row>
    <row r="596" spans="1:7">
      <c r="C596" s="23" vm="2" t="e">
        <f t="shared" ref="C596" si="1004">-EXP(-C592)</f>
        <v>#VALUE!</v>
      </c>
      <c r="D596" s="24" vm="2" t="e">
        <f t="shared" ref="D596" si="1005">-1/D592^2</f>
        <v>#VALUE!</v>
      </c>
      <c r="E596" s="25">
        <f t="shared" ref="E596:E659" si="1006">1.5</f>
        <v>1.5</v>
      </c>
    </row>
    <row r="597" spans="1:7">
      <c r="B597" t="s">
        <v>12</v>
      </c>
      <c r="C597" vm="2" t="e" cm="1">
        <f t="array" ref="C597">-MMULT(C593:E593,C594:E596)</f>
        <v>#VALUE!</v>
      </c>
      <c r="D597"/>
      <c r="E597"/>
      <c r="F597">
        <f>F590</f>
        <v>1</v>
      </c>
      <c r="G597"/>
    </row>
    <row r="598" spans="1:7">
      <c r="B598" t="s">
        <v>13</v>
      </c>
      <c r="C598" vm="2" t="e">
        <f t="shared" ref="C598" si="1007">G593/SUMPRODUCT(_xlfn.ANCHORARRAY(C597),_xlfn.ANCHORARRAY(C597))</f>
        <v>#VALUE!</v>
      </c>
      <c r="D598"/>
      <c r="E598"/>
      <c r="G598"/>
    </row>
    <row r="599" spans="1:7">
      <c r="A599" t="s">
        <v>4</v>
      </c>
      <c r="B599" s="17" t="s">
        <v>5</v>
      </c>
      <c r="C599" vm="2" t="e" cm="1">
        <f t="array" ref="C599:E599">C592:E592+C598*(C597:E597)</f>
        <v>#VALUE!</v>
      </c>
      <c r="D599" vm="2" t="e">
        <v>#VALUE!</v>
      </c>
      <c r="E599" vm="2" t="e">
        <v>#VALUE!</v>
      </c>
      <c r="G599"/>
    </row>
    <row r="600" spans="1:7">
      <c r="A600" s="1">
        <f>1+A593</f>
        <v>86</v>
      </c>
      <c r="B600" t="s">
        <v>6</v>
      </c>
      <c r="C600" s="14" vm="2" t="e">
        <f t="shared" ref="C600:C663" si="1008">3*C599-D599^3-0.5*C599*E599</f>
        <v>#VALUE!</v>
      </c>
      <c r="D600" s="15" vm="2" t="e">
        <f t="shared" ref="D600:D663" si="1009">C599^2-(D599+0.1)^2+2*E599+0.9</f>
        <v>#VALUE!</v>
      </c>
      <c r="E600" s="15" vm="2" t="e">
        <f t="shared" ref="E600:E663" si="1010">EXP(-C599)+1/D599+1.5*E599+2</f>
        <v>#VALUE!</v>
      </c>
      <c r="G600" s="1" vm="2" t="e">
        <f>0.5*(C600*C600+D600*D600+E600*E600)</f>
        <v>#VALUE!</v>
      </c>
    </row>
    <row r="601" spans="1:7">
      <c r="C601" s="18" vm="2" t="e">
        <f t="shared" ref="C601" si="1011">3-0.5*E599</f>
        <v>#VALUE!</v>
      </c>
      <c r="D601" s="19" vm="2" t="e">
        <f t="shared" ref="D601" si="1012">-3*D599^2</f>
        <v>#VALUE!</v>
      </c>
      <c r="E601" s="20" vm="2" t="e">
        <f t="shared" ref="E601" si="1013">-0.5*C599</f>
        <v>#VALUE!</v>
      </c>
    </row>
    <row r="602" spans="1:7">
      <c r="B602" t="s">
        <v>7</v>
      </c>
      <c r="C602" s="21" vm="2" t="e">
        <f t="shared" ref="C602" si="1014">2*C599</f>
        <v>#VALUE!</v>
      </c>
      <c r="D602" s="15" vm="2" t="e">
        <f t="shared" ref="D602" si="1015">-2*(D599+0.1)</f>
        <v>#VALUE!</v>
      </c>
      <c r="E602" s="22">
        <f>2</f>
        <v>2</v>
      </c>
    </row>
    <row r="603" spans="1:7">
      <c r="C603" s="23" vm="2" t="e">
        <f t="shared" ref="C603" si="1016">-EXP(-C599)</f>
        <v>#VALUE!</v>
      </c>
      <c r="D603" s="24" vm="2" t="e">
        <f t="shared" ref="D603" si="1017">-1/D599^2</f>
        <v>#VALUE!</v>
      </c>
      <c r="E603" s="25">
        <f t="shared" ref="E603:E666" si="1018">1.5</f>
        <v>1.5</v>
      </c>
    </row>
    <row r="604" spans="1:7">
      <c r="B604" t="s">
        <v>12</v>
      </c>
      <c r="C604" vm="2" t="e" cm="1">
        <f t="array" ref="C604">-MMULT(C600:E600,C601:E603)</f>
        <v>#VALUE!</v>
      </c>
      <c r="D604"/>
      <c r="E604"/>
      <c r="F604">
        <f>F597</f>
        <v>1</v>
      </c>
      <c r="G604"/>
    </row>
    <row r="605" spans="1:7">
      <c r="B605" t="s">
        <v>13</v>
      </c>
      <c r="C605" vm="2" t="e">
        <f t="shared" ref="C605" si="1019">G600/SUMPRODUCT(_xlfn.ANCHORARRAY(C604),_xlfn.ANCHORARRAY(C604))</f>
        <v>#VALUE!</v>
      </c>
      <c r="D605"/>
      <c r="E605"/>
      <c r="G605"/>
    </row>
    <row r="606" spans="1:7">
      <c r="A606" t="s">
        <v>4</v>
      </c>
      <c r="B606" s="17" t="s">
        <v>5</v>
      </c>
      <c r="C606" vm="2" t="e" cm="1">
        <f t="array" ref="C606:E606">C599:E599+C605*(C604:E604)</f>
        <v>#VALUE!</v>
      </c>
      <c r="D606" vm="2" t="e">
        <v>#VALUE!</v>
      </c>
      <c r="E606" vm="2" t="e">
        <v>#VALUE!</v>
      </c>
      <c r="G606"/>
    </row>
    <row r="607" spans="1:7">
      <c r="A607" s="1">
        <f>1+A600</f>
        <v>87</v>
      </c>
      <c r="B607" t="s">
        <v>6</v>
      </c>
      <c r="C607" s="14" vm="2" t="e">
        <f t="shared" ref="C607:C670" si="1020">3*C606-D606^3-0.5*C606*E606</f>
        <v>#VALUE!</v>
      </c>
      <c r="D607" s="15" vm="2" t="e">
        <f t="shared" ref="D607:D670" si="1021">C606^2-(D606+0.1)^2+2*E606+0.9</f>
        <v>#VALUE!</v>
      </c>
      <c r="E607" s="15" vm="2" t="e">
        <f t="shared" ref="E607:E670" si="1022">EXP(-C606)+1/D606+1.5*E606+2</f>
        <v>#VALUE!</v>
      </c>
      <c r="G607" s="1" vm="2" t="e">
        <f>0.5*(C607*C607+D607*D607+E607*E607)</f>
        <v>#VALUE!</v>
      </c>
    </row>
    <row r="608" spans="1:7">
      <c r="C608" s="18" vm="2" t="e">
        <f t="shared" ref="C608" si="1023">3-0.5*E606</f>
        <v>#VALUE!</v>
      </c>
      <c r="D608" s="19" vm="2" t="e">
        <f t="shared" ref="D608" si="1024">-3*D606^2</f>
        <v>#VALUE!</v>
      </c>
      <c r="E608" s="20" vm="2" t="e">
        <f t="shared" ref="E608" si="1025">-0.5*C606</f>
        <v>#VALUE!</v>
      </c>
    </row>
    <row r="609" spans="1:7">
      <c r="B609" t="s">
        <v>7</v>
      </c>
      <c r="C609" s="21" vm="2" t="e">
        <f t="shared" ref="C609" si="1026">2*C606</f>
        <v>#VALUE!</v>
      </c>
      <c r="D609" s="15" vm="2" t="e">
        <f t="shared" ref="D609" si="1027">-2*(D606+0.1)</f>
        <v>#VALUE!</v>
      </c>
      <c r="E609" s="22">
        <f>2</f>
        <v>2</v>
      </c>
    </row>
    <row r="610" spans="1:7">
      <c r="C610" s="23" vm="2" t="e">
        <f t="shared" ref="C610" si="1028">-EXP(-C606)</f>
        <v>#VALUE!</v>
      </c>
      <c r="D610" s="24" vm="2" t="e">
        <f t="shared" ref="D610" si="1029">-1/D606^2</f>
        <v>#VALUE!</v>
      </c>
      <c r="E610" s="25">
        <f t="shared" ref="E610:E673" si="1030">1.5</f>
        <v>1.5</v>
      </c>
    </row>
    <row r="611" spans="1:7">
      <c r="B611" t="s">
        <v>12</v>
      </c>
      <c r="C611" vm="2" t="e" cm="1">
        <f t="array" ref="C611">-MMULT(C607:E607,C608:E610)</f>
        <v>#VALUE!</v>
      </c>
      <c r="D611"/>
      <c r="E611"/>
      <c r="F611">
        <f>F604</f>
        <v>1</v>
      </c>
      <c r="G611"/>
    </row>
    <row r="612" spans="1:7">
      <c r="B612" t="s">
        <v>13</v>
      </c>
      <c r="C612" vm="2" t="e">
        <f t="shared" ref="C612" si="1031">G607/SUMPRODUCT(_xlfn.ANCHORARRAY(C611),_xlfn.ANCHORARRAY(C611))</f>
        <v>#VALUE!</v>
      </c>
      <c r="D612"/>
      <c r="E612"/>
      <c r="G612"/>
    </row>
    <row r="613" spans="1:7">
      <c r="A613" t="s">
        <v>4</v>
      </c>
      <c r="B613" s="17" t="s">
        <v>5</v>
      </c>
      <c r="C613" vm="2" t="e" cm="1">
        <f t="array" ref="C613:E613">C606:E606+C612*(C611:E611)</f>
        <v>#VALUE!</v>
      </c>
      <c r="D613" vm="2" t="e">
        <v>#VALUE!</v>
      </c>
      <c r="E613" vm="2" t="e">
        <v>#VALUE!</v>
      </c>
      <c r="G613"/>
    </row>
    <row r="614" spans="1:7">
      <c r="A614" s="1">
        <f>1+A607</f>
        <v>88</v>
      </c>
      <c r="B614" t="s">
        <v>6</v>
      </c>
      <c r="C614" s="14" vm="2" t="e">
        <f t="shared" ref="C614:C677" si="1032">3*C613-D613^3-0.5*C613*E613</f>
        <v>#VALUE!</v>
      </c>
      <c r="D614" s="15" vm="2" t="e">
        <f t="shared" ref="D614:D677" si="1033">C613^2-(D613+0.1)^2+2*E613+0.9</f>
        <v>#VALUE!</v>
      </c>
      <c r="E614" s="15" vm="2" t="e">
        <f t="shared" ref="E614:E677" si="1034">EXP(-C613)+1/D613+1.5*E613+2</f>
        <v>#VALUE!</v>
      </c>
      <c r="G614" s="1" vm="2" t="e">
        <f>0.5*(C614*C614+D614*D614+E614*E614)</f>
        <v>#VALUE!</v>
      </c>
    </row>
    <row r="615" spans="1:7">
      <c r="C615" s="18" vm="2" t="e">
        <f t="shared" ref="C615" si="1035">3-0.5*E613</f>
        <v>#VALUE!</v>
      </c>
      <c r="D615" s="19" vm="2" t="e">
        <f t="shared" ref="D615" si="1036">-3*D613^2</f>
        <v>#VALUE!</v>
      </c>
      <c r="E615" s="20" vm="2" t="e">
        <f t="shared" ref="E615" si="1037">-0.5*C613</f>
        <v>#VALUE!</v>
      </c>
    </row>
    <row r="616" spans="1:7">
      <c r="B616" t="s">
        <v>7</v>
      </c>
      <c r="C616" s="21" vm="2" t="e">
        <f t="shared" ref="C616" si="1038">2*C613</f>
        <v>#VALUE!</v>
      </c>
      <c r="D616" s="15" vm="2" t="e">
        <f t="shared" ref="D616" si="1039">-2*(D613+0.1)</f>
        <v>#VALUE!</v>
      </c>
      <c r="E616" s="22">
        <f>2</f>
        <v>2</v>
      </c>
    </row>
    <row r="617" spans="1:7">
      <c r="C617" s="23" vm="2" t="e">
        <f t="shared" ref="C617" si="1040">-EXP(-C613)</f>
        <v>#VALUE!</v>
      </c>
      <c r="D617" s="24" vm="2" t="e">
        <f t="shared" ref="D617" si="1041">-1/D613^2</f>
        <v>#VALUE!</v>
      </c>
      <c r="E617" s="25">
        <f t="shared" ref="E617:E680" si="1042">1.5</f>
        <v>1.5</v>
      </c>
    </row>
    <row r="618" spans="1:7">
      <c r="B618" t="s">
        <v>12</v>
      </c>
      <c r="C618" vm="2" t="e" cm="1">
        <f t="array" ref="C618">-MMULT(C614:E614,C615:E617)</f>
        <v>#VALUE!</v>
      </c>
      <c r="D618"/>
      <c r="E618"/>
      <c r="F618">
        <f>F611</f>
        <v>1</v>
      </c>
      <c r="G618"/>
    </row>
    <row r="619" spans="1:7">
      <c r="B619" t="s">
        <v>13</v>
      </c>
      <c r="C619" vm="2" t="e">
        <f t="shared" ref="C619" si="1043">G614/SUMPRODUCT(_xlfn.ANCHORARRAY(C618),_xlfn.ANCHORARRAY(C618))</f>
        <v>#VALUE!</v>
      </c>
      <c r="D619"/>
      <c r="E619"/>
      <c r="G619"/>
    </row>
    <row r="620" spans="1:7">
      <c r="A620" t="s">
        <v>4</v>
      </c>
      <c r="B620" s="17" t="s">
        <v>5</v>
      </c>
      <c r="C620" vm="2" t="e" cm="1">
        <f t="array" ref="C620:E620">C613:E613+C619*(C618:E618)</f>
        <v>#VALUE!</v>
      </c>
      <c r="D620" vm="2" t="e">
        <v>#VALUE!</v>
      </c>
      <c r="E620" vm="2" t="e">
        <v>#VALUE!</v>
      </c>
      <c r="G620"/>
    </row>
    <row r="621" spans="1:7">
      <c r="A621" s="1">
        <f>1+A614</f>
        <v>89</v>
      </c>
      <c r="B621" t="s">
        <v>6</v>
      </c>
      <c r="C621" s="14" vm="2" t="e">
        <f t="shared" ref="C621:C684" si="1044">3*C620-D620^3-0.5*C620*E620</f>
        <v>#VALUE!</v>
      </c>
      <c r="D621" s="15" vm="2" t="e">
        <f t="shared" ref="D621:D684" si="1045">C620^2-(D620+0.1)^2+2*E620+0.9</f>
        <v>#VALUE!</v>
      </c>
      <c r="E621" s="15" vm="2" t="e">
        <f t="shared" ref="E621:E684" si="1046">EXP(-C620)+1/D620+1.5*E620+2</f>
        <v>#VALUE!</v>
      </c>
      <c r="G621" s="1" vm="2" t="e">
        <f>0.5*(C621*C621+D621*D621+E621*E621)</f>
        <v>#VALUE!</v>
      </c>
    </row>
    <row r="622" spans="1:7">
      <c r="C622" s="18" vm="2" t="e">
        <f t="shared" ref="C622" si="1047">3-0.5*E620</f>
        <v>#VALUE!</v>
      </c>
      <c r="D622" s="19" vm="2" t="e">
        <f t="shared" ref="D622" si="1048">-3*D620^2</f>
        <v>#VALUE!</v>
      </c>
      <c r="E622" s="20" vm="2" t="e">
        <f t="shared" ref="E622" si="1049">-0.5*C620</f>
        <v>#VALUE!</v>
      </c>
    </row>
    <row r="623" spans="1:7">
      <c r="B623" t="s">
        <v>7</v>
      </c>
      <c r="C623" s="21" vm="2" t="e">
        <f t="shared" ref="C623" si="1050">2*C620</f>
        <v>#VALUE!</v>
      </c>
      <c r="D623" s="15" vm="2" t="e">
        <f t="shared" ref="D623" si="1051">-2*(D620+0.1)</f>
        <v>#VALUE!</v>
      </c>
      <c r="E623" s="22">
        <f>2</f>
        <v>2</v>
      </c>
    </row>
    <row r="624" spans="1:7">
      <c r="C624" s="23" vm="2" t="e">
        <f t="shared" ref="C624" si="1052">-EXP(-C620)</f>
        <v>#VALUE!</v>
      </c>
      <c r="D624" s="24" vm="2" t="e">
        <f t="shared" ref="D624" si="1053">-1/D620^2</f>
        <v>#VALUE!</v>
      </c>
      <c r="E624" s="25">
        <f t="shared" ref="E624:E687" si="1054">1.5</f>
        <v>1.5</v>
      </c>
    </row>
    <row r="625" spans="1:7">
      <c r="B625" t="s">
        <v>12</v>
      </c>
      <c r="C625" vm="2" t="e" cm="1">
        <f t="array" ref="C625">-MMULT(C621:E621,C622:E624)</f>
        <v>#VALUE!</v>
      </c>
      <c r="D625"/>
      <c r="E625"/>
      <c r="F625">
        <f>F618</f>
        <v>1</v>
      </c>
      <c r="G625"/>
    </row>
    <row r="626" spans="1:7">
      <c r="B626" t="s">
        <v>13</v>
      </c>
      <c r="C626" vm="2" t="e">
        <f t="shared" ref="C626" si="1055">G621/SUMPRODUCT(_xlfn.ANCHORARRAY(C625),_xlfn.ANCHORARRAY(C625))</f>
        <v>#VALUE!</v>
      </c>
      <c r="D626"/>
      <c r="E626"/>
      <c r="G626"/>
    </row>
    <row r="627" spans="1:7">
      <c r="A627" t="s">
        <v>4</v>
      </c>
      <c r="B627" s="17" t="s">
        <v>5</v>
      </c>
      <c r="C627" vm="2" t="e" cm="1">
        <f t="array" ref="C627:E627">C620:E620+C626*(C625:E625)</f>
        <v>#VALUE!</v>
      </c>
      <c r="D627" vm="2" t="e">
        <v>#VALUE!</v>
      </c>
      <c r="E627" vm="2" t="e">
        <v>#VALUE!</v>
      </c>
      <c r="G627"/>
    </row>
    <row r="628" spans="1:7">
      <c r="A628" s="1">
        <f>1+A621</f>
        <v>90</v>
      </c>
      <c r="B628" t="s">
        <v>6</v>
      </c>
      <c r="C628" s="14" vm="2" t="e">
        <f ca="1" t="shared" ref="C628:C691" si="1056">3*C627-D627^3-0.5*C627*E627</f>
        <v>#VALUE!</v>
      </c>
      <c r="D628" s="15" vm="2" t="e">
        <f ca="1" t="shared" ref="D628:D691" si="1057">C627^2-(D627+0.1)^2+2*E627+0.9</f>
        <v>#VALUE!</v>
      </c>
      <c r="E628" s="15" vm="2" t="e">
        <f ca="1" t="shared" ref="E628:E691" si="1058">EXP(-C627)+1/D627+1.5*E627+2</f>
        <v>#VALUE!</v>
      </c>
      <c r="G628" s="1" vm="2" t="e">
        <f ca="1">0.5*(C628*C628+D628*D628+E628*E628)</f>
        <v>#VALUE!</v>
      </c>
    </row>
    <row r="629" spans="1:7">
      <c r="C629" s="18" vm="2" t="e">
        <f t="shared" ref="C629" si="1059">3-0.5*E627</f>
        <v>#VALUE!</v>
      </c>
      <c r="D629" s="19" vm="2" t="e">
        <f t="shared" ref="D629" si="1060">-3*D627^2</f>
        <v>#VALUE!</v>
      </c>
      <c r="E629" s="20" vm="2" t="e">
        <f t="shared" ref="E629" si="1061">-0.5*C627</f>
        <v>#VALUE!</v>
      </c>
    </row>
    <row r="630" spans="1:7">
      <c r="B630" t="s">
        <v>7</v>
      </c>
      <c r="C630" s="21" vm="2" t="e">
        <f t="shared" ref="C630" si="1062">2*C627</f>
        <v>#VALUE!</v>
      </c>
      <c r="D630" s="15" vm="2" t="e">
        <f t="shared" ref="D630" si="1063">-2*(D627+0.1)</f>
        <v>#VALUE!</v>
      </c>
      <c r="E630" s="22">
        <f>2</f>
        <v>2</v>
      </c>
    </row>
    <row r="631" spans="1:7">
      <c r="C631" s="23" vm="2" t="e">
        <f t="shared" ref="C631" si="1064">-EXP(-C627)</f>
        <v>#VALUE!</v>
      </c>
      <c r="D631" s="24" vm="2" t="e">
        <f t="shared" ref="D631" si="1065">-1/D627^2</f>
        <v>#VALUE!</v>
      </c>
      <c r="E631" s="25">
        <f t="shared" ref="E631:E694" si="1066">1.5</f>
        <v>1.5</v>
      </c>
    </row>
    <row r="632" spans="1:7">
      <c r="B632" t="s">
        <v>12</v>
      </c>
      <c r="C632" vm="2" t="e" cm="1">
        <f ca="1" t="array" ref="C632">-MMULT(C628:E628,C629:E631)</f>
        <v>#VALUE!</v>
      </c>
      <c r="D632"/>
      <c r="E632"/>
      <c r="F632">
        <f>F625</f>
        <v>1</v>
      </c>
      <c r="G632"/>
    </row>
    <row r="633" spans="1:7">
      <c r="B633" t="s">
        <v>13</v>
      </c>
      <c r="C633" vm="2" t="e">
        <f ca="1" t="shared" ref="C633" si="1067">G628/SUMPRODUCT(_xlfn.ANCHORARRAY(C632),_xlfn.ANCHORARRAY(C632))</f>
        <v>#VALUE!</v>
      </c>
      <c r="D633"/>
      <c r="E633"/>
      <c r="G633"/>
    </row>
    <row r="634" spans="1:7">
      <c r="A634" t="s">
        <v>4</v>
      </c>
      <c r="B634" s="17" t="s">
        <v>5</v>
      </c>
      <c r="C634" vm="2" t="e" cm="1">
        <f ca="1" t="array" ref="C634:E634">C627:E627+C633*(C632:E632)</f>
        <v>#VALUE!</v>
      </c>
      <c r="D634" vm="2" t="e">
        <v>#VALUE!</v>
      </c>
      <c r="E634" vm="2" t="e">
        <v>#VALUE!</v>
      </c>
      <c r="G634"/>
    </row>
    <row r="635" spans="1:7">
      <c r="A635" s="1">
        <f>1+A628</f>
        <v>91</v>
      </c>
      <c r="B635" t="s">
        <v>6</v>
      </c>
      <c r="C635" s="14" vm="2" t="e">
        <f ca="1" t="shared" ref="C635:C698" si="1068">3*C634-D634^3-0.5*C634*E634</f>
        <v>#VALUE!</v>
      </c>
      <c r="D635" s="15" vm="2" t="e">
        <f ca="1" t="shared" ref="D635:D698" si="1069">C634^2-(D634+0.1)^2+2*E634+0.9</f>
        <v>#VALUE!</v>
      </c>
      <c r="E635" s="15" vm="2" t="e">
        <f ca="1" t="shared" ref="E635:E698" si="1070">EXP(-C634)+1/D634+1.5*E634+2</f>
        <v>#VALUE!</v>
      </c>
      <c r="G635" s="1" vm="2" t="e">
        <f ca="1">0.5*(C635*C635+D635*D635+E635*E635)</f>
        <v>#VALUE!</v>
      </c>
    </row>
    <row r="636" spans="1:7">
      <c r="C636" s="18" vm="2" t="e">
        <f ca="1" t="shared" ref="C636" si="1071">3-0.5*E634</f>
        <v>#VALUE!</v>
      </c>
      <c r="D636" s="19" vm="2" t="e">
        <f ca="1" t="shared" ref="D636" si="1072">-3*D634^2</f>
        <v>#VALUE!</v>
      </c>
      <c r="E636" s="20" vm="2" t="e">
        <f ca="1" t="shared" ref="E636" si="1073">-0.5*C634</f>
        <v>#VALUE!</v>
      </c>
    </row>
    <row r="637" spans="1:7">
      <c r="B637" t="s">
        <v>7</v>
      </c>
      <c r="C637" s="21" vm="2" t="e">
        <f ca="1" t="shared" ref="C637" si="1074">2*C634</f>
        <v>#VALUE!</v>
      </c>
      <c r="D637" s="15" vm="2" t="e">
        <f ca="1" t="shared" ref="D637" si="1075">-2*(D634+0.1)</f>
        <v>#VALUE!</v>
      </c>
      <c r="E637" s="22">
        <f>2</f>
        <v>2</v>
      </c>
    </row>
    <row r="638" spans="1:7">
      <c r="C638" s="23" vm="2" t="e">
        <f ca="1" t="shared" ref="C638" si="1076">-EXP(-C634)</f>
        <v>#VALUE!</v>
      </c>
      <c r="D638" s="24" vm="2" t="e">
        <f ca="1" t="shared" ref="D638" si="1077">-1/D634^2</f>
        <v>#VALUE!</v>
      </c>
      <c r="E638" s="25">
        <f t="shared" ref="E638:E701" si="1078">1.5</f>
        <v>1.5</v>
      </c>
    </row>
    <row r="639" spans="1:7">
      <c r="B639" t="s">
        <v>12</v>
      </c>
      <c r="C639" vm="2" t="e" cm="1">
        <f ca="1" t="array" ref="C639">-MMULT(C635:E635,C636:E638)</f>
        <v>#VALUE!</v>
      </c>
      <c r="D639"/>
      <c r="E639"/>
      <c r="F639">
        <f>F632</f>
        <v>1</v>
      </c>
      <c r="G639"/>
    </row>
    <row r="640" spans="1:7">
      <c r="B640" t="s">
        <v>13</v>
      </c>
      <c r="C640" vm="2" t="e">
        <f ca="1" t="shared" ref="C640" si="1079">G635/SUMPRODUCT(_xlfn.ANCHORARRAY(C639),_xlfn.ANCHORARRAY(C639))</f>
        <v>#VALUE!</v>
      </c>
      <c r="D640"/>
      <c r="E640"/>
      <c r="G640"/>
    </row>
    <row r="641" spans="1:7">
      <c r="A641" t="s">
        <v>4</v>
      </c>
      <c r="B641" s="17" t="s">
        <v>5</v>
      </c>
      <c r="C641" vm="2" t="e" cm="1">
        <f ca="1" t="array" ref="C641:E641">C634:E634+C640*(C639:E639)</f>
        <v>#VALUE!</v>
      </c>
      <c r="D641" vm="2" t="e">
        <v>#VALUE!</v>
      </c>
      <c r="E641" vm="2" t="e">
        <v>#VALUE!</v>
      </c>
      <c r="G641"/>
    </row>
    <row r="642" spans="1:7">
      <c r="A642" s="1">
        <f>1+A635</f>
        <v>92</v>
      </c>
      <c r="B642" t="s">
        <v>6</v>
      </c>
      <c r="C642" s="14" vm="2" t="e">
        <f ca="1" t="shared" ref="C642:C705" si="1080">3*C641-D641^3-0.5*C641*E641</f>
        <v>#VALUE!</v>
      </c>
      <c r="D642" s="15" vm="2" t="e">
        <f ca="1" t="shared" ref="D642:D705" si="1081">C641^2-(D641+0.1)^2+2*E641+0.9</f>
        <v>#VALUE!</v>
      </c>
      <c r="E642" s="15" vm="2" t="e">
        <f ca="1" t="shared" ref="E642:E705" si="1082">EXP(-C641)+1/D641+1.5*E641+2</f>
        <v>#VALUE!</v>
      </c>
      <c r="G642" s="1" vm="2" t="e">
        <f ca="1">0.5*(C642*C642+D642*D642+E642*E642)</f>
        <v>#VALUE!</v>
      </c>
    </row>
    <row r="643" spans="1:7">
      <c r="C643" s="18" vm="2" t="e">
        <f ca="1" t="shared" ref="C643" si="1083">3-0.5*E641</f>
        <v>#VALUE!</v>
      </c>
      <c r="D643" s="19" vm="2" t="e">
        <f ca="1" t="shared" ref="D643" si="1084">-3*D641^2</f>
        <v>#VALUE!</v>
      </c>
      <c r="E643" s="20" vm="2" t="e">
        <f ca="1" t="shared" ref="E643" si="1085">-0.5*C641</f>
        <v>#VALUE!</v>
      </c>
    </row>
    <row r="644" spans="1:7">
      <c r="B644" t="s">
        <v>7</v>
      </c>
      <c r="C644" s="21" vm="2" t="e">
        <f ca="1" t="shared" ref="C644" si="1086">2*C641</f>
        <v>#VALUE!</v>
      </c>
      <c r="D644" s="15" vm="2" t="e">
        <f ca="1" t="shared" ref="D644" si="1087">-2*(D641+0.1)</f>
        <v>#VALUE!</v>
      </c>
      <c r="E644" s="22">
        <f>2</f>
        <v>2</v>
      </c>
    </row>
    <row r="645" spans="1:7">
      <c r="C645" s="23" vm="2" t="e">
        <f ca="1" t="shared" ref="C645" si="1088">-EXP(-C641)</f>
        <v>#VALUE!</v>
      </c>
      <c r="D645" s="24" vm="2" t="e">
        <f ca="1" t="shared" ref="D645" si="1089">-1/D641^2</f>
        <v>#VALUE!</v>
      </c>
      <c r="E645" s="25">
        <f t="shared" ref="E645:E708" si="1090">1.5</f>
        <v>1.5</v>
      </c>
    </row>
    <row r="646" spans="1:7">
      <c r="B646" t="s">
        <v>12</v>
      </c>
      <c r="C646" vm="2" t="e" cm="1">
        <f ca="1" t="array" ref="C646">-MMULT(C642:E642,C643:E645)</f>
        <v>#VALUE!</v>
      </c>
      <c r="D646"/>
      <c r="E646"/>
      <c r="F646">
        <f>F639</f>
        <v>1</v>
      </c>
      <c r="G646"/>
    </row>
    <row r="647" spans="1:7">
      <c r="B647" t="s">
        <v>13</v>
      </c>
      <c r="C647" vm="2" t="e">
        <f ca="1" t="shared" ref="C647" si="1091">G642/SUMPRODUCT(_xlfn.ANCHORARRAY(C646),_xlfn.ANCHORARRAY(C646))</f>
        <v>#VALUE!</v>
      </c>
      <c r="D647"/>
      <c r="E647"/>
      <c r="G647"/>
    </row>
    <row r="648" spans="1:7">
      <c r="A648" t="s">
        <v>4</v>
      </c>
      <c r="B648" s="17" t="s">
        <v>5</v>
      </c>
      <c r="C648" vm="2" t="e" cm="1">
        <f ca="1" t="array" ref="C648:E648">C641:E641+C647*(C646:E646)</f>
        <v>#VALUE!</v>
      </c>
      <c r="D648" vm="2" t="e">
        <v>#VALUE!</v>
      </c>
      <c r="E648" vm="2" t="e">
        <v>#VALUE!</v>
      </c>
      <c r="G648"/>
    </row>
    <row r="649" spans="1:7">
      <c r="A649" s="1">
        <f>1+A642</f>
        <v>93</v>
      </c>
      <c r="B649" t="s">
        <v>6</v>
      </c>
      <c r="C649" s="14" vm="2" t="e">
        <f ca="1" t="shared" ref="C649:C712" si="1092">3*C648-D648^3-0.5*C648*E648</f>
        <v>#VALUE!</v>
      </c>
      <c r="D649" s="15" vm="2" t="e">
        <f ca="1" t="shared" ref="D649:D712" si="1093">C648^2-(D648+0.1)^2+2*E648+0.9</f>
        <v>#VALUE!</v>
      </c>
      <c r="E649" s="15" vm="2" t="e">
        <f ca="1" t="shared" ref="E649:E712" si="1094">EXP(-C648)+1/D648+1.5*E648+2</f>
        <v>#VALUE!</v>
      </c>
      <c r="G649" s="1" vm="2" t="e">
        <f ca="1">0.5*(C649*C649+D649*D649+E649*E649)</f>
        <v>#VALUE!</v>
      </c>
    </row>
    <row r="650" spans="1:7">
      <c r="C650" s="18" vm="2" t="e">
        <f ca="1" t="shared" ref="C650" si="1095">3-0.5*E648</f>
        <v>#VALUE!</v>
      </c>
      <c r="D650" s="19" vm="2" t="e">
        <f ca="1" t="shared" ref="D650" si="1096">-3*D648^2</f>
        <v>#VALUE!</v>
      </c>
      <c r="E650" s="20" vm="2" t="e">
        <f ca="1" t="shared" ref="E650" si="1097">-0.5*C648</f>
        <v>#VALUE!</v>
      </c>
    </row>
    <row r="651" spans="1:7">
      <c r="B651" t="s">
        <v>7</v>
      </c>
      <c r="C651" s="21" vm="2" t="e">
        <f ca="1" t="shared" ref="C651" si="1098">2*C648</f>
        <v>#VALUE!</v>
      </c>
      <c r="D651" s="15" vm="2" t="e">
        <f ca="1" t="shared" ref="D651" si="1099">-2*(D648+0.1)</f>
        <v>#VALUE!</v>
      </c>
      <c r="E651" s="22">
        <f>2</f>
        <v>2</v>
      </c>
    </row>
    <row r="652" spans="1:7">
      <c r="C652" s="23" vm="2" t="e">
        <f ca="1" t="shared" ref="C652" si="1100">-EXP(-C648)</f>
        <v>#VALUE!</v>
      </c>
      <c r="D652" s="24" vm="2" t="e">
        <f ca="1" t="shared" ref="D652" si="1101">-1/D648^2</f>
        <v>#VALUE!</v>
      </c>
      <c r="E652" s="25">
        <f t="shared" ref="E652:E715" si="1102">1.5</f>
        <v>1.5</v>
      </c>
    </row>
    <row r="653" spans="1:7">
      <c r="B653" t="s">
        <v>12</v>
      </c>
      <c r="C653" vm="2" t="e" cm="1">
        <f ca="1" t="array" ref="C653">-MMULT(C649:E649,C650:E652)</f>
        <v>#VALUE!</v>
      </c>
      <c r="D653"/>
      <c r="E653"/>
      <c r="F653">
        <f>F646</f>
        <v>1</v>
      </c>
      <c r="G653"/>
    </row>
    <row r="654" spans="1:7">
      <c r="B654" t="s">
        <v>13</v>
      </c>
      <c r="C654" vm="2" t="e">
        <f ca="1" t="shared" ref="C654" si="1103">G649/SUMPRODUCT(_xlfn.ANCHORARRAY(C653),_xlfn.ANCHORARRAY(C653))</f>
        <v>#VALUE!</v>
      </c>
      <c r="D654"/>
      <c r="E654"/>
      <c r="G654"/>
    </row>
    <row r="655" spans="1:7">
      <c r="A655" t="s">
        <v>4</v>
      </c>
      <c r="B655" s="17" t="s">
        <v>5</v>
      </c>
      <c r="C655" vm="2" t="e" cm="1">
        <f ca="1" t="array" ref="C655:E655">C648:E648+C654*(C653:E653)</f>
        <v>#VALUE!</v>
      </c>
      <c r="D655" vm="2" t="e">
        <v>#VALUE!</v>
      </c>
      <c r="E655" vm="2" t="e">
        <v>#VALUE!</v>
      </c>
      <c r="G655"/>
    </row>
    <row r="656" spans="1:7">
      <c r="A656" s="1">
        <f>1+A649</f>
        <v>94</v>
      </c>
      <c r="B656" t="s">
        <v>6</v>
      </c>
      <c r="C656" s="14" vm="2" t="e">
        <f ca="1" t="shared" ref="C656:C719" si="1104">3*C655-D655^3-0.5*C655*E655</f>
        <v>#VALUE!</v>
      </c>
      <c r="D656" s="15" vm="2" t="e">
        <f ca="1" t="shared" ref="D656:D719" si="1105">C655^2-(D655+0.1)^2+2*E655+0.9</f>
        <v>#VALUE!</v>
      </c>
      <c r="E656" s="15" vm="2" t="e">
        <f ca="1" t="shared" ref="E656:E719" si="1106">EXP(-C655)+1/D655+1.5*E655+2</f>
        <v>#VALUE!</v>
      </c>
      <c r="G656" s="1" vm="2" t="e">
        <f ca="1">0.5*(C656*C656+D656*D656+E656*E656)</f>
        <v>#VALUE!</v>
      </c>
    </row>
    <row r="657" spans="1:7">
      <c r="C657" s="18" vm="2" t="e">
        <f ca="1" t="shared" ref="C657" si="1107">3-0.5*E655</f>
        <v>#VALUE!</v>
      </c>
      <c r="D657" s="19" vm="2" t="e">
        <f ca="1" t="shared" ref="D657" si="1108">-3*D655^2</f>
        <v>#VALUE!</v>
      </c>
      <c r="E657" s="20" vm="2" t="e">
        <f ca="1" t="shared" ref="E657" si="1109">-0.5*C655</f>
        <v>#VALUE!</v>
      </c>
    </row>
    <row r="658" spans="1:7">
      <c r="B658" t="s">
        <v>7</v>
      </c>
      <c r="C658" s="21" vm="2" t="e">
        <f ca="1" t="shared" ref="C658" si="1110">2*C655</f>
        <v>#VALUE!</v>
      </c>
      <c r="D658" s="15" vm="2" t="e">
        <f ca="1" t="shared" ref="D658" si="1111">-2*(D655+0.1)</f>
        <v>#VALUE!</v>
      </c>
      <c r="E658" s="22">
        <f>2</f>
        <v>2</v>
      </c>
    </row>
    <row r="659" spans="1:7">
      <c r="C659" s="23" vm="2" t="e">
        <f ca="1" t="shared" ref="C659" si="1112">-EXP(-C655)</f>
        <v>#VALUE!</v>
      </c>
      <c r="D659" s="24" vm="2" t="e">
        <f ca="1" t="shared" ref="D659" si="1113">-1/D655^2</f>
        <v>#VALUE!</v>
      </c>
      <c r="E659" s="25">
        <f t="shared" ref="E659:E722" si="1114">1.5</f>
        <v>1.5</v>
      </c>
    </row>
    <row r="660" spans="1:7">
      <c r="B660" t="s">
        <v>12</v>
      </c>
      <c r="C660" vm="2" t="e" cm="1">
        <f ca="1" t="array" ref="C660">-MMULT(C656:E656,C657:E659)</f>
        <v>#VALUE!</v>
      </c>
      <c r="D660"/>
      <c r="E660"/>
      <c r="F660">
        <f>F653</f>
        <v>1</v>
      </c>
      <c r="G660"/>
    </row>
    <row r="661" spans="1:7">
      <c r="B661" t="s">
        <v>13</v>
      </c>
      <c r="C661" vm="2" t="e">
        <f ca="1" t="shared" ref="C661" si="1115">G656/SUMPRODUCT(_xlfn.ANCHORARRAY(C660),_xlfn.ANCHORARRAY(C660))</f>
        <v>#VALUE!</v>
      </c>
      <c r="D661"/>
      <c r="E661"/>
      <c r="G661"/>
    </row>
    <row r="662" spans="1:7">
      <c r="A662" t="s">
        <v>4</v>
      </c>
      <c r="B662" s="17" t="s">
        <v>5</v>
      </c>
      <c r="C662" vm="2" t="e" cm="1">
        <f ca="1" t="array" ref="C662:E662">C655:E655+C661*(C660:E660)</f>
        <v>#VALUE!</v>
      </c>
      <c r="D662" vm="2" t="e">
        <v>#VALUE!</v>
      </c>
      <c r="E662" vm="2" t="e">
        <v>#VALUE!</v>
      </c>
      <c r="G662"/>
    </row>
    <row r="663" spans="1:7">
      <c r="A663" s="1">
        <f>1+A656</f>
        <v>95</v>
      </c>
      <c r="B663" t="s">
        <v>6</v>
      </c>
      <c r="C663" s="14" vm="2" t="e">
        <f ca="1" t="shared" ref="C663:C726" si="1116">3*C662-D662^3-0.5*C662*E662</f>
        <v>#VALUE!</v>
      </c>
      <c r="D663" s="15" vm="2" t="e">
        <f ca="1" t="shared" ref="D663:D726" si="1117">C662^2-(D662+0.1)^2+2*E662+0.9</f>
        <v>#VALUE!</v>
      </c>
      <c r="E663" s="15" vm="2" t="e">
        <f ca="1" t="shared" ref="E663:E726" si="1118">EXP(-C662)+1/D662+1.5*E662+2</f>
        <v>#VALUE!</v>
      </c>
      <c r="G663" s="1" vm="2" t="e">
        <f ca="1">0.5*(C663*C663+D663*D663+E663*E663)</f>
        <v>#VALUE!</v>
      </c>
    </row>
    <row r="664" spans="1:7">
      <c r="C664" s="18" vm="2" t="e">
        <f ca="1" t="shared" ref="C664" si="1119">3-0.5*E662</f>
        <v>#VALUE!</v>
      </c>
      <c r="D664" s="19" vm="2" t="e">
        <f ca="1" t="shared" ref="D664" si="1120">-3*D662^2</f>
        <v>#VALUE!</v>
      </c>
      <c r="E664" s="20" vm="2" t="e">
        <f ca="1" t="shared" ref="E664" si="1121">-0.5*C662</f>
        <v>#VALUE!</v>
      </c>
    </row>
    <row r="665" spans="1:7">
      <c r="B665" t="s">
        <v>7</v>
      </c>
      <c r="C665" s="21" vm="2" t="e">
        <f ca="1" t="shared" ref="C665" si="1122">2*C662</f>
        <v>#VALUE!</v>
      </c>
      <c r="D665" s="15" vm="2" t="e">
        <f ca="1" t="shared" ref="D665" si="1123">-2*(D662+0.1)</f>
        <v>#VALUE!</v>
      </c>
      <c r="E665" s="22">
        <f>2</f>
        <v>2</v>
      </c>
    </row>
    <row r="666" spans="1:7">
      <c r="C666" s="23" vm="2" t="e">
        <f ca="1" t="shared" ref="C666" si="1124">-EXP(-C662)</f>
        <v>#VALUE!</v>
      </c>
      <c r="D666" s="24" vm="2" t="e">
        <f ca="1" t="shared" ref="D666" si="1125">-1/D662^2</f>
        <v>#VALUE!</v>
      </c>
      <c r="E666" s="25">
        <f t="shared" ref="E666:E729" si="1126">1.5</f>
        <v>1.5</v>
      </c>
    </row>
    <row r="667" spans="1:7">
      <c r="B667" t="s">
        <v>12</v>
      </c>
      <c r="C667" vm="2" t="e" cm="1">
        <f ca="1" t="array" ref="C667">-MMULT(C663:E663,C664:E666)</f>
        <v>#VALUE!</v>
      </c>
      <c r="D667"/>
      <c r="E667"/>
      <c r="F667">
        <f>F660</f>
        <v>1</v>
      </c>
      <c r="G667"/>
    </row>
    <row r="668" spans="1:7">
      <c r="B668" t="s">
        <v>13</v>
      </c>
      <c r="C668" vm="2" t="e">
        <f ca="1" t="shared" ref="C668" si="1127">G663/SUMPRODUCT(_xlfn.ANCHORARRAY(C667),_xlfn.ANCHORARRAY(C667))</f>
        <v>#VALUE!</v>
      </c>
      <c r="D668"/>
      <c r="E668"/>
      <c r="G668"/>
    </row>
    <row r="669" spans="1:7">
      <c r="A669" t="s">
        <v>4</v>
      </c>
      <c r="B669" s="17" t="s">
        <v>5</v>
      </c>
      <c r="C669" vm="2" t="e" cm="1">
        <f ca="1" t="array" ref="C669:E669">C662:E662+C668*(C667:E667)</f>
        <v>#VALUE!</v>
      </c>
      <c r="D669" vm="2" t="e">
        <v>#VALUE!</v>
      </c>
      <c r="E669" vm="2" t="e">
        <v>#VALUE!</v>
      </c>
      <c r="G669"/>
    </row>
    <row r="670" spans="1:7">
      <c r="A670" s="1">
        <f>1+A663</f>
        <v>96</v>
      </c>
      <c r="B670" t="s">
        <v>6</v>
      </c>
      <c r="C670" s="14" vm="2" t="e">
        <f ca="1" t="shared" ref="C670:C733" si="1128">3*C669-D669^3-0.5*C669*E669</f>
        <v>#VALUE!</v>
      </c>
      <c r="D670" s="15" vm="2" t="e">
        <f ca="1" t="shared" ref="D670:D733" si="1129">C669^2-(D669+0.1)^2+2*E669+0.9</f>
        <v>#VALUE!</v>
      </c>
      <c r="E670" s="15" vm="2" t="e">
        <f ca="1" t="shared" ref="E670:E733" si="1130">EXP(-C669)+1/D669+1.5*E669+2</f>
        <v>#VALUE!</v>
      </c>
      <c r="G670" s="1" vm="2" t="e">
        <f ca="1">0.5*(C670*C670+D670*D670+E670*E670)</f>
        <v>#VALUE!</v>
      </c>
    </row>
    <row r="671" spans="1:7">
      <c r="C671" s="18" vm="2" t="e">
        <f ca="1" t="shared" ref="C671" si="1131">3-0.5*E669</f>
        <v>#VALUE!</v>
      </c>
      <c r="D671" s="19" vm="2" t="e">
        <f ca="1" t="shared" ref="D671" si="1132">-3*D669^2</f>
        <v>#VALUE!</v>
      </c>
      <c r="E671" s="20" vm="2" t="e">
        <f ca="1" t="shared" ref="E671" si="1133">-0.5*C669</f>
        <v>#VALUE!</v>
      </c>
    </row>
    <row r="672" spans="1:7">
      <c r="B672" t="s">
        <v>7</v>
      </c>
      <c r="C672" s="21" vm="2" t="e">
        <f ca="1" t="shared" ref="C672" si="1134">2*C669</f>
        <v>#VALUE!</v>
      </c>
      <c r="D672" s="15" vm="2" t="e">
        <f ca="1" t="shared" ref="D672" si="1135">-2*(D669+0.1)</f>
        <v>#VALUE!</v>
      </c>
      <c r="E672" s="22">
        <f>2</f>
        <v>2</v>
      </c>
    </row>
    <row r="673" spans="1:7">
      <c r="C673" s="23" vm="2" t="e">
        <f ca="1" t="shared" ref="C673" si="1136">-EXP(-C669)</f>
        <v>#VALUE!</v>
      </c>
      <c r="D673" s="24" vm="2" t="e">
        <f ca="1" t="shared" ref="D673" si="1137">-1/D669^2</f>
        <v>#VALUE!</v>
      </c>
      <c r="E673" s="25">
        <f t="shared" ref="E673:E736" si="1138">1.5</f>
        <v>1.5</v>
      </c>
    </row>
    <row r="674" spans="1:7">
      <c r="B674" t="s">
        <v>12</v>
      </c>
      <c r="C674" vm="2" t="e" cm="1">
        <f ca="1" t="array" ref="C674">-MMULT(C670:E670,C671:E673)</f>
        <v>#VALUE!</v>
      </c>
      <c r="D674"/>
      <c r="E674"/>
      <c r="F674">
        <f>F667</f>
        <v>1</v>
      </c>
      <c r="G674"/>
    </row>
    <row r="675" spans="1:7">
      <c r="B675" t="s">
        <v>13</v>
      </c>
      <c r="C675" vm="2" t="e">
        <f ca="1" t="shared" ref="C675" si="1139">G670/SUMPRODUCT(_xlfn.ANCHORARRAY(C674),_xlfn.ANCHORARRAY(C674))</f>
        <v>#VALUE!</v>
      </c>
      <c r="D675"/>
      <c r="E675"/>
      <c r="G675"/>
    </row>
    <row r="676" spans="1:7">
      <c r="A676" t="s">
        <v>4</v>
      </c>
      <c r="B676" s="17" t="s">
        <v>5</v>
      </c>
      <c r="C676" vm="2" t="e" cm="1">
        <f ca="1" t="array" ref="C676:E676">C669:E669+C675*(C674:E674)</f>
        <v>#VALUE!</v>
      </c>
      <c r="D676" vm="2" t="e">
        <v>#VALUE!</v>
      </c>
      <c r="E676" vm="2" t="e">
        <v>#VALUE!</v>
      </c>
      <c r="G676"/>
    </row>
    <row r="677" spans="1:7">
      <c r="A677" s="1">
        <f>1+A670</f>
        <v>97</v>
      </c>
      <c r="B677" t="s">
        <v>6</v>
      </c>
      <c r="C677" s="14" vm="2" t="e">
        <f ca="1" t="shared" ref="C677:C740" si="1140">3*C676-D676^3-0.5*C676*E676</f>
        <v>#VALUE!</v>
      </c>
      <c r="D677" s="15" vm="2" t="e">
        <f ca="1" t="shared" ref="D677:D740" si="1141">C676^2-(D676+0.1)^2+2*E676+0.9</f>
        <v>#VALUE!</v>
      </c>
      <c r="E677" s="15" vm="2" t="e">
        <f ca="1" t="shared" ref="E677:E740" si="1142">EXP(-C676)+1/D676+1.5*E676+2</f>
        <v>#VALUE!</v>
      </c>
      <c r="G677" s="1" vm="2" t="e">
        <f ca="1">0.5*(C677*C677+D677*D677+E677*E677)</f>
        <v>#VALUE!</v>
      </c>
    </row>
    <row r="678" spans="1:7">
      <c r="C678" s="18" vm="2" t="e">
        <f ca="1" t="shared" ref="C678" si="1143">3-0.5*E676</f>
        <v>#VALUE!</v>
      </c>
      <c r="D678" s="19" vm="2" t="e">
        <f ca="1" t="shared" ref="D678" si="1144">-3*D676^2</f>
        <v>#VALUE!</v>
      </c>
      <c r="E678" s="20" vm="2" t="e">
        <f ca="1" t="shared" ref="E678" si="1145">-0.5*C676</f>
        <v>#VALUE!</v>
      </c>
    </row>
    <row r="679" spans="1:7">
      <c r="B679" t="s">
        <v>7</v>
      </c>
      <c r="C679" s="21" vm="2" t="e">
        <f ca="1" t="shared" ref="C679" si="1146">2*C676</f>
        <v>#VALUE!</v>
      </c>
      <c r="D679" s="15" vm="2" t="e">
        <f ca="1" t="shared" ref="D679" si="1147">-2*(D676+0.1)</f>
        <v>#VALUE!</v>
      </c>
      <c r="E679" s="22">
        <f>2</f>
        <v>2</v>
      </c>
    </row>
    <row r="680" spans="1:7">
      <c r="C680" s="23" vm="2" t="e">
        <f ca="1" t="shared" ref="C680" si="1148">-EXP(-C676)</f>
        <v>#VALUE!</v>
      </c>
      <c r="D680" s="24" vm="2" t="e">
        <f ca="1" t="shared" ref="D680" si="1149">-1/D676^2</f>
        <v>#VALUE!</v>
      </c>
      <c r="E680" s="25">
        <f t="shared" ref="E680:E711" si="1150">1.5</f>
        <v>1.5</v>
      </c>
    </row>
    <row r="681" spans="1:7">
      <c r="B681" t="s">
        <v>12</v>
      </c>
      <c r="C681" vm="2" t="e" cm="1">
        <f ca="1" t="array" ref="C681">-MMULT(C677:E677,C678:E680)</f>
        <v>#VALUE!</v>
      </c>
      <c r="D681"/>
      <c r="E681"/>
      <c r="F681">
        <f>F674</f>
        <v>1</v>
      </c>
      <c r="G681"/>
    </row>
    <row r="682" spans="1:7">
      <c r="B682" t="s">
        <v>13</v>
      </c>
      <c r="C682" vm="2" t="e">
        <f ca="1" t="shared" ref="C682" si="1151">G677/SUMPRODUCT(_xlfn.ANCHORARRAY(C681),_xlfn.ANCHORARRAY(C681))</f>
        <v>#VALUE!</v>
      </c>
      <c r="D682"/>
      <c r="E682"/>
      <c r="G682"/>
    </row>
    <row r="683" spans="1:7">
      <c r="A683" t="s">
        <v>4</v>
      </c>
      <c r="B683" s="17" t="s">
        <v>5</v>
      </c>
      <c r="C683" vm="2" t="e" cm="1">
        <f ca="1" t="array" ref="C683:E683">C676:E676+C682*(C681:E681)</f>
        <v>#VALUE!</v>
      </c>
      <c r="D683" vm="2" t="e">
        <v>#VALUE!</v>
      </c>
      <c r="E683" vm="2" t="e">
        <v>#VALUE!</v>
      </c>
      <c r="G683"/>
    </row>
    <row r="684" spans="1:7">
      <c r="A684" s="1">
        <f>1+A677</f>
        <v>98</v>
      </c>
      <c r="B684" t="s">
        <v>6</v>
      </c>
      <c r="C684" s="14" vm="2" t="e">
        <f ca="1" t="shared" ref="C684:C715" si="1152">3*C683-D683^3-0.5*C683*E683</f>
        <v>#VALUE!</v>
      </c>
      <c r="D684" s="15" vm="2" t="e">
        <f ca="1" t="shared" ref="D684:D715" si="1153">C683^2-(D683+0.1)^2+2*E683+0.9</f>
        <v>#VALUE!</v>
      </c>
      <c r="E684" s="15" vm="2" t="e">
        <f ca="1" t="shared" ref="E684:E715" si="1154">EXP(-C683)+1/D683+1.5*E683+2</f>
        <v>#VALUE!</v>
      </c>
      <c r="G684" s="1" vm="2" t="e">
        <f ca="1">0.5*(C684*C684+D684*D684+E684*E684)</f>
        <v>#VALUE!</v>
      </c>
    </row>
    <row r="685" spans="1:7">
      <c r="C685" s="18" vm="2" t="e">
        <f ca="1" t="shared" ref="C685" si="1155">3-0.5*E683</f>
        <v>#VALUE!</v>
      </c>
      <c r="D685" s="19" vm="2" t="e">
        <f ca="1" t="shared" ref="D685" si="1156">-3*D683^2</f>
        <v>#VALUE!</v>
      </c>
      <c r="E685" s="20" vm="2" t="e">
        <f ca="1" t="shared" ref="E685" si="1157">-0.5*C683</f>
        <v>#VALUE!</v>
      </c>
    </row>
    <row r="686" spans="1:7">
      <c r="B686" t="s">
        <v>7</v>
      </c>
      <c r="C686" s="21" vm="2" t="e">
        <f ca="1" t="shared" ref="C686" si="1158">2*C683</f>
        <v>#VALUE!</v>
      </c>
      <c r="D686" s="15" vm="2" t="e">
        <f ca="1" t="shared" ref="D686" si="1159">-2*(D683+0.1)</f>
        <v>#VALUE!</v>
      </c>
      <c r="E686" s="22">
        <f>2</f>
        <v>2</v>
      </c>
    </row>
    <row r="687" spans="1:7">
      <c r="C687" s="23" vm="2" t="e">
        <f ca="1" t="shared" ref="C687" si="1160">-EXP(-C683)</f>
        <v>#VALUE!</v>
      </c>
      <c r="D687" s="24" vm="2" t="e">
        <f ca="1" t="shared" ref="D687" si="1161">-1/D683^2</f>
        <v>#VALUE!</v>
      </c>
      <c r="E687" s="25">
        <f t="shared" ref="E687:E718" si="1162">1.5</f>
        <v>1.5</v>
      </c>
    </row>
    <row r="688" spans="1:7">
      <c r="B688" t="s">
        <v>12</v>
      </c>
      <c r="C688" vm="2" t="e" cm="1">
        <f ca="1" t="array" ref="C688">-MMULT(C684:E684,C685:E687)</f>
        <v>#VALUE!</v>
      </c>
      <c r="D688"/>
      <c r="E688"/>
      <c r="F688">
        <f>F681</f>
        <v>1</v>
      </c>
      <c r="G688"/>
    </row>
    <row r="689" spans="1:7">
      <c r="B689" t="s">
        <v>13</v>
      </c>
      <c r="C689" vm="2" t="e">
        <f ca="1" t="shared" ref="C689" si="1163">G684/SUMPRODUCT(_xlfn.ANCHORARRAY(C688),_xlfn.ANCHORARRAY(C688))</f>
        <v>#VALUE!</v>
      </c>
      <c r="D689"/>
      <c r="E689"/>
      <c r="G689"/>
    </row>
    <row r="690" spans="1:7">
      <c r="A690" t="s">
        <v>4</v>
      </c>
      <c r="B690" s="17" t="s">
        <v>5</v>
      </c>
      <c r="C690" vm="2" t="e" cm="1">
        <f ca="1" t="array" ref="C690:E690">C683:E683+C689*(C688:E688)</f>
        <v>#VALUE!</v>
      </c>
      <c r="D690" vm="2" t="e">
        <v>#VALUE!</v>
      </c>
      <c r="E690" vm="2" t="e">
        <v>#VALUE!</v>
      </c>
      <c r="G690"/>
    </row>
    <row r="691" spans="1:7">
      <c r="A691" s="1">
        <f>1+A684</f>
        <v>99</v>
      </c>
      <c r="B691" t="s">
        <v>6</v>
      </c>
      <c r="C691" s="14" vm="2" t="e">
        <f ca="1" t="shared" ref="C691:C722" si="1164">3*C690-D690^3-0.5*C690*E690</f>
        <v>#VALUE!</v>
      </c>
      <c r="D691" s="15" vm="2" t="e">
        <f ca="1" t="shared" ref="D691:D722" si="1165">C690^2-(D690+0.1)^2+2*E690+0.9</f>
        <v>#VALUE!</v>
      </c>
      <c r="E691" s="15" vm="2" t="e">
        <f ca="1" t="shared" ref="E691:E722" si="1166">EXP(-C690)+1/D690+1.5*E690+2</f>
        <v>#VALUE!</v>
      </c>
      <c r="G691" s="1" vm="2" t="e">
        <f ca="1">0.5*(C691*C691+D691*D691+E691*E691)</f>
        <v>#VALUE!</v>
      </c>
    </row>
    <row r="692" spans="1:7">
      <c r="C692" s="18" vm="2" t="e">
        <f ca="1" t="shared" ref="C692" si="1167">3-0.5*E690</f>
        <v>#VALUE!</v>
      </c>
      <c r="D692" s="19" vm="2" t="e">
        <f ca="1" t="shared" ref="D692" si="1168">-3*D690^2</f>
        <v>#VALUE!</v>
      </c>
      <c r="E692" s="20" vm="2" t="e">
        <f ca="1" t="shared" ref="E692" si="1169">-0.5*C690</f>
        <v>#VALUE!</v>
      </c>
    </row>
    <row r="693" spans="1:7">
      <c r="B693" t="s">
        <v>7</v>
      </c>
      <c r="C693" s="21" vm="2" t="e">
        <f ca="1" t="shared" ref="C693" si="1170">2*C690</f>
        <v>#VALUE!</v>
      </c>
      <c r="D693" s="15" vm="2" t="e">
        <f ca="1" t="shared" ref="D693" si="1171">-2*(D690+0.1)</f>
        <v>#VALUE!</v>
      </c>
      <c r="E693" s="22">
        <f>2</f>
        <v>2</v>
      </c>
    </row>
    <row r="694" spans="1:7">
      <c r="C694" s="23" vm="2" t="e">
        <f ca="1" t="shared" ref="C694" si="1172">-EXP(-C690)</f>
        <v>#VALUE!</v>
      </c>
      <c r="D694" s="24" vm="2" t="e">
        <f ca="1" t="shared" ref="D694" si="1173">-1/D690^2</f>
        <v>#VALUE!</v>
      </c>
      <c r="E694" s="25">
        <f t="shared" ref="E694:E725" si="1174">1.5</f>
        <v>1.5</v>
      </c>
    </row>
    <row r="695" spans="1:7">
      <c r="B695" t="s">
        <v>12</v>
      </c>
      <c r="C695" vm="2" t="e" cm="1">
        <f ca="1" t="array" ref="C695">-MMULT(C691:E691,C692:E694)</f>
        <v>#VALUE!</v>
      </c>
      <c r="D695"/>
      <c r="E695"/>
      <c r="F695">
        <f>F688</f>
        <v>1</v>
      </c>
      <c r="G695"/>
    </row>
    <row r="696" spans="1:7">
      <c r="B696" t="s">
        <v>13</v>
      </c>
      <c r="C696" vm="2" t="e">
        <f ca="1" t="shared" ref="C696" si="1175">G691/SUMPRODUCT(_xlfn.ANCHORARRAY(C695),_xlfn.ANCHORARRAY(C695))</f>
        <v>#VALUE!</v>
      </c>
      <c r="D696"/>
      <c r="E696"/>
      <c r="G696"/>
    </row>
    <row r="697" spans="1:7">
      <c r="A697" t="s">
        <v>4</v>
      </c>
      <c r="B697" s="17" t="s">
        <v>5</v>
      </c>
      <c r="C697" vm="2" t="e" cm="1">
        <f ca="1" t="array" ref="C697:E697">C690:E690+C696*(C695:E695)</f>
        <v>#VALUE!</v>
      </c>
      <c r="D697" vm="2" t="e">
        <v>#VALUE!</v>
      </c>
      <c r="E697" vm="2" t="e">
        <v>#VALUE!</v>
      </c>
      <c r="G697"/>
    </row>
    <row r="698" spans="1:7">
      <c r="A698" s="1">
        <f>1+A691</f>
        <v>100</v>
      </c>
      <c r="B698" t="s">
        <v>6</v>
      </c>
      <c r="C698" s="14" vm="2" t="e">
        <f ca="1" t="shared" ref="C698:C729" si="1176">3*C697-D697^3-0.5*C697*E697</f>
        <v>#VALUE!</v>
      </c>
      <c r="D698" s="15" vm="2" t="e">
        <f ca="1" t="shared" ref="D698:D729" si="1177">C697^2-(D697+0.1)^2+2*E697+0.9</f>
        <v>#VALUE!</v>
      </c>
      <c r="E698" s="15" vm="2" t="e">
        <f ca="1" t="shared" ref="E698:E729" si="1178">EXP(-C697)+1/D697+1.5*E697+2</f>
        <v>#VALUE!</v>
      </c>
      <c r="G698" s="1" vm="2" t="e">
        <f ca="1">0.5*(C698*C698+D698*D698+E698*E698)</f>
        <v>#VALUE!</v>
      </c>
    </row>
    <row r="699" spans="1:7">
      <c r="C699" s="18" vm="2" t="e">
        <f ca="1" t="shared" ref="C699" si="1179">3-0.5*E697</f>
        <v>#VALUE!</v>
      </c>
      <c r="D699" s="19" vm="2" t="e">
        <f ca="1" t="shared" ref="D699" si="1180">-3*D697^2</f>
        <v>#VALUE!</v>
      </c>
      <c r="E699" s="20" vm="2" t="e">
        <f ca="1" t="shared" ref="E699" si="1181">-0.5*C697</f>
        <v>#VALUE!</v>
      </c>
    </row>
    <row r="700" spans="1:7">
      <c r="B700" t="s">
        <v>7</v>
      </c>
      <c r="C700" s="21" vm="2" t="e">
        <f ca="1" t="shared" ref="C700" si="1182">2*C697</f>
        <v>#VALUE!</v>
      </c>
      <c r="D700" s="15" vm="2" t="e">
        <f ca="1" t="shared" ref="D700" si="1183">-2*(D697+0.1)</f>
        <v>#VALUE!</v>
      </c>
      <c r="E700" s="22">
        <f>2</f>
        <v>2</v>
      </c>
    </row>
    <row r="701" spans="1:7">
      <c r="C701" s="23" vm="2" t="e">
        <f ca="1" t="shared" ref="C701" si="1184">-EXP(-C697)</f>
        <v>#VALUE!</v>
      </c>
      <c r="D701" s="24" vm="2" t="e">
        <f ca="1" t="shared" ref="D701" si="1185">-1/D697^2</f>
        <v>#VALUE!</v>
      </c>
      <c r="E701" s="25">
        <f t="shared" ref="E701:E732" si="1186">1.5</f>
        <v>1.5</v>
      </c>
    </row>
    <row r="702" spans="1:7">
      <c r="B702" t="s">
        <v>12</v>
      </c>
      <c r="C702" vm="2" t="e" cm="1">
        <f ca="1" t="array" ref="C702">-MMULT(C698:E698,C699:E701)</f>
        <v>#VALUE!</v>
      </c>
      <c r="D702"/>
      <c r="E702"/>
      <c r="F702">
        <f>F695</f>
        <v>1</v>
      </c>
      <c r="G702"/>
    </row>
    <row r="703" spans="1:7">
      <c r="B703" t="s">
        <v>13</v>
      </c>
      <c r="C703" vm="2" t="e">
        <f ca="1" t="shared" ref="C703" si="1187">G698/SUMPRODUCT(_xlfn.ANCHORARRAY(C702),_xlfn.ANCHORARRAY(C702))</f>
        <v>#VALUE!</v>
      </c>
      <c r="D703"/>
      <c r="E703"/>
      <c r="G703"/>
    </row>
    <row r="704" spans="1:7">
      <c r="A704" t="s">
        <v>4</v>
      </c>
      <c r="B704" s="17" t="s">
        <v>5</v>
      </c>
      <c r="C704" vm="2" t="e" cm="1">
        <f ca="1" t="array" ref="C704:E704">C697:E697+C703*(C702:E702)</f>
        <v>#VALUE!</v>
      </c>
      <c r="D704" vm="2" t="e">
        <v>#VALUE!</v>
      </c>
      <c r="E704" vm="2" t="e">
        <v>#VALUE!</v>
      </c>
      <c r="G704"/>
    </row>
    <row r="705" spans="1:7">
      <c r="A705" s="1">
        <f>1+A698</f>
        <v>101</v>
      </c>
      <c r="B705" t="s">
        <v>6</v>
      </c>
      <c r="C705" s="14" vm="2" t="e">
        <f ca="1" t="shared" ref="C705:C736" si="1188">3*C704-D704^3-0.5*C704*E704</f>
        <v>#VALUE!</v>
      </c>
      <c r="D705" s="15" vm="2" t="e">
        <f ca="1" t="shared" ref="D705:D736" si="1189">C704^2-(D704+0.1)^2+2*E704+0.9</f>
        <v>#VALUE!</v>
      </c>
      <c r="E705" s="15" vm="2" t="e">
        <f ca="1" t="shared" ref="E705:E736" si="1190">EXP(-C704)+1/D704+1.5*E704+2</f>
        <v>#VALUE!</v>
      </c>
      <c r="G705" s="1" vm="2" t="e">
        <f ca="1">0.5*(C705*C705+D705*D705+E705*E705)</f>
        <v>#VALUE!</v>
      </c>
    </row>
    <row r="706" spans="1:7">
      <c r="C706" s="18" vm="2" t="e">
        <f ca="1" t="shared" ref="C706" si="1191">3-0.5*E704</f>
        <v>#VALUE!</v>
      </c>
      <c r="D706" s="19" vm="2" t="e">
        <f ca="1" t="shared" ref="D706" si="1192">-3*D704^2</f>
        <v>#VALUE!</v>
      </c>
      <c r="E706" s="20" vm="2" t="e">
        <f ca="1" t="shared" ref="E706" si="1193">-0.5*C704</f>
        <v>#VALUE!</v>
      </c>
    </row>
    <row r="707" spans="1:7">
      <c r="B707" t="s">
        <v>7</v>
      </c>
      <c r="C707" s="21" vm="2" t="e">
        <f ca="1" t="shared" ref="C707" si="1194">2*C704</f>
        <v>#VALUE!</v>
      </c>
      <c r="D707" s="15" vm="2" t="e">
        <f ca="1" t="shared" ref="D707" si="1195">-2*(D704+0.1)</f>
        <v>#VALUE!</v>
      </c>
      <c r="E707" s="22">
        <f>2</f>
        <v>2</v>
      </c>
    </row>
    <row r="708" spans="1:7">
      <c r="C708" s="23" vm="2" t="e">
        <f ca="1" t="shared" ref="C708" si="1196">-EXP(-C704)</f>
        <v>#VALUE!</v>
      </c>
      <c r="D708" s="24" vm="2" t="e">
        <f ca="1" t="shared" ref="D708" si="1197">-1/D704^2</f>
        <v>#VALUE!</v>
      </c>
      <c r="E708" s="25">
        <f t="shared" ref="E708:E739" si="1198">1.5</f>
        <v>1.5</v>
      </c>
    </row>
    <row r="709" spans="1:7">
      <c r="B709" t="s">
        <v>12</v>
      </c>
      <c r="C709" vm="2" t="e" cm="1">
        <f ca="1" t="array" ref="C709">-MMULT(C705:E705,C706:E708)</f>
        <v>#VALUE!</v>
      </c>
      <c r="D709"/>
      <c r="E709"/>
      <c r="F709">
        <f>F702</f>
        <v>1</v>
      </c>
      <c r="G709"/>
    </row>
    <row r="710" spans="1:7">
      <c r="B710" t="s">
        <v>13</v>
      </c>
      <c r="C710" vm="2" t="e">
        <f ca="1" t="shared" ref="C710" si="1199">G705/SUMPRODUCT(_xlfn.ANCHORARRAY(C709),_xlfn.ANCHORARRAY(C709))</f>
        <v>#VALUE!</v>
      </c>
      <c r="D710"/>
      <c r="E710"/>
      <c r="G710"/>
    </row>
    <row r="711" spans="1:7">
      <c r="A711" t="s">
        <v>4</v>
      </c>
      <c r="B711" s="17" t="s">
        <v>5</v>
      </c>
      <c r="C711" vm="2" t="e" cm="1">
        <f ca="1" t="array" ref="C711:E711">C704:E704+C710*(C709:E709)</f>
        <v>#VALUE!</v>
      </c>
      <c r="D711" vm="2" t="e">
        <v>#VALUE!</v>
      </c>
      <c r="E711" vm="2" t="e">
        <v>#VALUE!</v>
      </c>
      <c r="G711"/>
    </row>
    <row r="712" spans="1:7">
      <c r="A712" s="1">
        <f>1+A705</f>
        <v>102</v>
      </c>
      <c r="B712" t="s">
        <v>6</v>
      </c>
      <c r="C712" s="14" vm="2" t="e">
        <f ca="1" t="shared" ref="C712:C743" si="1200">3*C711-D711^3-0.5*C711*E711</f>
        <v>#VALUE!</v>
      </c>
      <c r="D712" s="15" vm="2" t="e">
        <f ca="1" t="shared" ref="D712:D743" si="1201">C711^2-(D711+0.1)^2+2*E711+0.9</f>
        <v>#VALUE!</v>
      </c>
      <c r="E712" s="15" vm="2" t="e">
        <f ca="1" t="shared" ref="E712:E743" si="1202">EXP(-C711)+1/D711+1.5*E711+2</f>
        <v>#VALUE!</v>
      </c>
      <c r="G712" s="1" vm="2" t="e">
        <f ca="1">0.5*(C712*C712+D712*D712+E712*E712)</f>
        <v>#VALUE!</v>
      </c>
    </row>
    <row r="713" spans="1:7">
      <c r="C713" s="18" vm="2" t="e">
        <f ca="1" t="shared" ref="C713" si="1203">3-0.5*E711</f>
        <v>#VALUE!</v>
      </c>
      <c r="D713" s="19" vm="2" t="e">
        <f ca="1" t="shared" ref="D713" si="1204">-3*D711^2</f>
        <v>#VALUE!</v>
      </c>
      <c r="E713" s="20" vm="2" t="e">
        <f ca="1" t="shared" ref="E713" si="1205">-0.5*C711</f>
        <v>#VALUE!</v>
      </c>
    </row>
    <row r="714" spans="1:7">
      <c r="B714" t="s">
        <v>7</v>
      </c>
      <c r="C714" s="21" vm="2" t="e">
        <f ca="1" t="shared" ref="C714" si="1206">2*C711</f>
        <v>#VALUE!</v>
      </c>
      <c r="D714" s="15" vm="2" t="e">
        <f ca="1" t="shared" ref="D714" si="1207">-2*(D711+0.1)</f>
        <v>#VALUE!</v>
      </c>
      <c r="E714" s="22">
        <f>2</f>
        <v>2</v>
      </c>
    </row>
    <row r="715" spans="1:7">
      <c r="C715" s="23" vm="2" t="e">
        <f ca="1" t="shared" ref="C715" si="1208">-EXP(-C711)</f>
        <v>#VALUE!</v>
      </c>
      <c r="D715" s="24" vm="2" t="e">
        <f ca="1" t="shared" ref="D715" si="1209">-1/D711^2</f>
        <v>#VALUE!</v>
      </c>
      <c r="E715" s="25">
        <f t="shared" ref="E715:E746" si="1210">1.5</f>
        <v>1.5</v>
      </c>
    </row>
    <row r="716" spans="1:7">
      <c r="B716" t="s">
        <v>12</v>
      </c>
      <c r="C716" vm="2" t="e" cm="1">
        <f ca="1" t="array" ref="C716">-MMULT(C712:E712,C713:E715)</f>
        <v>#VALUE!</v>
      </c>
      <c r="D716"/>
      <c r="E716"/>
      <c r="F716">
        <f>F709</f>
        <v>1</v>
      </c>
      <c r="G716"/>
    </row>
    <row r="717" spans="1:7">
      <c r="B717" t="s">
        <v>13</v>
      </c>
      <c r="C717" vm="2" t="e">
        <f ca="1" t="shared" ref="C717" si="1211">G712/SUMPRODUCT(_xlfn.ANCHORARRAY(C716),_xlfn.ANCHORARRAY(C716))</f>
        <v>#VALUE!</v>
      </c>
      <c r="D717"/>
      <c r="E717"/>
      <c r="G717"/>
    </row>
    <row r="718" spans="1:7">
      <c r="A718" t="s">
        <v>4</v>
      </c>
      <c r="B718" s="17" t="s">
        <v>5</v>
      </c>
      <c r="C718" vm="2" t="e" cm="1">
        <f ca="1" t="array" ref="C718:E718">C711:E711+C717*(C716:E716)</f>
        <v>#VALUE!</v>
      </c>
      <c r="D718" vm="2" t="e">
        <v>#VALUE!</v>
      </c>
      <c r="E718" vm="2" t="e">
        <v>#VALUE!</v>
      </c>
      <c r="G718"/>
    </row>
    <row r="719" spans="1:7">
      <c r="A719" s="1">
        <f>1+A712</f>
        <v>103</v>
      </c>
      <c r="B719" t="s">
        <v>6</v>
      </c>
      <c r="C719" s="14" vm="2" t="e">
        <f ca="1" t="shared" ref="C719:C750" si="1212">3*C718-D718^3-0.5*C718*E718</f>
        <v>#VALUE!</v>
      </c>
      <c r="D719" s="15" vm="2" t="e">
        <f ca="1" t="shared" ref="D719:D750" si="1213">C718^2-(D718+0.1)^2+2*E718+0.9</f>
        <v>#VALUE!</v>
      </c>
      <c r="E719" s="15" vm="2" t="e">
        <f ca="1" t="shared" ref="E719:E750" si="1214">EXP(-C718)+1/D718+1.5*E718+2</f>
        <v>#VALUE!</v>
      </c>
      <c r="G719" s="1" vm="2" t="e">
        <f ca="1">0.5*(C719*C719+D719*D719+E719*E719)</f>
        <v>#VALUE!</v>
      </c>
    </row>
    <row r="720" spans="1:7">
      <c r="C720" s="18" vm="2" t="e">
        <f ca="1" t="shared" ref="C720" si="1215">3-0.5*E718</f>
        <v>#VALUE!</v>
      </c>
      <c r="D720" s="19" vm="2" t="e">
        <f ca="1" t="shared" ref="D720" si="1216">-3*D718^2</f>
        <v>#VALUE!</v>
      </c>
      <c r="E720" s="20" vm="2" t="e">
        <f ca="1" t="shared" ref="E720" si="1217">-0.5*C718</f>
        <v>#VALUE!</v>
      </c>
    </row>
    <row r="721" spans="1:7">
      <c r="B721" t="s">
        <v>7</v>
      </c>
      <c r="C721" s="21" vm="2" t="e">
        <f ca="1" t="shared" ref="C721" si="1218">2*C718</f>
        <v>#VALUE!</v>
      </c>
      <c r="D721" s="15" vm="2" t="e">
        <f ca="1" t="shared" ref="D721" si="1219">-2*(D718+0.1)</f>
        <v>#VALUE!</v>
      </c>
      <c r="E721" s="22">
        <f>2</f>
        <v>2</v>
      </c>
    </row>
    <row r="722" spans="1:7">
      <c r="C722" s="23" vm="2" t="e">
        <f ca="1" t="shared" ref="C722" si="1220">-EXP(-C718)</f>
        <v>#VALUE!</v>
      </c>
      <c r="D722" s="24" vm="2" t="e">
        <f ca="1" t="shared" ref="D722" si="1221">-1/D718^2</f>
        <v>#VALUE!</v>
      </c>
      <c r="E722" s="25">
        <f t="shared" ref="E722:E753" si="1222">1.5</f>
        <v>1.5</v>
      </c>
    </row>
    <row r="723" spans="1:7">
      <c r="B723" t="s">
        <v>12</v>
      </c>
      <c r="C723" vm="2" t="e" cm="1">
        <f ca="1" t="array" ref="C723">-MMULT(C719:E719,C720:E722)</f>
        <v>#VALUE!</v>
      </c>
      <c r="D723"/>
      <c r="E723"/>
      <c r="F723">
        <f>F716</f>
        <v>1</v>
      </c>
      <c r="G723"/>
    </row>
    <row r="724" spans="1:7">
      <c r="B724" t="s">
        <v>13</v>
      </c>
      <c r="C724" vm="2" t="e">
        <f ca="1" t="shared" ref="C724" si="1223">G719/SUMPRODUCT(_xlfn.ANCHORARRAY(C723),_xlfn.ANCHORARRAY(C723))</f>
        <v>#VALUE!</v>
      </c>
      <c r="D724"/>
      <c r="E724"/>
      <c r="G724"/>
    </row>
    <row r="725" spans="1:7">
      <c r="A725" t="s">
        <v>4</v>
      </c>
      <c r="B725" s="17" t="s">
        <v>5</v>
      </c>
      <c r="C725" vm="2" t="e" cm="1">
        <f ca="1" t="array" ref="C725:E725">C718:E718+C724*(C723:E723)</f>
        <v>#VALUE!</v>
      </c>
      <c r="D725" vm="2" t="e">
        <v>#VALUE!</v>
      </c>
      <c r="E725" vm="2" t="e">
        <v>#VALUE!</v>
      </c>
      <c r="G725"/>
    </row>
    <row r="726" spans="1:7">
      <c r="A726" s="1">
        <f>1+A719</f>
        <v>104</v>
      </c>
      <c r="B726" t="s">
        <v>6</v>
      </c>
      <c r="C726" s="14" vm="2" t="e">
        <f ca="1" t="shared" ref="C726:C757" si="1224">3*C725-D725^3-0.5*C725*E725</f>
        <v>#VALUE!</v>
      </c>
      <c r="D726" s="15" vm="2" t="e">
        <f ca="1" t="shared" ref="D726:D757" si="1225">C725^2-(D725+0.1)^2+2*E725+0.9</f>
        <v>#VALUE!</v>
      </c>
      <c r="E726" s="15" vm="2" t="e">
        <f ca="1" t="shared" ref="E726:E757" si="1226">EXP(-C725)+1/D725+1.5*E725+2</f>
        <v>#VALUE!</v>
      </c>
      <c r="G726" s="1" vm="2" t="e">
        <f ca="1">0.5*(C726*C726+D726*D726+E726*E726)</f>
        <v>#VALUE!</v>
      </c>
    </row>
    <row r="727" spans="1:7">
      <c r="C727" s="18" vm="2" t="e">
        <f ca="1" t="shared" ref="C727" si="1227">3-0.5*E725</f>
        <v>#VALUE!</v>
      </c>
      <c r="D727" s="19" vm="2" t="e">
        <f ca="1" t="shared" ref="D727" si="1228">-3*D725^2</f>
        <v>#VALUE!</v>
      </c>
      <c r="E727" s="20" vm="2" t="e">
        <f ca="1" t="shared" ref="E727" si="1229">-0.5*C725</f>
        <v>#VALUE!</v>
      </c>
    </row>
    <row r="728" spans="1:7">
      <c r="B728" t="s">
        <v>7</v>
      </c>
      <c r="C728" s="21" vm="2" t="e">
        <f ca="1" t="shared" ref="C728" si="1230">2*C725</f>
        <v>#VALUE!</v>
      </c>
      <c r="D728" s="15" vm="2" t="e">
        <f ca="1" t="shared" ref="D728" si="1231">-2*(D725+0.1)</f>
        <v>#VALUE!</v>
      </c>
      <c r="E728" s="22">
        <f>2</f>
        <v>2</v>
      </c>
    </row>
    <row r="729" spans="1:7">
      <c r="C729" s="23" vm="2" t="e">
        <f ca="1" t="shared" ref="C729" si="1232">-EXP(-C725)</f>
        <v>#VALUE!</v>
      </c>
      <c r="D729" s="24" vm="2" t="e">
        <f ca="1" t="shared" ref="D729" si="1233">-1/D725^2</f>
        <v>#VALUE!</v>
      </c>
      <c r="E729" s="25">
        <f t="shared" ref="E729:E760" si="1234">1.5</f>
        <v>1.5</v>
      </c>
    </row>
    <row r="730" spans="1:7">
      <c r="B730" t="s">
        <v>12</v>
      </c>
      <c r="C730" vm="2" t="e" cm="1">
        <f ca="1" t="array" ref="C730">-MMULT(C726:E726,C727:E729)</f>
        <v>#VALUE!</v>
      </c>
      <c r="D730"/>
      <c r="E730"/>
      <c r="F730">
        <f>F723</f>
        <v>1</v>
      </c>
      <c r="G730"/>
    </row>
    <row r="731" spans="1:7">
      <c r="B731" t="s">
        <v>13</v>
      </c>
      <c r="C731" vm="2" t="e">
        <f ca="1" t="shared" ref="C731" si="1235">G726/SUMPRODUCT(_xlfn.ANCHORARRAY(C730),_xlfn.ANCHORARRAY(C730))</f>
        <v>#VALUE!</v>
      </c>
      <c r="D731"/>
      <c r="E731"/>
      <c r="G731"/>
    </row>
    <row r="732" spans="1:7">
      <c r="A732" t="s">
        <v>4</v>
      </c>
      <c r="B732" s="17" t="s">
        <v>5</v>
      </c>
      <c r="C732" vm="2" t="e" cm="1">
        <f ca="1" t="array" ref="C732:E732">C725:E725+C731*(C730:E730)</f>
        <v>#VALUE!</v>
      </c>
      <c r="D732" vm="2" t="e">
        <v>#VALUE!</v>
      </c>
      <c r="E732" vm="2" t="e">
        <v>#VALUE!</v>
      </c>
      <c r="G732"/>
    </row>
    <row r="733" spans="1:7">
      <c r="A733" s="1">
        <f>1+A726</f>
        <v>105</v>
      </c>
      <c r="B733" t="s">
        <v>6</v>
      </c>
      <c r="C733" s="14" vm="2" t="e">
        <f ca="1" t="shared" ref="C733:C764" si="1236">3*C732-D732^3-0.5*C732*E732</f>
        <v>#VALUE!</v>
      </c>
      <c r="D733" s="15" vm="2" t="e">
        <f ca="1" t="shared" ref="D733:D764" si="1237">C732^2-(D732+0.1)^2+2*E732+0.9</f>
        <v>#VALUE!</v>
      </c>
      <c r="E733" s="15" vm="2" t="e">
        <f ca="1" t="shared" ref="E733:E764" si="1238">EXP(-C732)+1/D732+1.5*E732+2</f>
        <v>#VALUE!</v>
      </c>
      <c r="G733" s="1" vm="2" t="e">
        <f ca="1">0.5*(C733*C733+D733*D733+E733*E733)</f>
        <v>#VALUE!</v>
      </c>
    </row>
    <row r="734" spans="1:7">
      <c r="C734" s="18" vm="2" t="e">
        <f ca="1" t="shared" ref="C734" si="1239">3-0.5*E732</f>
        <v>#VALUE!</v>
      </c>
      <c r="D734" s="19" vm="2" t="e">
        <f ca="1" t="shared" ref="D734" si="1240">-3*D732^2</f>
        <v>#VALUE!</v>
      </c>
      <c r="E734" s="20" vm="2" t="e">
        <f ca="1" t="shared" ref="E734" si="1241">-0.5*C732</f>
        <v>#VALUE!</v>
      </c>
    </row>
    <row r="735" spans="1:7">
      <c r="B735" t="s">
        <v>7</v>
      </c>
      <c r="C735" s="21" vm="2" t="e">
        <f ca="1" t="shared" ref="C735" si="1242">2*C732</f>
        <v>#VALUE!</v>
      </c>
      <c r="D735" s="15" vm="2" t="e">
        <f ca="1" t="shared" ref="D735" si="1243">-2*(D732+0.1)</f>
        <v>#VALUE!</v>
      </c>
      <c r="E735" s="22">
        <f>2</f>
        <v>2</v>
      </c>
    </row>
    <row r="736" spans="1:7">
      <c r="C736" s="23" vm="2" t="e">
        <f ca="1" t="shared" ref="C736" si="1244">-EXP(-C732)</f>
        <v>#VALUE!</v>
      </c>
      <c r="D736" s="24" vm="2" t="e">
        <f ca="1" t="shared" ref="D736" si="1245">-1/D732^2</f>
        <v>#VALUE!</v>
      </c>
      <c r="E736" s="25">
        <f t="shared" ref="E736:E767" si="1246">1.5</f>
        <v>1.5</v>
      </c>
    </row>
    <row r="737" spans="1:7">
      <c r="B737" t="s">
        <v>12</v>
      </c>
      <c r="C737" vm="2" t="e" cm="1">
        <f ca="1" t="array" ref="C737">-MMULT(C733:E733,C734:E736)</f>
        <v>#VALUE!</v>
      </c>
      <c r="D737"/>
      <c r="E737"/>
      <c r="F737">
        <f>F730</f>
        <v>1</v>
      </c>
      <c r="G737"/>
    </row>
    <row r="738" spans="1:7">
      <c r="B738" t="s">
        <v>13</v>
      </c>
      <c r="C738" vm="2" t="e">
        <f ca="1" t="shared" ref="C738" si="1247">G733/SUMPRODUCT(_xlfn.ANCHORARRAY(C737),_xlfn.ANCHORARRAY(C737))</f>
        <v>#VALUE!</v>
      </c>
      <c r="D738"/>
      <c r="E738"/>
      <c r="G738"/>
    </row>
    <row r="739" spans="1:7">
      <c r="A739" t="s">
        <v>4</v>
      </c>
      <c r="B739" s="17" t="s">
        <v>5</v>
      </c>
      <c r="C739" vm="2" t="e" cm="1">
        <f ca="1" t="array" ref="C739:E739">C732:E732+C738*(C737:E737)</f>
        <v>#VALUE!</v>
      </c>
      <c r="D739" vm="2" t="e">
        <v>#VALUE!</v>
      </c>
      <c r="E739" vm="2" t="e">
        <v>#VALUE!</v>
      </c>
      <c r="G739"/>
    </row>
    <row r="740" spans="1:7">
      <c r="A740" s="1">
        <f>1+A733</f>
        <v>106</v>
      </c>
      <c r="B740" t="s">
        <v>6</v>
      </c>
      <c r="C740" s="14" vm="2" t="e">
        <f ca="1" t="shared" ref="C740:C771" si="1248">3*C739-D739^3-0.5*C739*E739</f>
        <v>#VALUE!</v>
      </c>
      <c r="D740" s="15" vm="2" t="e">
        <f ca="1" t="shared" ref="D740:D771" si="1249">C739^2-(D739+0.1)^2+2*E739+0.9</f>
        <v>#VALUE!</v>
      </c>
      <c r="E740" s="15" vm="2" t="e">
        <f ca="1" t="shared" ref="E740:E771" si="1250">EXP(-C739)+1/D739+1.5*E739+2</f>
        <v>#VALUE!</v>
      </c>
      <c r="G740" s="1" vm="2" t="e">
        <f ca="1">0.5*(C740*C740+D740*D740+E740*E740)</f>
        <v>#VALUE!</v>
      </c>
    </row>
    <row r="741" spans="1:7">
      <c r="C741" s="18" vm="2" t="e">
        <f ca="1" t="shared" ref="C741" si="1251">3-0.5*E739</f>
        <v>#VALUE!</v>
      </c>
      <c r="D741" s="19" vm="2" t="e">
        <f ca="1" t="shared" ref="D741" si="1252">-3*D739^2</f>
        <v>#VALUE!</v>
      </c>
      <c r="E741" s="20" vm="2" t="e">
        <f ca="1" t="shared" ref="E741" si="1253">-0.5*C739</f>
        <v>#VALUE!</v>
      </c>
    </row>
    <row r="742" spans="1:7">
      <c r="B742" t="s">
        <v>7</v>
      </c>
      <c r="C742" s="21" vm="2" t="e">
        <f ca="1" t="shared" ref="C742" si="1254">2*C739</f>
        <v>#VALUE!</v>
      </c>
      <c r="D742" s="15" vm="2" t="e">
        <f ca="1" t="shared" ref="D742" si="1255">-2*(D739+0.1)</f>
        <v>#VALUE!</v>
      </c>
      <c r="E742" s="22">
        <f>2</f>
        <v>2</v>
      </c>
    </row>
    <row r="743" spans="1:7">
      <c r="C743" s="23" vm="2" t="e">
        <f ca="1" t="shared" ref="C743" si="1256">-EXP(-C739)</f>
        <v>#VALUE!</v>
      </c>
      <c r="D743" s="24" vm="2" t="e">
        <f ca="1" t="shared" ref="D743" si="1257">-1/D739^2</f>
        <v>#VALUE!</v>
      </c>
      <c r="E743" s="25">
        <f t="shared" ref="E743:E774" si="1258">1.5</f>
        <v>1.5</v>
      </c>
    </row>
    <row r="744" spans="1:7">
      <c r="B744" t="s">
        <v>12</v>
      </c>
      <c r="C744" vm="2" t="e" cm="1">
        <f ca="1" t="array" ref="C744">-MMULT(C740:E740,C741:E743)</f>
        <v>#VALUE!</v>
      </c>
      <c r="D744"/>
      <c r="E744"/>
      <c r="F744">
        <f>F737</f>
        <v>1</v>
      </c>
      <c r="G744"/>
    </row>
    <row r="745" spans="1:7">
      <c r="B745" t="s">
        <v>13</v>
      </c>
      <c r="C745" vm="2" t="e">
        <f ca="1" t="shared" ref="C745" si="1259">G740/SUMPRODUCT(_xlfn.ANCHORARRAY(C744),_xlfn.ANCHORARRAY(C744))</f>
        <v>#VALUE!</v>
      </c>
      <c r="D745"/>
      <c r="E745"/>
      <c r="G745"/>
    </row>
    <row r="746" spans="1:7">
      <c r="A746" t="s">
        <v>4</v>
      </c>
      <c r="B746" s="17" t="s">
        <v>5</v>
      </c>
      <c r="C746" vm="2" t="e" cm="1">
        <f ca="1" t="array" ref="C746:E746">C739:E739+C745*(C744:E744)</f>
        <v>#VALUE!</v>
      </c>
      <c r="D746" vm="2" t="e">
        <v>#VALUE!</v>
      </c>
      <c r="E746" vm="2" t="e">
        <v>#VALUE!</v>
      </c>
      <c r="G746"/>
    </row>
    <row r="747" spans="1:7">
      <c r="A747" s="1">
        <f>1+A740</f>
        <v>107</v>
      </c>
      <c r="B747" t="s">
        <v>6</v>
      </c>
      <c r="C747" s="14" vm="2" t="e">
        <f ca="1" t="shared" ref="C747:C778" si="1260">3*C746-D746^3-0.5*C746*E746</f>
        <v>#VALUE!</v>
      </c>
      <c r="D747" s="15" vm="2" t="e">
        <f ca="1" t="shared" ref="D747:D778" si="1261">C746^2-(D746+0.1)^2+2*E746+0.9</f>
        <v>#VALUE!</v>
      </c>
      <c r="E747" s="15" vm="2" t="e">
        <f ca="1" t="shared" ref="E747:E778" si="1262">EXP(-C746)+1/D746+1.5*E746+2</f>
        <v>#VALUE!</v>
      </c>
      <c r="G747" s="1" vm="2" t="e">
        <f ca="1">0.5*(C747*C747+D747*D747+E747*E747)</f>
        <v>#VALUE!</v>
      </c>
    </row>
    <row r="748" spans="1:7">
      <c r="C748" s="18" vm="2" t="e">
        <f ca="1" t="shared" ref="C748" si="1263">3-0.5*E746</f>
        <v>#VALUE!</v>
      </c>
      <c r="D748" s="19" vm="2" t="e">
        <f ca="1" t="shared" ref="D748" si="1264">-3*D746^2</f>
        <v>#VALUE!</v>
      </c>
      <c r="E748" s="20" vm="2" t="e">
        <f ca="1" t="shared" ref="E748" si="1265">-0.5*C746</f>
        <v>#VALUE!</v>
      </c>
    </row>
    <row r="749" spans="1:7">
      <c r="B749" t="s">
        <v>7</v>
      </c>
      <c r="C749" s="21" vm="2" t="e">
        <f ca="1" t="shared" ref="C749" si="1266">2*C746</f>
        <v>#VALUE!</v>
      </c>
      <c r="D749" s="15" vm="2" t="e">
        <f ca="1" t="shared" ref="D749" si="1267">-2*(D746+0.1)</f>
        <v>#VALUE!</v>
      </c>
      <c r="E749" s="22">
        <f>2</f>
        <v>2</v>
      </c>
    </row>
    <row r="750" spans="1:7">
      <c r="C750" s="23" vm="2" t="e">
        <f ca="1" t="shared" ref="C750" si="1268">-EXP(-C746)</f>
        <v>#VALUE!</v>
      </c>
      <c r="D750" s="24" vm="2" t="e">
        <f ca="1" t="shared" ref="D750" si="1269">-1/D746^2</f>
        <v>#VALUE!</v>
      </c>
      <c r="E750" s="25">
        <f t="shared" ref="E750:E781" si="1270">1.5</f>
        <v>1.5</v>
      </c>
    </row>
    <row r="751" spans="1:7">
      <c r="B751" t="s">
        <v>12</v>
      </c>
      <c r="C751" vm="2" t="e" cm="1">
        <f ca="1" t="array" ref="C751">-MMULT(C747:E747,C748:E750)</f>
        <v>#VALUE!</v>
      </c>
      <c r="D751"/>
      <c r="E751"/>
      <c r="F751">
        <f>F744</f>
        <v>1</v>
      </c>
      <c r="G751"/>
    </row>
    <row r="752" spans="1:7">
      <c r="B752" t="s">
        <v>13</v>
      </c>
      <c r="C752" vm="2" t="e">
        <f ca="1" t="shared" ref="C752" si="1271">G747/SUMPRODUCT(_xlfn.ANCHORARRAY(C751),_xlfn.ANCHORARRAY(C751))</f>
        <v>#VALUE!</v>
      </c>
      <c r="D752"/>
      <c r="E752"/>
      <c r="G752"/>
    </row>
    <row r="753" spans="1:7">
      <c r="A753" t="s">
        <v>4</v>
      </c>
      <c r="B753" s="17" t="s">
        <v>5</v>
      </c>
      <c r="C753" vm="2" t="e" cm="1">
        <f ca="1" t="array" ref="C753:E753">C746:E746+C752*(C751:E751)</f>
        <v>#VALUE!</v>
      </c>
      <c r="D753" vm="2" t="e">
        <v>#VALUE!</v>
      </c>
      <c r="E753" vm="2" t="e">
        <v>#VALUE!</v>
      </c>
      <c r="G753"/>
    </row>
    <row r="754" spans="1:7">
      <c r="A754" s="1">
        <f>1+A747</f>
        <v>108</v>
      </c>
      <c r="B754" t="s">
        <v>6</v>
      </c>
      <c r="C754" s="14" vm="2" t="e">
        <f ca="1" t="shared" ref="C754:C785" si="1272">3*C753-D753^3-0.5*C753*E753</f>
        <v>#VALUE!</v>
      </c>
      <c r="D754" s="15" vm="2" t="e">
        <f ca="1" t="shared" ref="D754:D785" si="1273">C753^2-(D753+0.1)^2+2*E753+0.9</f>
        <v>#VALUE!</v>
      </c>
      <c r="E754" s="15" vm="2" t="e">
        <f ca="1" t="shared" ref="E754:E785" si="1274">EXP(-C753)+1/D753+1.5*E753+2</f>
        <v>#VALUE!</v>
      </c>
      <c r="G754" s="1" vm="2" t="e">
        <f ca="1">0.5*(C754*C754+D754*D754+E754*E754)</f>
        <v>#VALUE!</v>
      </c>
    </row>
    <row r="755" spans="1:7">
      <c r="C755" s="18" vm="2" t="e">
        <f ca="1" t="shared" ref="C755" si="1275">3-0.5*E753</f>
        <v>#VALUE!</v>
      </c>
      <c r="D755" s="19" vm="2" t="e">
        <f ca="1" t="shared" ref="D755" si="1276">-3*D753^2</f>
        <v>#VALUE!</v>
      </c>
      <c r="E755" s="20" vm="2" t="e">
        <f ca="1" t="shared" ref="E755" si="1277">-0.5*C753</f>
        <v>#VALUE!</v>
      </c>
    </row>
    <row r="756" spans="1:7">
      <c r="B756" t="s">
        <v>7</v>
      </c>
      <c r="C756" s="21" vm="2" t="e">
        <f ca="1" t="shared" ref="C756" si="1278">2*C753</f>
        <v>#VALUE!</v>
      </c>
      <c r="D756" s="15" vm="2" t="e">
        <f ca="1" t="shared" ref="D756" si="1279">-2*(D753+0.1)</f>
        <v>#VALUE!</v>
      </c>
      <c r="E756" s="22">
        <f>2</f>
        <v>2</v>
      </c>
    </row>
    <row r="757" spans="1:7">
      <c r="C757" s="23" vm="2" t="e">
        <f ca="1" t="shared" ref="C757" si="1280">-EXP(-C753)</f>
        <v>#VALUE!</v>
      </c>
      <c r="D757" s="24" vm="2" t="e">
        <f ca="1" t="shared" ref="D757" si="1281">-1/D753^2</f>
        <v>#VALUE!</v>
      </c>
      <c r="E757" s="25">
        <f t="shared" ref="E757:E788" si="1282">1.5</f>
        <v>1.5</v>
      </c>
    </row>
    <row r="758" spans="1:7">
      <c r="B758" t="s">
        <v>12</v>
      </c>
      <c r="C758" vm="2" t="e" cm="1">
        <f ca="1" t="array" ref="C758">-MMULT(C754:E754,C755:E757)</f>
        <v>#VALUE!</v>
      </c>
      <c r="D758"/>
      <c r="E758"/>
      <c r="F758">
        <f>F751</f>
        <v>1</v>
      </c>
      <c r="G758"/>
    </row>
    <row r="759" spans="1:7">
      <c r="B759" t="s">
        <v>13</v>
      </c>
      <c r="C759" vm="2" t="e">
        <f ca="1" t="shared" ref="C759" si="1283">G754/SUMPRODUCT(_xlfn.ANCHORARRAY(C758),_xlfn.ANCHORARRAY(C758))</f>
        <v>#VALUE!</v>
      </c>
      <c r="D759"/>
      <c r="E759"/>
      <c r="G759"/>
    </row>
    <row r="760" spans="1:7">
      <c r="A760" t="s">
        <v>4</v>
      </c>
      <c r="B760" s="17" t="s">
        <v>5</v>
      </c>
      <c r="C760" vm="2" t="e" cm="1">
        <f ca="1" t="array" ref="C760:E760">C753:E753+C759*(C758:E758)</f>
        <v>#VALUE!</v>
      </c>
      <c r="D760" vm="2" t="e">
        <v>#VALUE!</v>
      </c>
      <c r="E760" vm="2" t="e">
        <v>#VALUE!</v>
      </c>
      <c r="G760"/>
    </row>
    <row r="761" spans="1:7">
      <c r="A761" s="1">
        <f>1+A754</f>
        <v>109</v>
      </c>
      <c r="B761" t="s">
        <v>6</v>
      </c>
      <c r="C761" s="14" vm="2" t="e">
        <f ca="1" t="shared" ref="C761:C792" si="1284">3*C760-D760^3-0.5*C760*E760</f>
        <v>#VALUE!</v>
      </c>
      <c r="D761" s="15" vm="2" t="e">
        <f ca="1" t="shared" ref="D761:D792" si="1285">C760^2-(D760+0.1)^2+2*E760+0.9</f>
        <v>#VALUE!</v>
      </c>
      <c r="E761" s="15" vm="2" t="e">
        <f ca="1" t="shared" ref="E761:E792" si="1286">EXP(-C760)+1/D760+1.5*E760+2</f>
        <v>#VALUE!</v>
      </c>
      <c r="G761" s="1" vm="2" t="e">
        <f ca="1">0.5*(C761*C761+D761*D761+E761*E761)</f>
        <v>#VALUE!</v>
      </c>
    </row>
    <row r="762" spans="1:7">
      <c r="C762" s="18" vm="2" t="e">
        <f ca="1" t="shared" ref="C762" si="1287">3-0.5*E760</f>
        <v>#VALUE!</v>
      </c>
      <c r="D762" s="19" vm="2" t="e">
        <f ca="1" t="shared" ref="D762" si="1288">-3*D760^2</f>
        <v>#VALUE!</v>
      </c>
      <c r="E762" s="20" vm="2" t="e">
        <f ca="1" t="shared" ref="E762" si="1289">-0.5*C760</f>
        <v>#VALUE!</v>
      </c>
    </row>
    <row r="763" spans="1:7">
      <c r="B763" t="s">
        <v>7</v>
      </c>
      <c r="C763" s="21" vm="2" t="e">
        <f ca="1" t="shared" ref="C763" si="1290">2*C760</f>
        <v>#VALUE!</v>
      </c>
      <c r="D763" s="15" vm="2" t="e">
        <f ca="1" t="shared" ref="D763" si="1291">-2*(D760+0.1)</f>
        <v>#VALUE!</v>
      </c>
      <c r="E763" s="22">
        <f>2</f>
        <v>2</v>
      </c>
    </row>
    <row r="764" spans="1:7">
      <c r="C764" s="23" vm="2" t="e">
        <f ca="1" t="shared" ref="C764" si="1292">-EXP(-C760)</f>
        <v>#VALUE!</v>
      </c>
      <c r="D764" s="24" vm="2" t="e">
        <f ca="1" t="shared" ref="D764" si="1293">-1/D760^2</f>
        <v>#VALUE!</v>
      </c>
      <c r="E764" s="25">
        <f t="shared" ref="E764:E795" si="1294">1.5</f>
        <v>1.5</v>
      </c>
    </row>
    <row r="765" spans="1:7">
      <c r="B765" t="s">
        <v>12</v>
      </c>
      <c r="C765" vm="2" t="e" cm="1">
        <f ca="1" t="array" ref="C765">-MMULT(C761:E761,C762:E764)</f>
        <v>#VALUE!</v>
      </c>
      <c r="D765"/>
      <c r="E765"/>
      <c r="F765">
        <f>F758</f>
        <v>1</v>
      </c>
      <c r="G765"/>
    </row>
    <row r="766" spans="1:7">
      <c r="B766" t="s">
        <v>13</v>
      </c>
      <c r="C766" vm="2" t="e">
        <f ca="1" t="shared" ref="C766" si="1295">G761/SUMPRODUCT(_xlfn.ANCHORARRAY(C765),_xlfn.ANCHORARRAY(C765))</f>
        <v>#VALUE!</v>
      </c>
      <c r="D766"/>
      <c r="E766"/>
      <c r="G766"/>
    </row>
    <row r="767" spans="1:7">
      <c r="A767" t="s">
        <v>4</v>
      </c>
      <c r="B767" s="17" t="s">
        <v>5</v>
      </c>
      <c r="C767" vm="2" t="e" cm="1">
        <f ca="1" t="array" ref="C767:E767">C760:E760+C766*(C765:E765)</f>
        <v>#VALUE!</v>
      </c>
      <c r="D767" vm="2" t="e">
        <v>#VALUE!</v>
      </c>
      <c r="E767" vm="2" t="e">
        <v>#VALUE!</v>
      </c>
      <c r="G767"/>
    </row>
    <row r="768" spans="1:7">
      <c r="A768" s="1">
        <f>1+A761</f>
        <v>110</v>
      </c>
      <c r="B768" t="s">
        <v>6</v>
      </c>
      <c r="C768" s="14" vm="2" t="e">
        <f ca="1" t="shared" ref="C768:C799" si="1296">3*C767-D767^3-0.5*C767*E767</f>
        <v>#VALUE!</v>
      </c>
      <c r="D768" s="15" vm="2" t="e">
        <f ca="1" t="shared" ref="D768:D799" si="1297">C767^2-(D767+0.1)^2+2*E767+0.9</f>
        <v>#VALUE!</v>
      </c>
      <c r="E768" s="15" vm="2" t="e">
        <f ca="1" t="shared" ref="E768:E799" si="1298">EXP(-C767)+1/D767+1.5*E767+2</f>
        <v>#VALUE!</v>
      </c>
      <c r="G768" s="1" vm="2" t="e">
        <f ca="1">0.5*(C768*C768+D768*D768+E768*E768)</f>
        <v>#VALUE!</v>
      </c>
    </row>
    <row r="769" spans="1:7">
      <c r="C769" s="18" vm="2" t="e">
        <f ca="1" t="shared" ref="C769" si="1299">3-0.5*E767</f>
        <v>#VALUE!</v>
      </c>
      <c r="D769" s="19" vm="2" t="e">
        <f ca="1" t="shared" ref="D769" si="1300">-3*D767^2</f>
        <v>#VALUE!</v>
      </c>
      <c r="E769" s="20" vm="2" t="e">
        <f ca="1" t="shared" ref="E769" si="1301">-0.5*C767</f>
        <v>#VALUE!</v>
      </c>
    </row>
    <row r="770" spans="1:7">
      <c r="B770" t="s">
        <v>7</v>
      </c>
      <c r="C770" s="21" vm="2" t="e">
        <f ca="1" t="shared" ref="C770" si="1302">2*C767</f>
        <v>#VALUE!</v>
      </c>
      <c r="D770" s="15" vm="2" t="e">
        <f ca="1" t="shared" ref="D770" si="1303">-2*(D767+0.1)</f>
        <v>#VALUE!</v>
      </c>
      <c r="E770" s="22">
        <f>2</f>
        <v>2</v>
      </c>
    </row>
    <row r="771" spans="1:7">
      <c r="C771" s="23" vm="2" t="e">
        <f ca="1" t="shared" ref="C771" si="1304">-EXP(-C767)</f>
        <v>#VALUE!</v>
      </c>
      <c r="D771" s="24" vm="2" t="e">
        <f ca="1" t="shared" ref="D771" si="1305">-1/D767^2</f>
        <v>#VALUE!</v>
      </c>
      <c r="E771" s="25">
        <f t="shared" ref="E771:E802" si="1306">1.5</f>
        <v>1.5</v>
      </c>
    </row>
    <row r="772" spans="1:7">
      <c r="B772" t="s">
        <v>12</v>
      </c>
      <c r="C772" vm="2" t="e" cm="1">
        <f ca="1" t="array" ref="C772">-MMULT(C768:E768,C769:E771)</f>
        <v>#VALUE!</v>
      </c>
      <c r="D772"/>
      <c r="E772"/>
      <c r="F772">
        <f>F765</f>
        <v>1</v>
      </c>
      <c r="G772"/>
    </row>
    <row r="773" spans="1:7">
      <c r="B773" t="s">
        <v>13</v>
      </c>
      <c r="C773" vm="2" t="e">
        <f ca="1" t="shared" ref="C773" si="1307">G768/SUMPRODUCT(_xlfn.ANCHORARRAY(C772),_xlfn.ANCHORARRAY(C772))</f>
        <v>#VALUE!</v>
      </c>
      <c r="D773"/>
      <c r="E773"/>
      <c r="G773"/>
    </row>
    <row r="774" spans="1:7">
      <c r="A774" t="s">
        <v>4</v>
      </c>
      <c r="B774" s="17" t="s">
        <v>5</v>
      </c>
      <c r="C774" vm="2" t="e" cm="1">
        <f ca="1" t="array" ref="C774:E774">C767:E767+C773*(C772:E772)</f>
        <v>#VALUE!</v>
      </c>
      <c r="D774" vm="2" t="e">
        <v>#VALUE!</v>
      </c>
      <c r="E774" vm="2" t="e">
        <v>#VALUE!</v>
      </c>
      <c r="G774"/>
    </row>
    <row r="775" spans="1:7">
      <c r="A775" s="1">
        <f>1+A768</f>
        <v>111</v>
      </c>
      <c r="B775" t="s">
        <v>6</v>
      </c>
      <c r="C775" s="14" vm="2" t="e">
        <f ca="1" t="shared" ref="C775:C806" si="1308">3*C774-D774^3-0.5*C774*E774</f>
        <v>#VALUE!</v>
      </c>
      <c r="D775" s="15" vm="2" t="e">
        <f ca="1" t="shared" ref="D775:D806" si="1309">C774^2-(D774+0.1)^2+2*E774+0.9</f>
        <v>#VALUE!</v>
      </c>
      <c r="E775" s="15" vm="2" t="e">
        <f ca="1" t="shared" ref="E775:E806" si="1310">EXP(-C774)+1/D774+1.5*E774+2</f>
        <v>#VALUE!</v>
      </c>
      <c r="G775" s="1" vm="2" t="e">
        <f ca="1">0.5*(C775*C775+D775*D775+E775*E775)</f>
        <v>#VALUE!</v>
      </c>
    </row>
    <row r="776" spans="1:7">
      <c r="C776" s="18" vm="2" t="e">
        <f ca="1" t="shared" ref="C776" si="1311">3-0.5*E774</f>
        <v>#VALUE!</v>
      </c>
      <c r="D776" s="19" vm="2" t="e">
        <f ca="1" t="shared" ref="D776" si="1312">-3*D774^2</f>
        <v>#VALUE!</v>
      </c>
      <c r="E776" s="20" vm="2" t="e">
        <f ca="1" t="shared" ref="E776" si="1313">-0.5*C774</f>
        <v>#VALUE!</v>
      </c>
    </row>
    <row r="777" spans="1:7">
      <c r="B777" t="s">
        <v>7</v>
      </c>
      <c r="C777" s="21" vm="2" t="e">
        <f ca="1" t="shared" ref="C777" si="1314">2*C774</f>
        <v>#VALUE!</v>
      </c>
      <c r="D777" s="15" vm="2" t="e">
        <f ca="1" t="shared" ref="D777" si="1315">-2*(D774+0.1)</f>
        <v>#VALUE!</v>
      </c>
      <c r="E777" s="22">
        <f>2</f>
        <v>2</v>
      </c>
    </row>
    <row r="778" spans="1:7">
      <c r="C778" s="23" vm="2" t="e">
        <f ca="1" t="shared" ref="C778" si="1316">-EXP(-C774)</f>
        <v>#VALUE!</v>
      </c>
      <c r="D778" s="24" vm="2" t="e">
        <f ca="1" t="shared" ref="D778" si="1317">-1/D774^2</f>
        <v>#VALUE!</v>
      </c>
      <c r="E778" s="25">
        <f t="shared" ref="E778:E809" si="1318">1.5</f>
        <v>1.5</v>
      </c>
    </row>
    <row r="779" spans="1:7">
      <c r="B779" t="s">
        <v>12</v>
      </c>
      <c r="C779" vm="2" t="e" cm="1">
        <f ca="1" t="array" ref="C779">-MMULT(C775:E775,C776:E778)</f>
        <v>#VALUE!</v>
      </c>
      <c r="D779"/>
      <c r="E779"/>
      <c r="F779">
        <f>F772</f>
        <v>1</v>
      </c>
      <c r="G779"/>
    </row>
    <row r="780" spans="1:7">
      <c r="B780" t="s">
        <v>13</v>
      </c>
      <c r="C780" vm="2" t="e">
        <f ca="1" t="shared" ref="C780" si="1319">G775/SUMPRODUCT(_xlfn.ANCHORARRAY(C779),_xlfn.ANCHORARRAY(C779))</f>
        <v>#VALUE!</v>
      </c>
      <c r="D780"/>
      <c r="E780"/>
      <c r="G780"/>
    </row>
    <row r="781" spans="1:7">
      <c r="A781" t="s">
        <v>4</v>
      </c>
      <c r="B781" s="17" t="s">
        <v>5</v>
      </c>
      <c r="C781" vm="2" t="e" cm="1">
        <f ca="1" t="array" ref="C781:E781">C774:E774+C780*(C779:E779)</f>
        <v>#VALUE!</v>
      </c>
      <c r="D781" vm="2" t="e">
        <v>#VALUE!</v>
      </c>
      <c r="E781" vm="2" t="e">
        <v>#VALUE!</v>
      </c>
      <c r="G781"/>
    </row>
    <row r="782" spans="1:7">
      <c r="A782" s="1">
        <f>1+A775</f>
        <v>112</v>
      </c>
      <c r="B782" t="s">
        <v>6</v>
      </c>
      <c r="C782" s="14" vm="2" t="e">
        <f ca="1" t="shared" ref="C782:C813" si="1320">3*C781-D781^3-0.5*C781*E781</f>
        <v>#VALUE!</v>
      </c>
      <c r="D782" s="15" vm="2" t="e">
        <f ca="1" t="shared" ref="D782:D813" si="1321">C781^2-(D781+0.1)^2+2*E781+0.9</f>
        <v>#VALUE!</v>
      </c>
      <c r="E782" s="15" vm="2" t="e">
        <f ca="1" t="shared" ref="E782:E813" si="1322">EXP(-C781)+1/D781+1.5*E781+2</f>
        <v>#VALUE!</v>
      </c>
      <c r="G782" s="1" vm="2" t="e">
        <f ca="1">0.5*(C782*C782+D782*D782+E782*E782)</f>
        <v>#VALUE!</v>
      </c>
    </row>
    <row r="783" spans="1:7">
      <c r="C783" s="18" vm="2" t="e">
        <f ca="1" t="shared" ref="C783" si="1323">3-0.5*E781</f>
        <v>#VALUE!</v>
      </c>
      <c r="D783" s="19" vm="2" t="e">
        <f ca="1" t="shared" ref="D783" si="1324">-3*D781^2</f>
        <v>#VALUE!</v>
      </c>
      <c r="E783" s="20" vm="2" t="e">
        <f ca="1" t="shared" ref="E783" si="1325">-0.5*C781</f>
        <v>#VALUE!</v>
      </c>
    </row>
    <row r="784" spans="1:7">
      <c r="B784" t="s">
        <v>7</v>
      </c>
      <c r="C784" s="21" vm="2" t="e">
        <f ca="1" t="shared" ref="C784" si="1326">2*C781</f>
        <v>#VALUE!</v>
      </c>
      <c r="D784" s="15" vm="2" t="e">
        <f ca="1" t="shared" ref="D784" si="1327">-2*(D781+0.1)</f>
        <v>#VALUE!</v>
      </c>
      <c r="E784" s="22">
        <f>2</f>
        <v>2</v>
      </c>
    </row>
    <row r="785" spans="1:7">
      <c r="C785" s="23" vm="2" t="e">
        <f ca="1" t="shared" ref="C785" si="1328">-EXP(-C781)</f>
        <v>#VALUE!</v>
      </c>
      <c r="D785" s="24" vm="2" t="e">
        <f ca="1" t="shared" ref="D785" si="1329">-1/D781^2</f>
        <v>#VALUE!</v>
      </c>
      <c r="E785" s="25">
        <f t="shared" ref="E785:E816" si="1330">1.5</f>
        <v>1.5</v>
      </c>
    </row>
    <row r="786" spans="1:7">
      <c r="B786" t="s">
        <v>12</v>
      </c>
      <c r="C786" vm="2" t="e" cm="1">
        <f ca="1" t="array" ref="C786">-MMULT(C782:E782,C783:E785)</f>
        <v>#VALUE!</v>
      </c>
      <c r="D786"/>
      <c r="E786"/>
      <c r="F786">
        <f>F779</f>
        <v>1</v>
      </c>
      <c r="G786"/>
    </row>
    <row r="787" spans="1:7">
      <c r="B787" t="s">
        <v>13</v>
      </c>
      <c r="C787" vm="2" t="e">
        <f ca="1" t="shared" ref="C787" si="1331">G782/SUMPRODUCT(_xlfn.ANCHORARRAY(C786),_xlfn.ANCHORARRAY(C786))</f>
        <v>#VALUE!</v>
      </c>
      <c r="D787"/>
      <c r="E787"/>
      <c r="G787"/>
    </row>
    <row r="788" spans="1:7">
      <c r="A788" t="s">
        <v>4</v>
      </c>
      <c r="B788" s="17" t="s">
        <v>5</v>
      </c>
      <c r="C788" vm="2" t="e" cm="1">
        <f ca="1" t="array" ref="C788:E788">C781:E781+C787*(C786:E786)</f>
        <v>#VALUE!</v>
      </c>
      <c r="D788" vm="2" t="e">
        <v>#VALUE!</v>
      </c>
      <c r="E788" vm="2" t="e">
        <v>#VALUE!</v>
      </c>
      <c r="G788"/>
    </row>
    <row r="789" spans="1:7">
      <c r="A789" s="1">
        <f>1+A782</f>
        <v>113</v>
      </c>
      <c r="B789" t="s">
        <v>6</v>
      </c>
      <c r="C789" s="14" vm="2" t="e">
        <f ca="1" t="shared" ref="C789:C820" si="1332">3*C788-D788^3-0.5*C788*E788</f>
        <v>#VALUE!</v>
      </c>
      <c r="D789" s="15" vm="2" t="e">
        <f ca="1" t="shared" ref="D789:D820" si="1333">C788^2-(D788+0.1)^2+2*E788+0.9</f>
        <v>#VALUE!</v>
      </c>
      <c r="E789" s="15" vm="2" t="e">
        <f ca="1" t="shared" ref="E789:E820" si="1334">EXP(-C788)+1/D788+1.5*E788+2</f>
        <v>#VALUE!</v>
      </c>
      <c r="G789" s="1" vm="2" t="e">
        <f ca="1">0.5*(C789*C789+D789*D789+E789*E789)</f>
        <v>#VALUE!</v>
      </c>
    </row>
    <row r="790" spans="1:7">
      <c r="C790" s="18" vm="2" t="e">
        <f ca="1" t="shared" ref="C790" si="1335">3-0.5*E788</f>
        <v>#VALUE!</v>
      </c>
      <c r="D790" s="19" vm="2" t="e">
        <f ca="1" t="shared" ref="D790" si="1336">-3*D788^2</f>
        <v>#VALUE!</v>
      </c>
      <c r="E790" s="20" vm="2" t="e">
        <f ca="1" t="shared" ref="E790" si="1337">-0.5*C788</f>
        <v>#VALUE!</v>
      </c>
    </row>
    <row r="791" spans="1:7">
      <c r="B791" t="s">
        <v>7</v>
      </c>
      <c r="C791" s="21" vm="2" t="e">
        <f ca="1" t="shared" ref="C791" si="1338">2*C788</f>
        <v>#VALUE!</v>
      </c>
      <c r="D791" s="15" vm="2" t="e">
        <f ca="1" t="shared" ref="D791" si="1339">-2*(D788+0.1)</f>
        <v>#VALUE!</v>
      </c>
      <c r="E791" s="22">
        <f>2</f>
        <v>2</v>
      </c>
    </row>
    <row r="792" spans="1:7">
      <c r="C792" s="23" vm="2" t="e">
        <f ca="1" t="shared" ref="C792" si="1340">-EXP(-C788)</f>
        <v>#VALUE!</v>
      </c>
      <c r="D792" s="24" vm="2" t="e">
        <f ca="1" t="shared" ref="D792" si="1341">-1/D788^2</f>
        <v>#VALUE!</v>
      </c>
      <c r="E792" s="25">
        <f t="shared" ref="E792:E823" si="1342">1.5</f>
        <v>1.5</v>
      </c>
    </row>
    <row r="793" spans="1:7">
      <c r="B793" t="s">
        <v>12</v>
      </c>
      <c r="C793" vm="2" t="e" cm="1">
        <f ca="1" t="array" ref="C793">-MMULT(C789:E789,C790:E792)</f>
        <v>#VALUE!</v>
      </c>
      <c r="D793"/>
      <c r="E793"/>
      <c r="F793">
        <f>F786</f>
        <v>1</v>
      </c>
      <c r="G793"/>
    </row>
    <row r="794" spans="1:7">
      <c r="B794" t="s">
        <v>13</v>
      </c>
      <c r="C794" vm="2" t="e">
        <f ca="1" t="shared" ref="C794" si="1343">G789/SUMPRODUCT(_xlfn.ANCHORARRAY(C793),_xlfn.ANCHORARRAY(C793))</f>
        <v>#VALUE!</v>
      </c>
      <c r="D794"/>
      <c r="E794"/>
      <c r="G794"/>
    </row>
    <row r="795" spans="1:7">
      <c r="A795" t="s">
        <v>4</v>
      </c>
      <c r="B795" s="17" t="s">
        <v>5</v>
      </c>
      <c r="C795" vm="2" t="e" cm="1">
        <f ca="1" t="array" ref="C795:E795">C788:E788+C794*(C793:E793)</f>
        <v>#VALUE!</v>
      </c>
      <c r="D795" vm="2" t="e">
        <v>#VALUE!</v>
      </c>
      <c r="E795" vm="2" t="e">
        <v>#VALUE!</v>
      </c>
      <c r="G795"/>
    </row>
    <row r="796" spans="1:7">
      <c r="A796" s="1">
        <f>1+A789</f>
        <v>114</v>
      </c>
      <c r="B796" t="s">
        <v>6</v>
      </c>
      <c r="C796" s="14" vm="2" t="e">
        <f ca="1" t="shared" ref="C796:C827" si="1344">3*C795-D795^3-0.5*C795*E795</f>
        <v>#VALUE!</v>
      </c>
      <c r="D796" s="15" vm="2" t="e">
        <f ca="1" t="shared" ref="D796:D827" si="1345">C795^2-(D795+0.1)^2+2*E795+0.9</f>
        <v>#VALUE!</v>
      </c>
      <c r="E796" s="15" vm="2" t="e">
        <f ca="1" t="shared" ref="E796:E827" si="1346">EXP(-C795)+1/D795+1.5*E795+2</f>
        <v>#VALUE!</v>
      </c>
      <c r="G796" s="1" vm="2" t="e">
        <f ca="1">0.5*(C796*C796+D796*D796+E796*E796)</f>
        <v>#VALUE!</v>
      </c>
    </row>
    <row r="797" spans="1:7">
      <c r="C797" s="18" vm="2" t="e">
        <f ca="1" t="shared" ref="C797" si="1347">3-0.5*E795</f>
        <v>#VALUE!</v>
      </c>
      <c r="D797" s="19" vm="2" t="e">
        <f ca="1" t="shared" ref="D797" si="1348">-3*D795^2</f>
        <v>#VALUE!</v>
      </c>
      <c r="E797" s="20" vm="2" t="e">
        <f ca="1" t="shared" ref="E797" si="1349">-0.5*C795</f>
        <v>#VALUE!</v>
      </c>
    </row>
    <row r="798" spans="1:7">
      <c r="B798" t="s">
        <v>7</v>
      </c>
      <c r="C798" s="21" vm="2" t="e">
        <f ca="1" t="shared" ref="C798" si="1350">2*C795</f>
        <v>#VALUE!</v>
      </c>
      <c r="D798" s="15" vm="2" t="e">
        <f ca="1" t="shared" ref="D798" si="1351">-2*(D795+0.1)</f>
        <v>#VALUE!</v>
      </c>
      <c r="E798" s="22">
        <f>2</f>
        <v>2</v>
      </c>
    </row>
    <row r="799" spans="1:7">
      <c r="C799" s="23" vm="2" t="e">
        <f ca="1" t="shared" ref="C799" si="1352">-EXP(-C795)</f>
        <v>#VALUE!</v>
      </c>
      <c r="D799" s="24" vm="2" t="e">
        <f ca="1" t="shared" ref="D799" si="1353">-1/D795^2</f>
        <v>#VALUE!</v>
      </c>
      <c r="E799" s="25">
        <f t="shared" ref="E799:E830" si="1354">1.5</f>
        <v>1.5</v>
      </c>
    </row>
    <row r="800" spans="1:7">
      <c r="B800" t="s">
        <v>12</v>
      </c>
      <c r="C800" vm="2" t="e" cm="1">
        <f ca="1" t="array" ref="C800">-MMULT(C796:E796,C797:E799)</f>
        <v>#VALUE!</v>
      </c>
      <c r="D800"/>
      <c r="E800"/>
      <c r="F800">
        <f>F793</f>
        <v>1</v>
      </c>
      <c r="G800"/>
    </row>
    <row r="801" spans="1:7">
      <c r="B801" t="s">
        <v>13</v>
      </c>
      <c r="C801" vm="2" t="e">
        <f ca="1" t="shared" ref="C801" si="1355">G796/SUMPRODUCT(_xlfn.ANCHORARRAY(C800),_xlfn.ANCHORARRAY(C800))</f>
        <v>#VALUE!</v>
      </c>
      <c r="D801"/>
      <c r="E801"/>
      <c r="G801"/>
    </row>
    <row r="802" spans="1:7">
      <c r="A802" t="s">
        <v>4</v>
      </c>
      <c r="B802" s="17" t="s">
        <v>5</v>
      </c>
      <c r="C802" vm="2" t="e" cm="1">
        <f ca="1" t="array" ref="C802:E802">C795:E795+C801*(C800:E800)</f>
        <v>#VALUE!</v>
      </c>
      <c r="D802" vm="2" t="e">
        <v>#VALUE!</v>
      </c>
      <c r="E802" vm="2" t="e">
        <v>#VALUE!</v>
      </c>
      <c r="G802"/>
    </row>
    <row r="803" spans="1:7">
      <c r="A803" s="1">
        <f>1+A796</f>
        <v>115</v>
      </c>
      <c r="B803" t="s">
        <v>6</v>
      </c>
      <c r="C803" s="14" vm="2" t="e">
        <f ca="1" t="shared" ref="C803:C834" si="1356">3*C802-D802^3-0.5*C802*E802</f>
        <v>#VALUE!</v>
      </c>
      <c r="D803" s="15" vm="2" t="e">
        <f ca="1" t="shared" ref="D803:D834" si="1357">C802^2-(D802+0.1)^2+2*E802+0.9</f>
        <v>#VALUE!</v>
      </c>
      <c r="E803" s="15" vm="2" t="e">
        <f ca="1" t="shared" ref="E803:E834" si="1358">EXP(-C802)+1/D802+1.5*E802+2</f>
        <v>#VALUE!</v>
      </c>
      <c r="G803" s="1" vm="2" t="e">
        <f ca="1">0.5*(C803*C803+D803*D803+E803*E803)</f>
        <v>#VALUE!</v>
      </c>
    </row>
    <row r="804" spans="1:7">
      <c r="C804" s="18" vm="2" t="e">
        <f ca="1" t="shared" ref="C804" si="1359">3-0.5*E802</f>
        <v>#VALUE!</v>
      </c>
      <c r="D804" s="19" vm="2" t="e">
        <f ca="1" t="shared" ref="D804" si="1360">-3*D802^2</f>
        <v>#VALUE!</v>
      </c>
      <c r="E804" s="20" vm="2" t="e">
        <f ca="1" t="shared" ref="E804" si="1361">-0.5*C802</f>
        <v>#VALUE!</v>
      </c>
    </row>
    <row r="805" spans="1:7">
      <c r="B805" t="s">
        <v>7</v>
      </c>
      <c r="C805" s="21" vm="2" t="e">
        <f ca="1" t="shared" ref="C805" si="1362">2*C802</f>
        <v>#VALUE!</v>
      </c>
      <c r="D805" s="15" vm="2" t="e">
        <f ca="1" t="shared" ref="D805" si="1363">-2*(D802+0.1)</f>
        <v>#VALUE!</v>
      </c>
      <c r="E805" s="22">
        <f>2</f>
        <v>2</v>
      </c>
    </row>
    <row r="806" spans="1:7">
      <c r="C806" s="23" vm="2" t="e">
        <f ca="1" t="shared" ref="C806" si="1364">-EXP(-C802)</f>
        <v>#VALUE!</v>
      </c>
      <c r="D806" s="24" vm="2" t="e">
        <f ca="1" t="shared" ref="D806" si="1365">-1/D802^2</f>
        <v>#VALUE!</v>
      </c>
      <c r="E806" s="25">
        <f t="shared" ref="E806:E837" si="1366">1.5</f>
        <v>1.5</v>
      </c>
    </row>
    <row r="807" spans="1:7">
      <c r="B807" t="s">
        <v>12</v>
      </c>
      <c r="C807" vm="2" t="e" cm="1">
        <f ca="1" t="array" ref="C807">-MMULT(C803:E803,C804:E806)</f>
        <v>#VALUE!</v>
      </c>
      <c r="D807"/>
      <c r="E807"/>
      <c r="F807">
        <f>F800</f>
        <v>1</v>
      </c>
      <c r="G807"/>
    </row>
    <row r="808" spans="1:7">
      <c r="B808" t="s">
        <v>13</v>
      </c>
      <c r="C808" vm="2" t="e">
        <f ca="1" t="shared" ref="C808" si="1367">G803/SUMPRODUCT(_xlfn.ANCHORARRAY(C807),_xlfn.ANCHORARRAY(C807))</f>
        <v>#VALUE!</v>
      </c>
      <c r="D808"/>
      <c r="E808"/>
      <c r="G808"/>
    </row>
    <row r="809" spans="1:7">
      <c r="A809" t="s">
        <v>4</v>
      </c>
      <c r="B809" s="17" t="s">
        <v>5</v>
      </c>
      <c r="C809" vm="2" t="e" cm="1">
        <f ca="1" t="array" ref="C809:E809">C802:E802+C808*(C807:E807)</f>
        <v>#VALUE!</v>
      </c>
      <c r="D809" vm="2" t="e">
        <v>#VALUE!</v>
      </c>
      <c r="E809" vm="2" t="e">
        <v>#VALUE!</v>
      </c>
      <c r="G809"/>
    </row>
    <row r="810" spans="1:7">
      <c r="A810" s="1">
        <f>1+A803</f>
        <v>116</v>
      </c>
      <c r="B810" t="s">
        <v>6</v>
      </c>
      <c r="C810" s="14" vm="2" t="e">
        <f ca="1" t="shared" ref="C810:C841" si="1368">3*C809-D809^3-0.5*C809*E809</f>
        <v>#VALUE!</v>
      </c>
      <c r="D810" s="15" vm="2" t="e">
        <f ca="1" t="shared" ref="D810:D841" si="1369">C809^2-(D809+0.1)^2+2*E809+0.9</f>
        <v>#VALUE!</v>
      </c>
      <c r="E810" s="15" vm="2" t="e">
        <f ca="1" t="shared" ref="E810:E841" si="1370">EXP(-C809)+1/D809+1.5*E809+2</f>
        <v>#VALUE!</v>
      </c>
      <c r="G810" s="1" vm="2" t="e">
        <f ca="1">0.5*(C810*C810+D810*D810+E810*E810)</f>
        <v>#VALUE!</v>
      </c>
    </row>
    <row r="811" spans="1:7">
      <c r="C811" s="18" vm="2" t="e">
        <f ca="1" t="shared" ref="C811" si="1371">3-0.5*E809</f>
        <v>#VALUE!</v>
      </c>
      <c r="D811" s="19" vm="2" t="e">
        <f ca="1" t="shared" ref="D811" si="1372">-3*D809^2</f>
        <v>#VALUE!</v>
      </c>
      <c r="E811" s="20" vm="2" t="e">
        <f ca="1" t="shared" ref="E811" si="1373">-0.5*C809</f>
        <v>#VALUE!</v>
      </c>
    </row>
    <row r="812" spans="1:7">
      <c r="B812" t="s">
        <v>7</v>
      </c>
      <c r="C812" s="21" vm="2" t="e">
        <f ca="1" t="shared" ref="C812" si="1374">2*C809</f>
        <v>#VALUE!</v>
      </c>
      <c r="D812" s="15" vm="2" t="e">
        <f ca="1" t="shared" ref="D812" si="1375">-2*(D809+0.1)</f>
        <v>#VALUE!</v>
      </c>
      <c r="E812" s="22">
        <f>2</f>
        <v>2</v>
      </c>
    </row>
    <row r="813" spans="1:7">
      <c r="C813" s="23" vm="2" t="e">
        <f ca="1" t="shared" ref="C813" si="1376">-EXP(-C809)</f>
        <v>#VALUE!</v>
      </c>
      <c r="D813" s="24" vm="2" t="e">
        <f ca="1" t="shared" ref="D813" si="1377">-1/D809^2</f>
        <v>#VALUE!</v>
      </c>
      <c r="E813" s="25">
        <f t="shared" ref="E813:E844" si="1378">1.5</f>
        <v>1.5</v>
      </c>
    </row>
    <row r="814" spans="1:7">
      <c r="B814" t="s">
        <v>12</v>
      </c>
      <c r="C814" vm="2" t="e" cm="1">
        <f ca="1" t="array" ref="C814">-MMULT(C810:E810,C811:E813)</f>
        <v>#VALUE!</v>
      </c>
      <c r="D814"/>
      <c r="E814"/>
      <c r="F814">
        <f>F807</f>
        <v>1</v>
      </c>
      <c r="G814"/>
    </row>
    <row r="815" spans="1:7">
      <c r="B815" t="s">
        <v>13</v>
      </c>
      <c r="C815" vm="2" t="e">
        <f ca="1" t="shared" ref="C815" si="1379">G810/SUMPRODUCT(_xlfn.ANCHORARRAY(C814),_xlfn.ANCHORARRAY(C814))</f>
        <v>#VALUE!</v>
      </c>
      <c r="D815"/>
      <c r="E815"/>
      <c r="G815"/>
    </row>
    <row r="816" spans="1:7">
      <c r="A816" t="s">
        <v>4</v>
      </c>
      <c r="B816" s="17" t="s">
        <v>5</v>
      </c>
      <c r="C816" vm="2" t="e" cm="1">
        <f ca="1" t="array" ref="C816:E816">C809:E809+C815*(C814:E814)</f>
        <v>#VALUE!</v>
      </c>
      <c r="D816" vm="2" t="e">
        <v>#VALUE!</v>
      </c>
      <c r="E816" vm="2" t="e">
        <v>#VALUE!</v>
      </c>
      <c r="G816"/>
    </row>
    <row r="817" spans="1:7">
      <c r="A817" s="1">
        <f>1+A810</f>
        <v>117</v>
      </c>
      <c r="B817" t="s">
        <v>6</v>
      </c>
      <c r="C817" s="14" vm="2" t="e">
        <f ca="1" t="shared" ref="C817:C848" si="1380">3*C816-D816^3-0.5*C816*E816</f>
        <v>#VALUE!</v>
      </c>
      <c r="D817" s="15" vm="2" t="e">
        <f ca="1" t="shared" ref="D817:D848" si="1381">C816^2-(D816+0.1)^2+2*E816+0.9</f>
        <v>#VALUE!</v>
      </c>
      <c r="E817" s="15" vm="2" t="e">
        <f ca="1" t="shared" ref="E817:E848" si="1382">EXP(-C816)+1/D816+1.5*E816+2</f>
        <v>#VALUE!</v>
      </c>
      <c r="G817" s="1" vm="2" t="e">
        <f ca="1">0.5*(C817*C817+D817*D817+E817*E817)</f>
        <v>#VALUE!</v>
      </c>
    </row>
    <row r="818" spans="1:7">
      <c r="C818" s="18" vm="2" t="e">
        <f ca="1" t="shared" ref="C818" si="1383">3-0.5*E816</f>
        <v>#VALUE!</v>
      </c>
      <c r="D818" s="19" vm="2" t="e">
        <f ca="1" t="shared" ref="D818" si="1384">-3*D816^2</f>
        <v>#VALUE!</v>
      </c>
      <c r="E818" s="20" vm="2" t="e">
        <f ca="1" t="shared" ref="E818" si="1385">-0.5*C816</f>
        <v>#VALUE!</v>
      </c>
    </row>
    <row r="819" spans="1:7">
      <c r="B819" t="s">
        <v>7</v>
      </c>
      <c r="C819" s="21" vm="2" t="e">
        <f ca="1" t="shared" ref="C819" si="1386">2*C816</f>
        <v>#VALUE!</v>
      </c>
      <c r="D819" s="15" vm="2" t="e">
        <f ca="1" t="shared" ref="D819" si="1387">-2*(D816+0.1)</f>
        <v>#VALUE!</v>
      </c>
      <c r="E819" s="22">
        <f>2</f>
        <v>2</v>
      </c>
    </row>
    <row r="820" spans="1:7">
      <c r="C820" s="23" vm="2" t="e">
        <f ca="1" t="shared" ref="C820" si="1388">-EXP(-C816)</f>
        <v>#VALUE!</v>
      </c>
      <c r="D820" s="24" vm="2" t="e">
        <f ca="1" t="shared" ref="D820" si="1389">-1/D816^2</f>
        <v>#VALUE!</v>
      </c>
      <c r="E820" s="25">
        <f t="shared" ref="E820:E851" si="1390">1.5</f>
        <v>1.5</v>
      </c>
    </row>
    <row r="821" spans="1:7">
      <c r="B821" t="s">
        <v>12</v>
      </c>
      <c r="C821" vm="2" t="e" cm="1">
        <f ca="1" t="array" ref="C821">-MMULT(C817:E817,C818:E820)</f>
        <v>#VALUE!</v>
      </c>
      <c r="D821"/>
      <c r="E821"/>
      <c r="F821">
        <f>F814</f>
        <v>1</v>
      </c>
      <c r="G821"/>
    </row>
    <row r="822" spans="1:7">
      <c r="B822" t="s">
        <v>13</v>
      </c>
      <c r="C822" vm="2" t="e">
        <f ca="1" t="shared" ref="C822" si="1391">G817/SUMPRODUCT(_xlfn.ANCHORARRAY(C821),_xlfn.ANCHORARRAY(C821))</f>
        <v>#VALUE!</v>
      </c>
      <c r="D822"/>
      <c r="E822"/>
      <c r="G822"/>
    </row>
    <row r="823" spans="1:7">
      <c r="A823" t="s">
        <v>4</v>
      </c>
      <c r="B823" s="17" t="s">
        <v>5</v>
      </c>
      <c r="C823" vm="2" t="e" cm="1">
        <f ca="1" t="array" ref="C823:E823">C816:E816+C822*(C821:E821)</f>
        <v>#VALUE!</v>
      </c>
      <c r="D823" vm="2" t="e">
        <v>#VALUE!</v>
      </c>
      <c r="E823" vm="2" t="e">
        <v>#VALUE!</v>
      </c>
      <c r="G823"/>
    </row>
    <row r="824" spans="1:7">
      <c r="A824" s="1">
        <f>1+A817</f>
        <v>118</v>
      </c>
      <c r="B824" t="s">
        <v>6</v>
      </c>
      <c r="C824" s="14" vm="2" t="e">
        <f ca="1" t="shared" ref="C824:C855" si="1392">3*C823-D823^3-0.5*C823*E823</f>
        <v>#VALUE!</v>
      </c>
      <c r="D824" s="15" vm="2" t="e">
        <f ca="1" t="shared" ref="D824:D855" si="1393">C823^2-(D823+0.1)^2+2*E823+0.9</f>
        <v>#VALUE!</v>
      </c>
      <c r="E824" s="15" vm="2" t="e">
        <f ca="1" t="shared" ref="E824:E855" si="1394">EXP(-C823)+1/D823+1.5*E823+2</f>
        <v>#VALUE!</v>
      </c>
      <c r="G824" s="1" vm="2" t="e">
        <f ca="1">0.5*(C824*C824+D824*D824+E824*E824)</f>
        <v>#VALUE!</v>
      </c>
    </row>
    <row r="825" spans="1:7">
      <c r="C825" s="18" vm="2" t="e">
        <f ca="1" t="shared" ref="C825" si="1395">3-0.5*E823</f>
        <v>#VALUE!</v>
      </c>
      <c r="D825" s="19" vm="2" t="e">
        <f ca="1" t="shared" ref="D825" si="1396">-3*D823^2</f>
        <v>#VALUE!</v>
      </c>
      <c r="E825" s="20" vm="2" t="e">
        <f ca="1" t="shared" ref="E825" si="1397">-0.5*C823</f>
        <v>#VALUE!</v>
      </c>
    </row>
    <row r="826" spans="1:7">
      <c r="B826" t="s">
        <v>7</v>
      </c>
      <c r="C826" s="21" vm="2" t="e">
        <f ca="1" t="shared" ref="C826" si="1398">2*C823</f>
        <v>#VALUE!</v>
      </c>
      <c r="D826" s="15" vm="2" t="e">
        <f ca="1" t="shared" ref="D826" si="1399">-2*(D823+0.1)</f>
        <v>#VALUE!</v>
      </c>
      <c r="E826" s="22">
        <f>2</f>
        <v>2</v>
      </c>
    </row>
    <row r="827" spans="1:7">
      <c r="C827" s="23" vm="2" t="e">
        <f ca="1" t="shared" ref="C827" si="1400">-EXP(-C823)</f>
        <v>#VALUE!</v>
      </c>
      <c r="D827" s="24" vm="2" t="e">
        <f ca="1" t="shared" ref="D827" si="1401">-1/D823^2</f>
        <v>#VALUE!</v>
      </c>
      <c r="E827" s="25">
        <f t="shared" ref="E827:E858" si="1402">1.5</f>
        <v>1.5</v>
      </c>
    </row>
    <row r="828" spans="1:7">
      <c r="B828" t="s">
        <v>12</v>
      </c>
      <c r="C828" vm="2" t="e" cm="1">
        <f ca="1" t="array" ref="C828">-MMULT(C824:E824,C825:E827)</f>
        <v>#VALUE!</v>
      </c>
      <c r="D828"/>
      <c r="E828"/>
      <c r="F828">
        <f>F821</f>
        <v>1</v>
      </c>
      <c r="G828"/>
    </row>
    <row r="829" spans="1:7">
      <c r="B829" t="s">
        <v>13</v>
      </c>
      <c r="C829" vm="2" t="e">
        <f ca="1" t="shared" ref="C829" si="1403">G824/SUMPRODUCT(_xlfn.ANCHORARRAY(C828),_xlfn.ANCHORARRAY(C828))</f>
        <v>#VALUE!</v>
      </c>
      <c r="D829"/>
      <c r="E829"/>
      <c r="G829"/>
    </row>
    <row r="830" spans="1:7">
      <c r="A830" t="s">
        <v>4</v>
      </c>
      <c r="B830" s="17" t="s">
        <v>5</v>
      </c>
      <c r="C830" vm="2" t="e" cm="1">
        <f ca="1" t="array" ref="C830:E830">C823:E823+C829*(C828:E828)</f>
        <v>#VALUE!</v>
      </c>
      <c r="D830" vm="2" t="e">
        <v>#VALUE!</v>
      </c>
      <c r="E830" vm="2" t="e">
        <v>#VALUE!</v>
      </c>
      <c r="G830"/>
    </row>
    <row r="831" spans="1:7">
      <c r="A831" s="1">
        <f>1+A824</f>
        <v>119</v>
      </c>
      <c r="B831" t="s">
        <v>6</v>
      </c>
      <c r="C831" s="14" vm="2" t="e">
        <f ca="1" t="shared" ref="C831:C878" si="1404">3*C830-D830^3-0.5*C830*E830</f>
        <v>#VALUE!</v>
      </c>
      <c r="D831" s="15" vm="2" t="e">
        <f ca="1" t="shared" ref="D831:D878" si="1405">C830^2-(D830+0.1)^2+2*E830+0.9</f>
        <v>#VALUE!</v>
      </c>
      <c r="E831" s="15" vm="2" t="e">
        <f ca="1" t="shared" ref="E831:E878" si="1406">EXP(-C830)+1/D830+1.5*E830+2</f>
        <v>#VALUE!</v>
      </c>
      <c r="G831" s="1" vm="2" t="e">
        <f ca="1">0.5*(C831*C831+D831*D831+E831*E831)</f>
        <v>#VALUE!</v>
      </c>
    </row>
    <row r="832" spans="1:7">
      <c r="C832" s="18" vm="2" t="e">
        <f ca="1" t="shared" ref="C832" si="1407">3-0.5*E830</f>
        <v>#VALUE!</v>
      </c>
      <c r="D832" s="19" vm="2" t="e">
        <f ca="1" t="shared" ref="D832" si="1408">-3*D830^2</f>
        <v>#VALUE!</v>
      </c>
      <c r="E832" s="20" vm="2" t="e">
        <f ca="1" t="shared" ref="E832" si="1409">-0.5*C830</f>
        <v>#VALUE!</v>
      </c>
    </row>
    <row r="833" spans="1:7">
      <c r="B833" t="s">
        <v>7</v>
      </c>
      <c r="C833" s="21" vm="2" t="e">
        <f ca="1" t="shared" ref="C833" si="1410">2*C830</f>
        <v>#VALUE!</v>
      </c>
      <c r="D833" s="15" vm="2" t="e">
        <f ca="1" t="shared" ref="D833" si="1411">-2*(D830+0.1)</f>
        <v>#VALUE!</v>
      </c>
      <c r="E833" s="22">
        <f>2</f>
        <v>2</v>
      </c>
    </row>
    <row r="834" spans="1:7">
      <c r="C834" s="23" vm="2" t="e">
        <f ca="1" t="shared" ref="C834" si="1412">-EXP(-C830)</f>
        <v>#VALUE!</v>
      </c>
      <c r="D834" s="24" vm="2" t="e">
        <f ca="1" t="shared" ref="D834" si="1413">-1/D830^2</f>
        <v>#VALUE!</v>
      </c>
      <c r="E834" s="25">
        <f t="shared" ref="E834:E878" si="1414">1.5</f>
        <v>1.5</v>
      </c>
    </row>
    <row r="835" spans="1:7">
      <c r="B835" t="s">
        <v>12</v>
      </c>
      <c r="C835" vm="2" t="e" cm="1">
        <f ca="1" t="array" ref="C835">-MMULT(C831:E831,C832:E834)</f>
        <v>#VALUE!</v>
      </c>
      <c r="D835"/>
      <c r="E835"/>
      <c r="F835">
        <f>F828</f>
        <v>1</v>
      </c>
      <c r="G835"/>
    </row>
    <row r="836" spans="1:7">
      <c r="B836" t="s">
        <v>13</v>
      </c>
      <c r="C836" vm="2" t="e">
        <f ca="1" t="shared" ref="C836" si="1415">G831/SUMPRODUCT(_xlfn.ANCHORARRAY(C835),_xlfn.ANCHORARRAY(C835))</f>
        <v>#VALUE!</v>
      </c>
      <c r="D836"/>
      <c r="E836"/>
      <c r="G836"/>
    </row>
    <row r="837" spans="1:7">
      <c r="A837" t="s">
        <v>4</v>
      </c>
      <c r="B837" s="17" t="s">
        <v>5</v>
      </c>
      <c r="C837" vm="2" t="e" cm="1">
        <f ca="1" t="array" ref="C837:E837">C830:E830+C836*(C835:E835)</f>
        <v>#VALUE!</v>
      </c>
      <c r="D837" vm="2" t="e">
        <v>#VALUE!</v>
      </c>
      <c r="E837" vm="2" t="e">
        <v>#VALUE!</v>
      </c>
      <c r="G837"/>
    </row>
    <row r="838" spans="1:7">
      <c r="A838" s="1">
        <f>1+A831</f>
        <v>120</v>
      </c>
      <c r="B838" t="s">
        <v>6</v>
      </c>
      <c r="C838" s="14" vm="2" t="e">
        <f ca="1" t="shared" ref="C838:C878" si="1416">3*C837-D837^3-0.5*C837*E837</f>
        <v>#VALUE!</v>
      </c>
      <c r="D838" s="15" vm="2" t="e">
        <f ca="1" t="shared" ref="D838:D878" si="1417">C837^2-(D837+0.1)^2+2*E837+0.9</f>
        <v>#VALUE!</v>
      </c>
      <c r="E838" s="15" vm="2" t="e">
        <f ca="1" t="shared" ref="E838:E878" si="1418">EXP(-C837)+1/D837+1.5*E837+2</f>
        <v>#VALUE!</v>
      </c>
      <c r="G838" s="1" vm="2" t="e">
        <f ca="1">0.5*(C838*C838+D838*D838+E838*E838)</f>
        <v>#VALUE!</v>
      </c>
    </row>
    <row r="839" spans="1:7">
      <c r="C839" s="18" vm="2" t="e">
        <f ca="1" t="shared" ref="C839" si="1419">3-0.5*E837</f>
        <v>#VALUE!</v>
      </c>
      <c r="D839" s="19" vm="2" t="e">
        <f ca="1" t="shared" ref="D839" si="1420">-3*D837^2</f>
        <v>#VALUE!</v>
      </c>
      <c r="E839" s="20" vm="2" t="e">
        <f ca="1" t="shared" ref="E839" si="1421">-0.5*C837</f>
        <v>#VALUE!</v>
      </c>
    </row>
    <row r="840" spans="1:7">
      <c r="B840" t="s">
        <v>7</v>
      </c>
      <c r="C840" s="21" vm="2" t="e">
        <f ca="1" t="shared" ref="C840" si="1422">2*C837</f>
        <v>#VALUE!</v>
      </c>
      <c r="D840" s="15" vm="2" t="e">
        <f ca="1" t="shared" ref="D840" si="1423">-2*(D837+0.1)</f>
        <v>#VALUE!</v>
      </c>
      <c r="E840" s="22">
        <f>2</f>
        <v>2</v>
      </c>
    </row>
    <row r="841" spans="1:7">
      <c r="C841" s="23" vm="2" t="e">
        <f ca="1" t="shared" ref="C841" si="1424">-EXP(-C837)</f>
        <v>#VALUE!</v>
      </c>
      <c r="D841" s="24" vm="2" t="e">
        <f ca="1" t="shared" ref="D841" si="1425">-1/D837^2</f>
        <v>#VALUE!</v>
      </c>
      <c r="E841" s="25">
        <f t="shared" ref="E841:E878" si="1426">1.5</f>
        <v>1.5</v>
      </c>
    </row>
    <row r="842" spans="1:7">
      <c r="B842" t="s">
        <v>12</v>
      </c>
      <c r="C842" vm="2" t="e" cm="1">
        <f ca="1" t="array" ref="C842">-MMULT(C838:E838,C839:E841)</f>
        <v>#VALUE!</v>
      </c>
      <c r="D842"/>
      <c r="E842"/>
      <c r="F842">
        <f>F835</f>
        <v>1</v>
      </c>
      <c r="G842"/>
    </row>
    <row r="843" spans="1:7">
      <c r="B843" t="s">
        <v>13</v>
      </c>
      <c r="C843" vm="2" t="e">
        <f ca="1" t="shared" ref="C843" si="1427">G838/SUMPRODUCT(_xlfn.ANCHORARRAY(C842),_xlfn.ANCHORARRAY(C842))</f>
        <v>#VALUE!</v>
      </c>
      <c r="D843"/>
      <c r="E843"/>
      <c r="G843"/>
    </row>
    <row r="844" spans="1:7">
      <c r="A844" t="s">
        <v>4</v>
      </c>
      <c r="B844" s="17" t="s">
        <v>5</v>
      </c>
      <c r="C844" vm="2" t="e" cm="1">
        <f ca="1" t="array" ref="C844:E844">C837:E837+C843*(C842:E842)</f>
        <v>#VALUE!</v>
      </c>
      <c r="D844" vm="2" t="e">
        <v>#VALUE!</v>
      </c>
      <c r="E844" vm="2" t="e">
        <v>#VALUE!</v>
      </c>
      <c r="G844"/>
    </row>
    <row r="845" spans="1:7">
      <c r="A845" s="1">
        <f>1+A838</f>
        <v>121</v>
      </c>
      <c r="B845" t="s">
        <v>6</v>
      </c>
      <c r="C845" s="14" vm="2" t="e">
        <f ca="1" t="shared" ref="C845:C878" si="1428">3*C844-D844^3-0.5*C844*E844</f>
        <v>#VALUE!</v>
      </c>
      <c r="D845" s="15" vm="2" t="e">
        <f ca="1" t="shared" ref="D845:D878" si="1429">C844^2-(D844+0.1)^2+2*E844+0.9</f>
        <v>#VALUE!</v>
      </c>
      <c r="E845" s="15" vm="2" t="e">
        <f ca="1" t="shared" ref="E845:E878" si="1430">EXP(-C844)+1/D844+1.5*E844+2</f>
        <v>#VALUE!</v>
      </c>
      <c r="G845" s="1" vm="2" t="e">
        <f ca="1">0.5*(C845*C845+D845*D845+E845*E845)</f>
        <v>#VALUE!</v>
      </c>
    </row>
    <row r="846" spans="1:7">
      <c r="C846" s="18" vm="2" t="e">
        <f ca="1" t="shared" ref="C846" si="1431">3-0.5*E844</f>
        <v>#VALUE!</v>
      </c>
      <c r="D846" s="19" vm="2" t="e">
        <f ca="1" t="shared" ref="D846" si="1432">-3*D844^2</f>
        <v>#VALUE!</v>
      </c>
      <c r="E846" s="20" vm="2" t="e">
        <f ca="1" t="shared" ref="E846" si="1433">-0.5*C844</f>
        <v>#VALUE!</v>
      </c>
    </row>
    <row r="847" spans="1:7">
      <c r="B847" t="s">
        <v>7</v>
      </c>
      <c r="C847" s="21" vm="2" t="e">
        <f ca="1" t="shared" ref="C847" si="1434">2*C844</f>
        <v>#VALUE!</v>
      </c>
      <c r="D847" s="15" vm="2" t="e">
        <f ca="1" t="shared" ref="D847" si="1435">-2*(D844+0.1)</f>
        <v>#VALUE!</v>
      </c>
      <c r="E847" s="22">
        <f>2</f>
        <v>2</v>
      </c>
    </row>
    <row r="848" spans="1:7">
      <c r="C848" s="23" vm="2" t="e">
        <f ca="1" t="shared" ref="C848" si="1436">-EXP(-C844)</f>
        <v>#VALUE!</v>
      </c>
      <c r="D848" s="24" vm="2" t="e">
        <f ca="1" t="shared" ref="D848" si="1437">-1/D844^2</f>
        <v>#VALUE!</v>
      </c>
      <c r="E848" s="25">
        <f t="shared" ref="E848:E878" si="1438">1.5</f>
        <v>1.5</v>
      </c>
    </row>
    <row r="849" spans="1:7">
      <c r="B849" t="s">
        <v>12</v>
      </c>
      <c r="C849" vm="2" t="e" cm="1">
        <f ca="1" t="array" ref="C849">-MMULT(C845:E845,C846:E848)</f>
        <v>#VALUE!</v>
      </c>
      <c r="D849"/>
      <c r="E849"/>
      <c r="F849">
        <f>F842</f>
        <v>1</v>
      </c>
      <c r="G849"/>
    </row>
    <row r="850" spans="1:7">
      <c r="B850" t="s">
        <v>13</v>
      </c>
      <c r="C850" vm="2" t="e">
        <f ca="1" t="shared" ref="C850" si="1439">G845/SUMPRODUCT(_xlfn.ANCHORARRAY(C849),_xlfn.ANCHORARRAY(C849))</f>
        <v>#VALUE!</v>
      </c>
      <c r="D850"/>
      <c r="E850"/>
      <c r="G850"/>
    </row>
    <row r="851" spans="1:7">
      <c r="A851" t="s">
        <v>4</v>
      </c>
      <c r="B851" s="17" t="s">
        <v>5</v>
      </c>
      <c r="C851" vm="2" t="e" cm="1">
        <f ca="1" t="array" ref="C851:E851">C844:E844+C850*(C849:E849)</f>
        <v>#VALUE!</v>
      </c>
      <c r="D851" vm="2" t="e">
        <v>#VALUE!</v>
      </c>
      <c r="E851" vm="2" t="e">
        <v>#VALUE!</v>
      </c>
      <c r="G851"/>
    </row>
    <row r="852" spans="1:7">
      <c r="A852" s="1">
        <f>1+A845</f>
        <v>122</v>
      </c>
      <c r="B852" t="s">
        <v>6</v>
      </c>
      <c r="C852" s="14" vm="2" t="e">
        <f ca="1" t="shared" ref="C852:C878" si="1440">3*C851-D851^3-0.5*C851*E851</f>
        <v>#VALUE!</v>
      </c>
      <c r="D852" s="15" vm="2" t="e">
        <f ca="1" t="shared" ref="D852:D878" si="1441">C851^2-(D851+0.1)^2+2*E851+0.9</f>
        <v>#VALUE!</v>
      </c>
      <c r="E852" s="15" vm="2" t="e">
        <f ca="1" t="shared" ref="E852:E878" si="1442">EXP(-C851)+1/D851+1.5*E851+2</f>
        <v>#VALUE!</v>
      </c>
      <c r="G852" s="1" vm="2" t="e">
        <f ca="1">0.5*(C852*C852+D852*D852+E852*E852)</f>
        <v>#VALUE!</v>
      </c>
    </row>
    <row r="853" spans="1:7">
      <c r="C853" s="18" vm="2" t="e">
        <f ca="1" t="shared" ref="C853" si="1443">3-0.5*E851</f>
        <v>#VALUE!</v>
      </c>
      <c r="D853" s="19" vm="2" t="e">
        <f ca="1" t="shared" ref="D853" si="1444">-3*D851^2</f>
        <v>#VALUE!</v>
      </c>
      <c r="E853" s="20" vm="2" t="e">
        <f ca="1" t="shared" ref="E853" si="1445">-0.5*C851</f>
        <v>#VALUE!</v>
      </c>
    </row>
    <row r="854" spans="1:7">
      <c r="B854" t="s">
        <v>7</v>
      </c>
      <c r="C854" s="21" vm="2" t="e">
        <f ca="1" t="shared" ref="C854" si="1446">2*C851</f>
        <v>#VALUE!</v>
      </c>
      <c r="D854" s="15" vm="2" t="e">
        <f ca="1" t="shared" ref="D854" si="1447">-2*(D851+0.1)</f>
        <v>#VALUE!</v>
      </c>
      <c r="E854" s="22">
        <f>2</f>
        <v>2</v>
      </c>
    </row>
    <row r="855" spans="1:7">
      <c r="C855" s="23" vm="2" t="e">
        <f ca="1" t="shared" ref="C855" si="1448">-EXP(-C851)</f>
        <v>#VALUE!</v>
      </c>
      <c r="D855" s="24" vm="2" t="e">
        <f ca="1" t="shared" ref="D855" si="1449">-1/D851^2</f>
        <v>#VALUE!</v>
      </c>
      <c r="E855" s="25">
        <f t="shared" ref="E855:E878" si="1450">1.5</f>
        <v>1.5</v>
      </c>
    </row>
    <row r="856" spans="1:7">
      <c r="B856" t="s">
        <v>12</v>
      </c>
      <c r="C856" vm="2" t="e" cm="1">
        <f ca="1" t="array" ref="C856">-MMULT(C852:E852,C853:E855)</f>
        <v>#VALUE!</v>
      </c>
      <c r="D856"/>
      <c r="E856"/>
      <c r="F856">
        <f>F849</f>
        <v>1</v>
      </c>
      <c r="G856"/>
    </row>
    <row r="857" spans="1:7">
      <c r="B857" t="s">
        <v>13</v>
      </c>
      <c r="C857" vm="2" t="e">
        <f ca="1" t="shared" ref="C857" si="1451">G852/SUMPRODUCT(_xlfn.ANCHORARRAY(C856),_xlfn.ANCHORARRAY(C856))</f>
        <v>#VALUE!</v>
      </c>
      <c r="D857"/>
      <c r="E857"/>
      <c r="G857"/>
    </row>
    <row r="858" spans="1:7">
      <c r="A858" t="s">
        <v>4</v>
      </c>
      <c r="B858" s="17" t="s">
        <v>5</v>
      </c>
      <c r="C858" vm="2" t="e" cm="1">
        <f ca="1" t="array" ref="C858:E858">C851:E851+C857*(C856:E856)</f>
        <v>#VALUE!</v>
      </c>
      <c r="D858" vm="2" t="e">
        <v>#VALUE!</v>
      </c>
      <c r="E858" vm="2" t="e">
        <v>#VALUE!</v>
      </c>
      <c r="G858"/>
    </row>
    <row r="859" spans="1:7">
      <c r="A859" s="1">
        <f>1+A852</f>
        <v>123</v>
      </c>
      <c r="B859" t="s">
        <v>6</v>
      </c>
      <c r="C859" s="14" vm="2" t="e">
        <f ca="1" t="shared" ref="C859:C878" si="1452">3*C858-D858^3-0.5*C858*E858</f>
        <v>#VALUE!</v>
      </c>
      <c r="D859" s="15" vm="2" t="e">
        <f ca="1" t="shared" ref="D859:D878" si="1453">C858^2-(D858+0.1)^2+2*E858+0.9</f>
        <v>#VALUE!</v>
      </c>
      <c r="E859" s="15" vm="2" t="e">
        <f ca="1" t="shared" ref="E859:E878" si="1454">EXP(-C858)+1/D858+1.5*E858+2</f>
        <v>#VALUE!</v>
      </c>
      <c r="G859" s="1" vm="2" t="e">
        <f ca="1">0.5*(C859*C859+D859*D859+E859*E859)</f>
        <v>#VALUE!</v>
      </c>
    </row>
    <row r="860" spans="1:7">
      <c r="C860" s="18" vm="2" t="e">
        <f ca="1" t="shared" ref="C860" si="1455">3-0.5*E858</f>
        <v>#VALUE!</v>
      </c>
      <c r="D860" s="19" vm="2" t="e">
        <f ca="1" t="shared" ref="D860" si="1456">-3*D858^2</f>
        <v>#VALUE!</v>
      </c>
      <c r="E860" s="20" vm="2" t="e">
        <f ca="1" t="shared" ref="E860" si="1457">-0.5*C858</f>
        <v>#VALUE!</v>
      </c>
    </row>
    <row r="861" spans="1:7">
      <c r="B861" t="s">
        <v>7</v>
      </c>
      <c r="C861" s="21" vm="2" t="e">
        <f ca="1" t="shared" ref="C861" si="1458">2*C858</f>
        <v>#VALUE!</v>
      </c>
      <c r="D861" s="15" vm="2" t="e">
        <f ca="1" t="shared" ref="D861" si="1459">-2*(D858+0.1)</f>
        <v>#VALUE!</v>
      </c>
      <c r="E861" s="22">
        <f>2</f>
        <v>2</v>
      </c>
    </row>
    <row r="862" spans="1:7">
      <c r="C862" s="23" vm="2" t="e">
        <f ca="1" t="shared" ref="C862" si="1460">-EXP(-C858)</f>
        <v>#VALUE!</v>
      </c>
      <c r="D862" s="24" vm="2" t="e">
        <f ca="1" t="shared" ref="D862" si="1461">-1/D858^2</f>
        <v>#VALUE!</v>
      </c>
      <c r="E862" s="25">
        <f t="shared" ref="E862:E878" si="1462">1.5</f>
        <v>1.5</v>
      </c>
    </row>
    <row r="863" spans="1:7">
      <c r="B863" t="s">
        <v>12</v>
      </c>
      <c r="C863" vm="2" t="e" cm="1">
        <f ca="1" t="array" ref="C863">-MMULT(C859:E859,C860:E862)</f>
        <v>#VALUE!</v>
      </c>
      <c r="D863"/>
      <c r="E863"/>
      <c r="F863">
        <f>F856</f>
        <v>1</v>
      </c>
      <c r="G863"/>
    </row>
    <row r="864" spans="1:7">
      <c r="B864" t="s">
        <v>13</v>
      </c>
      <c r="C864" vm="2" t="e">
        <f ca="1" t="shared" ref="C864" si="1463">G859/SUMPRODUCT(_xlfn.ANCHORARRAY(C863),_xlfn.ANCHORARRAY(C863))</f>
        <v>#VALUE!</v>
      </c>
      <c r="D864"/>
      <c r="E864"/>
      <c r="G864"/>
    </row>
    <row r="865" spans="1:7">
      <c r="A865" t="s">
        <v>4</v>
      </c>
      <c r="B865" s="17" t="s">
        <v>5</v>
      </c>
      <c r="C865" vm="2" t="e" cm="1">
        <f ca="1" t="array" ref="C865:E865">C858:E858+C864*(C863:E863)</f>
        <v>#VALUE!</v>
      </c>
      <c r="D865" vm="2" t="e">
        <v>#VALUE!</v>
      </c>
      <c r="E865" vm="2" t="e">
        <v>#VALUE!</v>
      </c>
      <c r="G865"/>
    </row>
    <row r="866" spans="1:7">
      <c r="A866" s="1">
        <f>1+A859</f>
        <v>124</v>
      </c>
      <c r="B866" t="s">
        <v>6</v>
      </c>
      <c r="C866" s="14" vm="2" t="e">
        <f ca="1" t="shared" ref="C866:C878" si="1464">3*C865-D865^3-0.5*C865*E865</f>
        <v>#VALUE!</v>
      </c>
      <c r="D866" s="15" vm="2" t="e">
        <f ca="1" t="shared" ref="D866:D878" si="1465">C865^2-(D865+0.1)^2+2*E865+0.9</f>
        <v>#VALUE!</v>
      </c>
      <c r="E866" s="15" vm="2" t="e">
        <f ca="1" t="shared" ref="E866:E878" si="1466">EXP(-C865)+1/D865+1.5*E865+2</f>
        <v>#VALUE!</v>
      </c>
      <c r="G866" s="1" vm="2" t="e">
        <f ca="1">0.5*(C866*C866+D866*D866+E866*E866)</f>
        <v>#VALUE!</v>
      </c>
    </row>
    <row r="867" spans="1:7">
      <c r="C867" s="18" vm="2" t="e">
        <f ca="1" t="shared" ref="C867" si="1467">3-0.5*E865</f>
        <v>#VALUE!</v>
      </c>
      <c r="D867" s="19" vm="2" t="e">
        <f ca="1" t="shared" ref="D867" si="1468">-3*D865^2</f>
        <v>#VALUE!</v>
      </c>
      <c r="E867" s="20" vm="2" t="e">
        <f ca="1" t="shared" ref="E867" si="1469">-0.5*C865</f>
        <v>#VALUE!</v>
      </c>
    </row>
    <row r="868" spans="1:7">
      <c r="B868" t="s">
        <v>7</v>
      </c>
      <c r="C868" s="21" vm="2" t="e">
        <f ca="1" t="shared" ref="C868" si="1470">2*C865</f>
        <v>#VALUE!</v>
      </c>
      <c r="D868" s="15" vm="2" t="e">
        <f ca="1" t="shared" ref="D868" si="1471">-2*(D865+0.1)</f>
        <v>#VALUE!</v>
      </c>
      <c r="E868" s="22">
        <f>2</f>
        <v>2</v>
      </c>
    </row>
    <row r="869" spans="1:7">
      <c r="C869" s="23" vm="2" t="e">
        <f ca="1" t="shared" ref="C869" si="1472">-EXP(-C865)</f>
        <v>#VALUE!</v>
      </c>
      <c r="D869" s="24" vm="2" t="e">
        <f ca="1" t="shared" ref="D869" si="1473">-1/D865^2</f>
        <v>#VALUE!</v>
      </c>
      <c r="E869" s="25">
        <f t="shared" ref="E869:E878" si="1474">1.5</f>
        <v>1.5</v>
      </c>
    </row>
    <row r="870" spans="1:7">
      <c r="B870" t="s">
        <v>12</v>
      </c>
      <c r="C870" vm="2" t="e" cm="1">
        <f ca="1" t="array" ref="C870">-MMULT(C866:E866,C867:E869)</f>
        <v>#VALUE!</v>
      </c>
      <c r="D870"/>
      <c r="E870"/>
      <c r="F870">
        <f>F863</f>
        <v>1</v>
      </c>
      <c r="G870"/>
    </row>
    <row r="871" spans="1:7">
      <c r="B871" t="s">
        <v>13</v>
      </c>
      <c r="C871" vm="2" t="e">
        <f ca="1" t="shared" ref="C871" si="1475">G866/SUMPRODUCT(_xlfn.ANCHORARRAY(C870),_xlfn.ANCHORARRAY(C870))</f>
        <v>#VALUE!</v>
      </c>
      <c r="D871"/>
      <c r="E871"/>
      <c r="G871"/>
    </row>
    <row r="872" spans="1:7">
      <c r="A872" t="s">
        <v>4</v>
      </c>
      <c r="B872" s="17" t="s">
        <v>5</v>
      </c>
      <c r="C872" vm="2" t="e" cm="1">
        <f ca="1" t="array" ref="C872:E872">C865:E865+C871*(C870:E870)</f>
        <v>#VALUE!</v>
      </c>
      <c r="D872" vm="2" t="e">
        <v>#VALUE!</v>
      </c>
      <c r="E872" vm="2" t="e">
        <v>#VALUE!</v>
      </c>
      <c r="G872"/>
    </row>
    <row r="873" spans="1:7">
      <c r="A873" s="1">
        <f>1+A866</f>
        <v>125</v>
      </c>
      <c r="B873" t="s">
        <v>6</v>
      </c>
      <c r="C873" s="14" vm="2" t="e">
        <f ca="1" t="shared" ref="C873:C878" si="1476">3*C872-D872^3-0.5*C872*E872</f>
        <v>#VALUE!</v>
      </c>
      <c r="D873" s="15" vm="2" t="e">
        <f ca="1" t="shared" ref="D873:D878" si="1477">C872^2-(D872+0.1)^2+2*E872+0.9</f>
        <v>#VALUE!</v>
      </c>
      <c r="E873" s="15" vm="2" t="e">
        <f ca="1" t="shared" ref="E873:E878" si="1478">EXP(-C872)+1/D872+1.5*E872+2</f>
        <v>#VALUE!</v>
      </c>
      <c r="G873" s="1" vm="2" t="e">
        <f ca="1">0.5*(C873*C873+D873*D873+E873*E873)</f>
        <v>#VALUE!</v>
      </c>
    </row>
    <row r="874" spans="1:7">
      <c r="C874" s="18" vm="2" t="e">
        <f ca="1">3-0.5*E872</f>
        <v>#VALUE!</v>
      </c>
      <c r="D874" s="19" vm="2" t="e">
        <f ca="1" t="shared" ref="D874" si="1479">-3*D872^2</f>
        <v>#VALUE!</v>
      </c>
      <c r="E874" s="20" vm="2" t="e">
        <f ca="1" t="shared" ref="E874" si="1480">-0.5*C872</f>
        <v>#VALUE!</v>
      </c>
    </row>
    <row r="875" spans="1:7">
      <c r="B875" t="s">
        <v>7</v>
      </c>
      <c r="C875" s="21" vm="2" t="e">
        <f ca="1" t="shared" ref="C875" si="1481">2*C872</f>
        <v>#VALUE!</v>
      </c>
      <c r="D875" s="15" vm="2" t="e">
        <f ca="1" t="shared" ref="D875" si="1482">-2*(D872+0.1)</f>
        <v>#VALUE!</v>
      </c>
      <c r="E875" s="22">
        <f>2</f>
        <v>2</v>
      </c>
    </row>
    <row r="876" spans="1:7">
      <c r="C876" s="23" vm="2" t="e">
        <f ca="1" t="shared" ref="C876" si="1483">-EXP(-C872)</f>
        <v>#VALUE!</v>
      </c>
      <c r="D876" s="24" vm="2" t="e">
        <f ca="1" t="shared" ref="D876" si="1484">-1/D872^2</f>
        <v>#VALUE!</v>
      </c>
      <c r="E876" s="25">
        <f t="shared" ref="E876:E878" si="1485">1.5</f>
        <v>1.5</v>
      </c>
    </row>
    <row r="877" spans="1:7">
      <c r="B877" t="s">
        <v>12</v>
      </c>
      <c r="C877" vm="2" t="e" cm="1">
        <f ca="1" t="array" ref="C877">-MMULT(C873:E873,C874:E876)</f>
        <v>#VALUE!</v>
      </c>
      <c r="D877"/>
      <c r="E877"/>
      <c r="F877">
        <f>F870</f>
        <v>1</v>
      </c>
      <c r="G877"/>
    </row>
    <row r="878" spans="1:7">
      <c r="B878" t="s">
        <v>13</v>
      </c>
      <c r="C878" vm="2" t="e">
        <f ca="1" t="shared" ref="C878" si="1486">G873/SUMPRODUCT(_xlfn.ANCHORARRAY(C877),_xlfn.ANCHORARRAY(C877))</f>
        <v>#VALUE!</v>
      </c>
      <c r="D878"/>
      <c r="E878"/>
      <c r="G878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6145" progId="Equation.DSMT4" r:id="rId3">
          <objectPr defaultSize="0" r:id="rId4">
            <anchor moveWithCells="1">
              <from>
                <xdr:col>8</xdr:col>
                <xdr:colOff>50800</xdr:colOff>
                <xdr:row>15</xdr:row>
                <xdr:rowOff>127000</xdr:rowOff>
              </from>
              <to>
                <xdr:col>12</xdr:col>
                <xdr:colOff>622300</xdr:colOff>
                <xdr:row>22</xdr:row>
                <xdr:rowOff>19050</xdr:rowOff>
              </to>
            </anchor>
          </objectPr>
        </oleObject>
      </mc:Choice>
      <mc:Fallback>
        <oleObject shapeId="6145" progId="Equation.DSMT4" r:id="rId3"/>
      </mc:Fallback>
    </mc:AlternateContent>
    <mc:AlternateContent xmlns:mc="http://schemas.openxmlformats.org/markup-compatibility/2006">
      <mc:Choice Requires="x14">
        <oleObject shapeId="6148" progId="Equation.DSMT4" r:id="rId5">
          <objectPr defaultSize="0" r:id="rId6">
            <anchor moveWithCells="1">
              <from>
                <xdr:col>9</xdr:col>
                <xdr:colOff>50800</xdr:colOff>
                <xdr:row>23</xdr:row>
                <xdr:rowOff>133350</xdr:rowOff>
              </from>
              <to>
                <xdr:col>14</xdr:col>
                <xdr:colOff>419100</xdr:colOff>
                <xdr:row>35</xdr:row>
                <xdr:rowOff>146050</xdr:rowOff>
              </to>
            </anchor>
          </objectPr>
        </oleObject>
      </mc:Choice>
      <mc:Fallback>
        <oleObject shapeId="6148" progId="Equation.DSMT4" r:id="rId5"/>
      </mc:Fallback>
    </mc:AlternateContent>
    <mc:AlternateContent xmlns:mc="http://schemas.openxmlformats.org/markup-compatibility/2006">
      <mc:Choice Requires="x14">
        <oleObject shapeId="6149" progId="Equation.DSMT4" r:id="rId7">
          <objectPr defaultSize="0" r:id="rId8">
            <anchor moveWithCells="1" sizeWithCells="1">
              <from>
                <xdr:col>7</xdr:col>
                <xdr:colOff>508000</xdr:colOff>
                <xdr:row>7</xdr:row>
                <xdr:rowOff>57150</xdr:rowOff>
              </from>
              <to>
                <xdr:col>18</xdr:col>
                <xdr:colOff>304800</xdr:colOff>
                <xdr:row>15</xdr:row>
                <xdr:rowOff>165100</xdr:rowOff>
              </to>
            </anchor>
          </objectPr>
        </oleObject>
      </mc:Choice>
      <mc:Fallback>
        <oleObject shapeId="6149" progId="Equation.DSMT4" r:id="rId7"/>
      </mc:Fallback>
    </mc:AlternateContent>
    <mc:AlternateContent xmlns:mc="http://schemas.openxmlformats.org/markup-compatibility/2006">
      <mc:Choice Requires="x14">
        <oleObject shapeId="6150" progId="Equation.DSMT4" r:id="rId9">
          <objectPr defaultSize="0" r:id="rId10">
            <anchor moveWithCells="1" sizeWithCells="1">
              <from>
                <xdr:col>7</xdr:col>
                <xdr:colOff>488950</xdr:colOff>
                <xdr:row>0</xdr:row>
                <xdr:rowOff>127000</xdr:rowOff>
              </from>
              <to>
                <xdr:col>18</xdr:col>
                <xdr:colOff>209550</xdr:colOff>
                <xdr:row>6</xdr:row>
                <xdr:rowOff>95250</xdr:rowOff>
              </to>
            </anchor>
          </objectPr>
        </oleObject>
      </mc:Choice>
      <mc:Fallback>
        <oleObject shapeId="6150" progId="Equation.DSMT4" r:id="rId9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6"/>
  <sheetViews>
    <sheetView workbookViewId="0">
      <selection activeCell="C3" sqref="C3"/>
    </sheetView>
  </sheetViews>
  <sheetFormatPr defaultColWidth="9" defaultRowHeight="16.8"/>
  <cols>
    <col min="1" max="1" width="9" style="1"/>
    <col min="2" max="2" width="14.2692307692308" customWidth="1"/>
    <col min="3" max="3" width="12.9038461538462" style="1" customWidth="1"/>
    <col min="4" max="4" width="12.2692307692308" style="1" customWidth="1"/>
    <col min="5" max="5" width="11.6346153846154" style="1" customWidth="1"/>
    <col min="6" max="6" width="13.9038461538462" style="1" customWidth="1"/>
    <col min="7" max="7" width="13.0865384615385" style="1" customWidth="1"/>
    <col min="8" max="8" width="5.26923076923077" style="1" customWidth="1"/>
    <col min="9" max="9" width="7.36538461538461" style="1" customWidth="1"/>
    <col min="10" max="10" width="15.0865384615385" style="1" customWidth="1"/>
    <col min="11" max="11" width="10.3653846153846" style="2" customWidth="1"/>
    <col min="16" max="16" width="10.3653846153846" style="2"/>
    <col min="20" max="20" width="10.3653846153846" customWidth="1"/>
    <col min="22" max="22" width="9.36538461538461" customWidth="1"/>
    <col min="23" max="26" width="10.3653846153846" customWidth="1"/>
    <col min="28" max="28" width="10.3653846153846" customWidth="1"/>
  </cols>
  <sheetData>
    <row r="1" spans="1:10">
      <c r="C1" s="1" t="s">
        <v>0</v>
      </c>
      <c r="D1" s="1" t="s">
        <v>1</v>
      </c>
      <c r="E1" s="1" t="s">
        <v>2</v>
      </c>
      <c r="F1" s="1" t="s">
        <v>14</v>
      </c>
      <c r="G1" s="1" t="s">
        <v>15</v>
      </c>
      <c r="I1" s="1" t="s">
        <v>16</v>
      </c>
      <c r="J1" s="1" t="s">
        <v>17</v>
      </c>
    </row>
    <row r="2" spans="1:10">
      <c r="A2" s="1" t="s">
        <v>4</v>
      </c>
      <c r="B2" t="s">
        <v>18</v>
      </c>
      <c r="C2" s="3">
        <v>1</v>
      </c>
      <c r="D2" s="3">
        <v>1</v>
      </c>
      <c r="E2" s="3">
        <v>1</v>
      </c>
      <c r="F2" s="4">
        <v>1</v>
      </c>
      <c r="G2" s="4">
        <v>1</v>
      </c>
    </row>
    <row r="3" spans="1:10">
      <c r="A3" s="1">
        <v>1</v>
      </c>
      <c r="B3" t="s">
        <v>19</v>
      </c>
      <c r="J3" s="1">
        <f>0.5*(C3*C3+D3*D3+E3*E3+F3*F3+G3*G3)</f>
        <v>0</v>
      </c>
    </row>
    <row r="4" spans="1:10">
      <c r="C4" s="5"/>
      <c r="D4" s="6"/>
      <c r="E4" s="6"/>
      <c r="F4" s="6"/>
      <c r="G4" s="7"/>
    </row>
    <row r="5" spans="1:10">
      <c r="C5" s="8"/>
      <c r="G5" s="9"/>
    </row>
    <row r="6" spans="1:10">
      <c r="B6" t="s">
        <v>20</v>
      </c>
      <c r="C6" s="8"/>
      <c r="G6" s="9"/>
    </row>
    <row r="7" spans="1:10">
      <c r="C7" s="8"/>
      <c r="G7" s="9"/>
    </row>
    <row r="8" spans="1:10">
      <c r="C8" s="10"/>
      <c r="D8" s="11"/>
      <c r="E8" s="11"/>
      <c r="F8" s="11"/>
      <c r="G8" s="12"/>
    </row>
    <row r="9" spans="1:10">
      <c r="B9" t="s">
        <v>21</v>
      </c>
    </row>
    <row r="10" spans="1:10">
      <c r="B10" t="s">
        <v>13</v>
      </c>
    </row>
    <row r="11" spans="1:10">
      <c r="A11" s="1" t="s">
        <v>4</v>
      </c>
      <c r="B11" t="s">
        <v>5</v>
      </c>
    </row>
    <row r="12" spans="1:10">
      <c r="A12" s="1">
        <f>A3+1</f>
        <v>2</v>
      </c>
      <c r="B12" t="s">
        <v>19</v>
      </c>
      <c r="J12" s="1">
        <f>0.5*(C12*C12+D12*D12+E12*E12+F12*F12+G12*G12)</f>
        <v>0</v>
      </c>
    </row>
    <row r="13" spans="1:10">
      <c r="C13" s="5"/>
      <c r="D13" s="6"/>
      <c r="E13" s="6"/>
      <c r="F13" s="6"/>
      <c r="G13" s="7"/>
    </row>
    <row r="14" spans="1:10">
      <c r="C14" s="8"/>
      <c r="G14" s="9"/>
    </row>
    <row r="15" spans="1:10">
      <c r="B15" t="s">
        <v>20</v>
      </c>
      <c r="C15" s="8"/>
      <c r="G15" s="9"/>
      <c r="H15" s="13"/>
    </row>
    <row r="16" spans="1:10">
      <c r="C16" s="8"/>
      <c r="G16" s="9"/>
    </row>
    <row r="17" spans="1:10">
      <c r="C17" s="10"/>
      <c r="D17" s="11"/>
      <c r="E17" s="11"/>
      <c r="F17" s="11"/>
      <c r="G17" s="12"/>
    </row>
    <row r="18" spans="1:10">
      <c r="B18" t="s">
        <v>21</v>
      </c>
    </row>
    <row r="19" spans="1:10">
      <c r="B19" t="s">
        <v>13</v>
      </c>
    </row>
    <row r="20" spans="1:10">
      <c r="A20" s="1" t="s">
        <v>4</v>
      </c>
      <c r="B20" t="s">
        <v>5</v>
      </c>
    </row>
    <row r="21" spans="1:10">
      <c r="A21" s="1">
        <f>A12+1</f>
        <v>3</v>
      </c>
      <c r="B21" t="s">
        <v>19</v>
      </c>
      <c r="J21" s="1">
        <f>0.5*(C21*C21+D21*D21+E21*E21+F21*F21+G21*G21)</f>
        <v>0</v>
      </c>
    </row>
    <row r="22" spans="1:10">
      <c r="C22" s="5"/>
      <c r="D22" s="6"/>
      <c r="E22" s="6"/>
      <c r="F22" s="6"/>
      <c r="G22" s="7"/>
    </row>
    <row r="23" spans="1:10">
      <c r="C23" s="8"/>
      <c r="G23" s="9"/>
    </row>
    <row r="24" spans="1:10">
      <c r="B24" t="s">
        <v>20</v>
      </c>
      <c r="C24" s="8"/>
      <c r="G24" s="9"/>
      <c r="H24" s="13"/>
    </row>
    <row r="25" spans="1:10">
      <c r="C25" s="8"/>
      <c r="G25" s="9"/>
    </row>
    <row r="26" spans="1:10">
      <c r="C26" s="10"/>
      <c r="D26" s="11"/>
      <c r="E26" s="11"/>
      <c r="F26" s="11"/>
      <c r="G26" s="12"/>
    </row>
    <row r="27" spans="1:10">
      <c r="B27" t="s">
        <v>21</v>
      </c>
    </row>
    <row r="28" spans="1:10">
      <c r="B28" t="s">
        <v>13</v>
      </c>
    </row>
    <row r="29" spans="1:10">
      <c r="A29" s="1" t="s">
        <v>4</v>
      </c>
      <c r="B29" t="s">
        <v>5</v>
      </c>
    </row>
    <row r="30" spans="1:10">
      <c r="A30" s="1">
        <f>A21+1</f>
        <v>4</v>
      </c>
      <c r="B30" t="s">
        <v>19</v>
      </c>
      <c r="J30" s="1">
        <f>0.5*(C30*C30+D30*D30+E30*E30+F30*F30+G30*G30)</f>
        <v>0</v>
      </c>
    </row>
    <row r="31" spans="1:10">
      <c r="C31" s="5"/>
      <c r="D31" s="6"/>
      <c r="E31" s="6"/>
      <c r="F31" s="6"/>
      <c r="G31" s="7"/>
    </row>
    <row r="32" spans="1:10">
      <c r="C32" s="8"/>
      <c r="G32" s="9"/>
    </row>
    <row r="33" spans="1:10">
      <c r="B33" t="s">
        <v>20</v>
      </c>
      <c r="C33" s="8"/>
      <c r="G33" s="9"/>
      <c r="H33" s="13"/>
    </row>
    <row r="34" spans="1:10">
      <c r="C34" s="8"/>
      <c r="G34" s="9"/>
    </row>
    <row r="35" spans="1:10">
      <c r="C35" s="10"/>
      <c r="D35" s="11"/>
      <c r="E35" s="11"/>
      <c r="F35" s="11"/>
      <c r="G35" s="12"/>
    </row>
    <row r="36" spans="1:10">
      <c r="B36" t="s">
        <v>21</v>
      </c>
    </row>
    <row r="37" spans="1:10">
      <c r="B37" t="s">
        <v>13</v>
      </c>
    </row>
    <row r="38" spans="1:10">
      <c r="A38" s="1" t="s">
        <v>4</v>
      </c>
      <c r="B38" t="s">
        <v>5</v>
      </c>
    </row>
    <row r="39" spans="1:10">
      <c r="A39" s="1">
        <f>A30+1</f>
        <v>5</v>
      </c>
      <c r="B39" t="s">
        <v>19</v>
      </c>
      <c r="J39" s="1">
        <f>0.5*(C39*C39+D39*D39+E39*E39+F39*F39+G39*G39)</f>
        <v>0</v>
      </c>
    </row>
    <row r="40" spans="1:10">
      <c r="C40" s="5"/>
      <c r="D40" s="6"/>
      <c r="E40" s="6"/>
      <c r="F40" s="6"/>
      <c r="G40" s="7"/>
    </row>
    <row r="41" spans="1:10">
      <c r="C41" s="8"/>
      <c r="G41" s="9"/>
    </row>
    <row r="42" spans="1:10">
      <c r="B42" t="s">
        <v>20</v>
      </c>
      <c r="C42" s="8"/>
      <c r="G42" s="9"/>
      <c r="H42" s="13"/>
    </row>
    <row r="43" spans="1:10">
      <c r="C43" s="8"/>
      <c r="G43" s="9"/>
    </row>
    <row r="44" spans="1:10">
      <c r="C44" s="10"/>
      <c r="D44" s="11"/>
      <c r="E44" s="11"/>
      <c r="F44" s="11"/>
      <c r="G44" s="12"/>
    </row>
    <row r="45" spans="1:10">
      <c r="B45" t="s">
        <v>21</v>
      </c>
    </row>
    <row r="46" spans="1:10">
      <c r="B46" t="s">
        <v>13</v>
      </c>
    </row>
    <row r="47" spans="1:10">
      <c r="A47" s="1" t="s">
        <v>4</v>
      </c>
      <c r="B47" t="s">
        <v>5</v>
      </c>
    </row>
    <row r="48" spans="1:10">
      <c r="A48" s="1">
        <f>A39+1</f>
        <v>6</v>
      </c>
      <c r="B48" t="s">
        <v>19</v>
      </c>
      <c r="J48" s="1">
        <f>0.5*(C48*C48+D48*D48+E48*E48+F48*F48+G48*G48)</f>
        <v>0</v>
      </c>
    </row>
    <row r="49" spans="1:10">
      <c r="C49" s="5"/>
      <c r="D49" s="6"/>
      <c r="E49" s="6"/>
      <c r="F49" s="6"/>
      <c r="G49" s="7"/>
    </row>
    <row r="50" spans="1:10">
      <c r="C50" s="8"/>
      <c r="G50" s="9"/>
    </row>
    <row r="51" spans="1:10">
      <c r="B51" t="s">
        <v>20</v>
      </c>
      <c r="C51" s="8"/>
      <c r="G51" s="9"/>
      <c r="H51" s="13"/>
    </row>
    <row r="52" spans="1:10">
      <c r="C52" s="8"/>
      <c r="G52" s="9"/>
    </row>
    <row r="53" spans="1:10">
      <c r="C53" s="10"/>
      <c r="D53" s="11"/>
      <c r="E53" s="11"/>
      <c r="F53" s="11"/>
      <c r="G53" s="12"/>
    </row>
    <row r="54" spans="1:10">
      <c r="B54" t="s">
        <v>21</v>
      </c>
    </row>
    <row r="55" spans="1:10">
      <c r="B55" t="s">
        <v>13</v>
      </c>
    </row>
    <row r="56" spans="1:10">
      <c r="A56" s="1" t="s">
        <v>4</v>
      </c>
      <c r="B56" t="s">
        <v>5</v>
      </c>
    </row>
    <row r="57" spans="1:10">
      <c r="A57" s="1">
        <f>A48+1</f>
        <v>7</v>
      </c>
      <c r="B57" t="s">
        <v>19</v>
      </c>
      <c r="J57" s="1">
        <f>0.5*(C57*C57+D57*D57+E57*E57+F57*F57+G57*G57)</f>
        <v>0</v>
      </c>
    </row>
    <row r="58" spans="1:10">
      <c r="C58" s="5"/>
      <c r="D58" s="6"/>
      <c r="E58" s="6"/>
      <c r="F58" s="6"/>
      <c r="G58" s="7"/>
    </row>
    <row r="59" spans="1:10">
      <c r="C59" s="8"/>
      <c r="G59" s="9"/>
    </row>
    <row r="60" spans="1:10">
      <c r="B60" t="s">
        <v>20</v>
      </c>
      <c r="C60" s="8"/>
      <c r="G60" s="9"/>
      <c r="H60" s="13"/>
    </row>
    <row r="61" spans="1:10">
      <c r="C61" s="8"/>
      <c r="G61" s="9"/>
    </row>
    <row r="62" spans="1:10">
      <c r="C62" s="10"/>
      <c r="D62" s="11"/>
      <c r="E62" s="11"/>
      <c r="F62" s="11"/>
      <c r="G62" s="12"/>
    </row>
    <row r="63" spans="1:10">
      <c r="B63" t="s">
        <v>21</v>
      </c>
    </row>
    <row r="64" spans="1:10">
      <c r="B64" t="s">
        <v>13</v>
      </c>
    </row>
    <row r="65" spans="1:10">
      <c r="A65" s="1" t="s">
        <v>4</v>
      </c>
      <c r="B65" t="s">
        <v>5</v>
      </c>
    </row>
    <row r="66" spans="1:10">
      <c r="A66" s="1">
        <f>A57+1</f>
        <v>8</v>
      </c>
      <c r="B66" t="s">
        <v>19</v>
      </c>
      <c r="J66" s="1">
        <f>0.5*(C66*C66+D66*D66+E66*E66+F66*F66+G66*G66)</f>
        <v>0</v>
      </c>
    </row>
    <row r="67" spans="1:10">
      <c r="C67" s="5"/>
      <c r="D67" s="6"/>
      <c r="E67" s="6"/>
      <c r="F67" s="6"/>
      <c r="G67" s="7"/>
    </row>
    <row r="68" spans="1:10">
      <c r="C68" s="8"/>
      <c r="G68" s="9"/>
    </row>
    <row r="69" spans="1:10">
      <c r="B69" t="s">
        <v>20</v>
      </c>
      <c r="C69" s="8"/>
      <c r="G69" s="9"/>
      <c r="H69" s="13"/>
    </row>
    <row r="70" spans="1:10">
      <c r="C70" s="8"/>
      <c r="G70" s="9"/>
    </row>
    <row r="71" spans="1:10">
      <c r="C71" s="10"/>
      <c r="D71" s="11"/>
      <c r="E71" s="11"/>
      <c r="F71" s="11"/>
      <c r="G71" s="12"/>
    </row>
    <row r="72" spans="1:10">
      <c r="B72" t="s">
        <v>21</v>
      </c>
    </row>
    <row r="73" spans="1:10">
      <c r="B73" t="s">
        <v>13</v>
      </c>
    </row>
    <row r="74" spans="1:10">
      <c r="A74" s="1" t="s">
        <v>4</v>
      </c>
      <c r="B74" t="s">
        <v>5</v>
      </c>
    </row>
    <row r="75" spans="1:10">
      <c r="A75" s="1">
        <f>A66+1</f>
        <v>9</v>
      </c>
      <c r="B75" t="s">
        <v>19</v>
      </c>
      <c r="J75" s="1">
        <f>0.5*(C75*C75+D75*D75+E75*E75+F75*F75+G75*G75)</f>
        <v>0</v>
      </c>
    </row>
    <row r="76" spans="1:10">
      <c r="C76" s="5"/>
      <c r="D76" s="6"/>
      <c r="E76" s="6"/>
      <c r="F76" s="6"/>
      <c r="G76" s="7"/>
    </row>
    <row r="77" spans="1:10">
      <c r="C77" s="8"/>
      <c r="G77" s="9"/>
    </row>
    <row r="78" spans="1:10">
      <c r="B78" t="s">
        <v>20</v>
      </c>
      <c r="C78" s="8"/>
      <c r="G78" s="9"/>
      <c r="H78" s="13"/>
    </row>
    <row r="79" spans="1:10">
      <c r="C79" s="8"/>
      <c r="G79" s="9"/>
    </row>
    <row r="80" spans="1:10">
      <c r="C80" s="10"/>
      <c r="D80" s="11"/>
      <c r="E80" s="11"/>
      <c r="F80" s="11"/>
      <c r="G80" s="12"/>
    </row>
    <row r="81" spans="1:13">
      <c r="B81" t="s">
        <v>21</v>
      </c>
      <c r="M81" s="2"/>
    </row>
    <row r="82" spans="1:13">
      <c r="B82" t="s">
        <v>13</v>
      </c>
    </row>
    <row r="83" spans="1:13">
      <c r="A83" s="1" t="s">
        <v>4</v>
      </c>
      <c r="B83" t="s">
        <v>5</v>
      </c>
    </row>
    <row r="84" spans="1:13">
      <c r="A84" s="1">
        <f>A75+1</f>
        <v>10</v>
      </c>
      <c r="B84" t="s">
        <v>19</v>
      </c>
      <c r="J84" s="1">
        <f>0.5*(C84*C84+D84*D84+E84*E84+F84*F84+G84*G84)</f>
        <v>0</v>
      </c>
    </row>
    <row r="85" spans="1:13">
      <c r="C85" s="5"/>
      <c r="D85" s="6"/>
      <c r="E85" s="6"/>
      <c r="F85" s="6"/>
      <c r="G85" s="7"/>
    </row>
    <row r="86" spans="1:13">
      <c r="C86" s="8"/>
      <c r="G86" s="9"/>
    </row>
    <row r="87" spans="1:13">
      <c r="B87" t="s">
        <v>20</v>
      </c>
      <c r="C87" s="8"/>
      <c r="G87" s="9"/>
      <c r="H87" s="13"/>
    </row>
    <row r="88" spans="1:13">
      <c r="C88" s="8"/>
      <c r="G88" s="9"/>
    </row>
    <row r="89" spans="1:13">
      <c r="C89" s="10"/>
      <c r="D89" s="11"/>
      <c r="E89" s="11"/>
      <c r="F89" s="11"/>
      <c r="G89" s="12"/>
    </row>
    <row r="90" spans="1:13">
      <c r="B90" t="s">
        <v>21</v>
      </c>
    </row>
    <row r="91" spans="1:13">
      <c r="B91" t="s">
        <v>13</v>
      </c>
    </row>
    <row r="92" spans="1:13">
      <c r="A92" s="1" t="s">
        <v>4</v>
      </c>
      <c r="B92" t="s">
        <v>5</v>
      </c>
    </row>
    <row r="93" spans="1:13">
      <c r="A93" s="1">
        <f>A84+1</f>
        <v>11</v>
      </c>
      <c r="B93" t="s">
        <v>19</v>
      </c>
      <c r="J93" s="1">
        <f>0.5*(C93*C93+D93*D93+E93*E93+F93*F93+G93*G93)</f>
        <v>0</v>
      </c>
    </row>
    <row r="94" spans="1:13">
      <c r="C94" s="5"/>
      <c r="D94" s="6"/>
      <c r="E94" s="6"/>
      <c r="F94" s="6"/>
      <c r="G94" s="7"/>
    </row>
    <row r="95" spans="1:13">
      <c r="C95" s="8"/>
      <c r="G95" s="9"/>
    </row>
    <row r="96" spans="1:13">
      <c r="B96" t="s">
        <v>20</v>
      </c>
      <c r="C96" s="8"/>
      <c r="G96" s="9"/>
      <c r="H96" s="13"/>
    </row>
    <row r="97" spans="1:10">
      <c r="C97" s="8"/>
      <c r="G97" s="9"/>
    </row>
    <row r="98" spans="1:10">
      <c r="C98" s="10"/>
      <c r="D98" s="11"/>
      <c r="E98" s="11"/>
      <c r="F98" s="11"/>
      <c r="G98" s="12"/>
    </row>
    <row r="99" spans="1:10">
      <c r="B99" t="s">
        <v>21</v>
      </c>
    </row>
    <row r="100" spans="1:10">
      <c r="B100" t="s">
        <v>13</v>
      </c>
    </row>
    <row r="101" spans="1:10">
      <c r="A101" s="1" t="s">
        <v>4</v>
      </c>
      <c r="B101" t="s">
        <v>5</v>
      </c>
    </row>
    <row r="102" spans="1:10">
      <c r="A102" s="1">
        <f>A93+1</f>
        <v>12</v>
      </c>
      <c r="B102" t="s">
        <v>19</v>
      </c>
      <c r="J102" s="1">
        <f>0.5*(C102*C102+D102*D102+E102*E102+F102*F102+G102*G102)</f>
        <v>0</v>
      </c>
    </row>
    <row r="103" spans="1:10">
      <c r="C103" s="5"/>
      <c r="D103" s="6"/>
      <c r="E103" s="6"/>
      <c r="F103" s="6"/>
      <c r="G103" s="7"/>
    </row>
    <row r="104" spans="1:10">
      <c r="C104" s="8"/>
      <c r="G104" s="9"/>
    </row>
    <row r="105" spans="1:10">
      <c r="B105" t="s">
        <v>20</v>
      </c>
      <c r="C105" s="8"/>
      <c r="G105" s="9"/>
      <c r="H105" s="13"/>
    </row>
    <row r="106" spans="1:10">
      <c r="C106" s="8"/>
      <c r="G106" s="9"/>
    </row>
    <row r="107" spans="1:10">
      <c r="C107" s="10"/>
      <c r="D107" s="11"/>
      <c r="E107" s="11"/>
      <c r="F107" s="11"/>
      <c r="G107" s="12"/>
    </row>
    <row r="108" spans="1:10">
      <c r="B108" t="s">
        <v>21</v>
      </c>
    </row>
    <row r="109" spans="1:10">
      <c r="B109" t="s">
        <v>13</v>
      </c>
    </row>
    <row r="110" spans="1:10">
      <c r="A110" s="1" t="s">
        <v>4</v>
      </c>
      <c r="B110" t="s">
        <v>5</v>
      </c>
    </row>
    <row r="111" spans="1:10">
      <c r="A111" s="1">
        <f>A102+1</f>
        <v>13</v>
      </c>
      <c r="B111" t="s">
        <v>19</v>
      </c>
      <c r="J111" s="1">
        <f>0.5*(C111*C111+D111*D111+E111*E111+F111*F111+G111*G111)</f>
        <v>0</v>
      </c>
    </row>
    <row r="112" spans="1:10">
      <c r="C112" s="5"/>
      <c r="D112" s="6"/>
      <c r="E112" s="6"/>
      <c r="F112" s="6"/>
      <c r="G112" s="7"/>
    </row>
    <row r="113" spans="1:10">
      <c r="C113" s="8"/>
      <c r="G113" s="9"/>
    </row>
    <row r="114" spans="1:10">
      <c r="B114" t="s">
        <v>20</v>
      </c>
      <c r="C114" s="8"/>
      <c r="G114" s="9"/>
      <c r="H114" s="13"/>
    </row>
    <row r="115" spans="1:10">
      <c r="C115" s="8"/>
      <c r="G115" s="9"/>
    </row>
    <row r="116" spans="1:10">
      <c r="C116" s="10"/>
      <c r="D116" s="11"/>
      <c r="E116" s="11"/>
      <c r="F116" s="11"/>
      <c r="G116" s="12"/>
    </row>
    <row r="117" spans="1:10">
      <c r="B117" t="s">
        <v>21</v>
      </c>
    </row>
    <row r="118" spans="1:10">
      <c r="B118" t="s">
        <v>13</v>
      </c>
    </row>
    <row r="119" spans="1:10">
      <c r="A119" s="1" t="s">
        <v>4</v>
      </c>
      <c r="B119" t="s">
        <v>5</v>
      </c>
    </row>
    <row r="120" spans="1:10">
      <c r="A120" s="1">
        <f>A111+1</f>
        <v>14</v>
      </c>
      <c r="B120" t="s">
        <v>19</v>
      </c>
      <c r="J120" s="1">
        <f>0.5*(C120*C120+D120*D120+E120*E120+F120*F120+G120*G120)</f>
        <v>0</v>
      </c>
    </row>
    <row r="121" spans="1:10">
      <c r="C121" s="5"/>
      <c r="D121" s="6"/>
      <c r="E121" s="6"/>
      <c r="F121" s="6"/>
      <c r="G121" s="7"/>
    </row>
    <row r="122" spans="1:10">
      <c r="C122" s="8"/>
      <c r="G122" s="9"/>
    </row>
    <row r="123" spans="1:10">
      <c r="B123" t="s">
        <v>20</v>
      </c>
      <c r="C123" s="8"/>
      <c r="G123" s="9"/>
      <c r="H123" s="13"/>
    </row>
    <row r="124" spans="1:10">
      <c r="C124" s="8"/>
      <c r="G124" s="9"/>
    </row>
    <row r="125" spans="1:10">
      <c r="C125" s="10"/>
      <c r="D125" s="11"/>
      <c r="E125" s="11"/>
      <c r="F125" s="11"/>
      <c r="G125" s="12"/>
    </row>
    <row r="126" spans="1:10">
      <c r="B126" t="s">
        <v>21</v>
      </c>
    </row>
    <row r="127" spans="1:10">
      <c r="B127" t="s">
        <v>13</v>
      </c>
    </row>
    <row r="128" spans="1:10">
      <c r="A128" s="1" t="s">
        <v>4</v>
      </c>
      <c r="B128" t="s">
        <v>5</v>
      </c>
    </row>
    <row r="129" spans="1:10">
      <c r="A129" s="1">
        <f>A120+1</f>
        <v>15</v>
      </c>
      <c r="B129" t="s">
        <v>19</v>
      </c>
      <c r="J129" s="1">
        <f>0.5*(C129*C129+D129*D129+E129*E129+F129*F129+G129*G129)</f>
        <v>0</v>
      </c>
    </row>
    <row r="130" spans="1:10">
      <c r="C130" s="5"/>
      <c r="D130" s="6"/>
      <c r="E130" s="6"/>
      <c r="F130" s="6"/>
      <c r="G130" s="7"/>
    </row>
    <row r="131" spans="1:10">
      <c r="C131" s="8"/>
      <c r="G131" s="9"/>
    </row>
    <row r="132" spans="1:10">
      <c r="B132" t="s">
        <v>20</v>
      </c>
      <c r="C132" s="8"/>
      <c r="G132" s="9"/>
      <c r="H132" s="13"/>
    </row>
    <row r="133" spans="1:10">
      <c r="C133" s="8"/>
      <c r="G133" s="9"/>
    </row>
    <row r="134" spans="1:10">
      <c r="C134" s="10"/>
      <c r="D134" s="11"/>
      <c r="E134" s="11"/>
      <c r="F134" s="11"/>
      <c r="G134" s="12"/>
    </row>
    <row r="135" spans="1:10">
      <c r="B135" t="s">
        <v>21</v>
      </c>
    </row>
    <row r="136" spans="1:10">
      <c r="B136" t="s">
        <v>13</v>
      </c>
    </row>
    <row r="137" spans="1:10">
      <c r="A137" s="1" t="s">
        <v>4</v>
      </c>
      <c r="B137" t="s">
        <v>5</v>
      </c>
    </row>
    <row r="138" spans="1:10">
      <c r="A138" s="1">
        <f>A129+1</f>
        <v>16</v>
      </c>
      <c r="B138" t="s">
        <v>19</v>
      </c>
      <c r="J138" s="1">
        <f>0.5*(C138*C138+D138*D138+E138*E138+F138*F138+G138*G138)</f>
        <v>0</v>
      </c>
    </row>
    <row r="139" spans="1:10">
      <c r="C139" s="5"/>
      <c r="D139" s="6"/>
      <c r="E139" s="6"/>
      <c r="F139" s="6"/>
      <c r="G139" s="7"/>
    </row>
    <row r="140" spans="1:10">
      <c r="C140" s="8"/>
      <c r="G140" s="9"/>
    </row>
    <row r="141" spans="1:10">
      <c r="B141" t="s">
        <v>20</v>
      </c>
      <c r="C141" s="8"/>
      <c r="G141" s="9"/>
      <c r="H141" s="13"/>
    </row>
    <row r="142" spans="1:10">
      <c r="C142" s="8"/>
      <c r="G142" s="9"/>
    </row>
    <row r="143" spans="1:10">
      <c r="C143" s="10"/>
      <c r="D143" s="11"/>
      <c r="E143" s="11"/>
      <c r="F143" s="11"/>
      <c r="G143" s="12"/>
    </row>
    <row r="144" spans="1:10">
      <c r="B144" t="s">
        <v>21</v>
      </c>
    </row>
    <row r="145" spans="1:10">
      <c r="B145" t="s">
        <v>13</v>
      </c>
    </row>
    <row r="146" spans="1:10">
      <c r="A146" s="1" t="s">
        <v>4</v>
      </c>
      <c r="B146" t="s">
        <v>5</v>
      </c>
    </row>
    <row r="147" spans="1:10">
      <c r="A147" s="1">
        <f>A138+1</f>
        <v>17</v>
      </c>
      <c r="B147" t="s">
        <v>19</v>
      </c>
      <c r="J147" s="1">
        <f>0.5*(C147*C147+D147*D147+E147*E147+F147*F147+G147*G147)</f>
        <v>0</v>
      </c>
    </row>
    <row r="148" spans="1:10">
      <c r="C148" s="5"/>
      <c r="D148" s="6"/>
      <c r="E148" s="6"/>
      <c r="F148" s="6"/>
      <c r="G148" s="7"/>
    </row>
    <row r="149" spans="1:10">
      <c r="C149" s="8"/>
      <c r="G149" s="9"/>
    </row>
    <row r="150" spans="1:10">
      <c r="B150" t="s">
        <v>20</v>
      </c>
      <c r="C150" s="8"/>
      <c r="G150" s="9"/>
      <c r="H150" s="13"/>
    </row>
    <row r="151" spans="1:10">
      <c r="C151" s="8"/>
      <c r="G151" s="9"/>
    </row>
    <row r="152" spans="1:10">
      <c r="C152" s="10"/>
      <c r="D152" s="11"/>
      <c r="E152" s="11"/>
      <c r="F152" s="11"/>
      <c r="G152" s="12"/>
    </row>
    <row r="153" spans="1:10">
      <c r="B153" t="s">
        <v>21</v>
      </c>
    </row>
    <row r="154" spans="1:10">
      <c r="B154" t="s">
        <v>13</v>
      </c>
    </row>
    <row r="155" spans="1:10">
      <c r="A155" s="1" t="s">
        <v>4</v>
      </c>
      <c r="B155" t="s">
        <v>5</v>
      </c>
    </row>
    <row r="156" spans="1:10">
      <c r="A156" s="1">
        <f>A147+1</f>
        <v>18</v>
      </c>
      <c r="B156" t="s">
        <v>19</v>
      </c>
      <c r="J156" s="1">
        <f>0.5*(C156*C156+D156*D156+E156*E156+F156*F156+G156*G156)</f>
        <v>0</v>
      </c>
    </row>
    <row r="157" spans="1:10">
      <c r="C157" s="5"/>
      <c r="D157" s="6"/>
      <c r="E157" s="6"/>
      <c r="F157" s="6"/>
      <c r="G157" s="7"/>
    </row>
    <row r="158" spans="1:10">
      <c r="C158" s="8"/>
      <c r="G158" s="9"/>
    </row>
    <row r="159" spans="1:10">
      <c r="B159" t="s">
        <v>20</v>
      </c>
      <c r="C159" s="8"/>
      <c r="G159" s="9"/>
      <c r="H159" s="13"/>
    </row>
    <row r="160" spans="1:10">
      <c r="C160" s="8"/>
      <c r="G160" s="9"/>
    </row>
    <row r="161" spans="1:10">
      <c r="C161" s="10"/>
      <c r="D161" s="11"/>
      <c r="E161" s="11"/>
      <c r="F161" s="11"/>
      <c r="G161" s="12"/>
    </row>
    <row r="162" spans="1:10">
      <c r="B162" t="s">
        <v>21</v>
      </c>
    </row>
    <row r="163" spans="1:10">
      <c r="B163" t="s">
        <v>13</v>
      </c>
    </row>
    <row r="164" spans="1:10">
      <c r="A164" s="1" t="s">
        <v>4</v>
      </c>
      <c r="B164" t="s">
        <v>5</v>
      </c>
    </row>
    <row r="165" spans="1:10">
      <c r="A165" s="1">
        <f>A156+1</f>
        <v>19</v>
      </c>
      <c r="B165" t="s">
        <v>19</v>
      </c>
      <c r="J165" s="1">
        <f>0.5*(C165*C165+D165*D165+E165*E165+F165*F165+G165*G165)</f>
        <v>0</v>
      </c>
    </row>
    <row r="166" spans="1:10">
      <c r="C166" s="5"/>
      <c r="D166" s="6"/>
      <c r="E166" s="6"/>
      <c r="F166" s="6"/>
      <c r="G166" s="7"/>
    </row>
    <row r="167" spans="1:10">
      <c r="C167" s="8"/>
      <c r="G167" s="9"/>
    </row>
    <row r="168" spans="1:10">
      <c r="B168" t="s">
        <v>20</v>
      </c>
      <c r="C168" s="8"/>
      <c r="G168" s="9"/>
      <c r="H168" s="13"/>
    </row>
    <row r="169" spans="1:10">
      <c r="C169" s="8"/>
      <c r="G169" s="9"/>
    </row>
    <row r="170" spans="1:10">
      <c r="C170" s="10"/>
      <c r="D170" s="11"/>
      <c r="E170" s="11"/>
      <c r="F170" s="11"/>
      <c r="G170" s="12"/>
    </row>
    <row r="171" spans="1:10">
      <c r="B171" t="s">
        <v>21</v>
      </c>
    </row>
    <row r="172" spans="1:10">
      <c r="B172" t="s">
        <v>13</v>
      </c>
    </row>
    <row r="173" spans="1:10">
      <c r="A173" s="1" t="s">
        <v>4</v>
      </c>
      <c r="B173" t="s">
        <v>5</v>
      </c>
    </row>
    <row r="174" spans="1:10">
      <c r="A174" s="1">
        <f>A165+1</f>
        <v>20</v>
      </c>
      <c r="B174" t="s">
        <v>19</v>
      </c>
      <c r="J174" s="1">
        <f>0.5*(C174*C174+D174*D174+E174*E174+F174*F174+G174*G174)</f>
        <v>0</v>
      </c>
    </row>
    <row r="175" spans="1:10">
      <c r="C175" s="5"/>
      <c r="D175" s="6"/>
      <c r="E175" s="6"/>
      <c r="F175" s="6"/>
      <c r="G175" s="7"/>
    </row>
    <row r="176" spans="1:10">
      <c r="C176" s="8"/>
      <c r="G176" s="9"/>
    </row>
    <row r="177" spans="1:10">
      <c r="B177" t="s">
        <v>20</v>
      </c>
      <c r="C177" s="8"/>
      <c r="G177" s="9"/>
      <c r="H177" s="13"/>
    </row>
    <row r="178" spans="1:10">
      <c r="C178" s="8"/>
      <c r="G178" s="9"/>
    </row>
    <row r="179" spans="1:10">
      <c r="C179" s="10"/>
      <c r="D179" s="11"/>
      <c r="E179" s="11"/>
      <c r="F179" s="11"/>
      <c r="G179" s="12"/>
    </row>
    <row r="180" spans="1:10">
      <c r="B180" t="s">
        <v>21</v>
      </c>
    </row>
    <row r="181" spans="1:10">
      <c r="B181" t="s">
        <v>13</v>
      </c>
    </row>
    <row r="182" spans="1:10">
      <c r="A182" s="1" t="s">
        <v>4</v>
      </c>
      <c r="B182" t="s">
        <v>5</v>
      </c>
    </row>
    <row r="183" spans="1:10">
      <c r="A183" s="1">
        <f>A174+1</f>
        <v>21</v>
      </c>
      <c r="B183" t="s">
        <v>19</v>
      </c>
      <c r="J183" s="1">
        <f>0.5*(C183*C183+D183*D183+E183*E183+F183*F183+G183*G183)</f>
        <v>0</v>
      </c>
    </row>
    <row r="184" spans="1:10">
      <c r="C184" s="5"/>
      <c r="D184" s="6"/>
      <c r="E184" s="6"/>
      <c r="F184" s="6"/>
      <c r="G184" s="7"/>
    </row>
    <row r="185" spans="1:10">
      <c r="C185" s="8"/>
      <c r="G185" s="9"/>
    </row>
    <row r="186" spans="1:10">
      <c r="B186" t="s">
        <v>20</v>
      </c>
      <c r="C186" s="8"/>
      <c r="G186" s="9"/>
      <c r="H186" s="13"/>
    </row>
    <row r="187" spans="1:10">
      <c r="C187" s="8"/>
      <c r="G187" s="9"/>
    </row>
    <row r="188" spans="1:10">
      <c r="C188" s="10"/>
      <c r="D188" s="11"/>
      <c r="E188" s="11"/>
      <c r="F188" s="11"/>
      <c r="G188" s="12"/>
    </row>
    <row r="189" spans="1:10">
      <c r="B189" t="s">
        <v>21</v>
      </c>
    </row>
    <row r="190" spans="1:10">
      <c r="B190" t="s">
        <v>13</v>
      </c>
    </row>
    <row r="191" spans="1:10">
      <c r="A191" s="1" t="s">
        <v>4</v>
      </c>
      <c r="B191" t="s">
        <v>5</v>
      </c>
    </row>
    <row r="192" spans="1:10">
      <c r="A192" s="1">
        <f>A183+1</f>
        <v>22</v>
      </c>
      <c r="B192" t="s">
        <v>19</v>
      </c>
      <c r="J192" s="1">
        <f>0.5*(C192*C192+D192*D192+E192*E192+F192*F192+G192*G192)</f>
        <v>0</v>
      </c>
    </row>
    <row r="193" spans="1:10">
      <c r="C193" s="5"/>
      <c r="D193" s="6"/>
      <c r="E193" s="6"/>
      <c r="F193" s="6"/>
      <c r="G193" s="7"/>
    </row>
    <row r="194" spans="1:10">
      <c r="C194" s="8"/>
      <c r="G194" s="9"/>
    </row>
    <row r="195" spans="1:10">
      <c r="B195" t="s">
        <v>20</v>
      </c>
      <c r="C195" s="8"/>
      <c r="G195" s="9"/>
      <c r="H195" s="13"/>
    </row>
    <row r="196" spans="1:10">
      <c r="C196" s="8"/>
      <c r="G196" s="9"/>
    </row>
    <row r="197" spans="1:10">
      <c r="C197" s="10"/>
      <c r="D197" s="11"/>
      <c r="E197" s="11"/>
      <c r="F197" s="11"/>
      <c r="G197" s="12"/>
    </row>
    <row r="198" spans="1:10">
      <c r="B198" t="s">
        <v>21</v>
      </c>
    </row>
    <row r="199" spans="1:10">
      <c r="B199" t="s">
        <v>13</v>
      </c>
    </row>
    <row r="200" spans="1:10">
      <c r="A200" s="1" t="s">
        <v>4</v>
      </c>
      <c r="B200" t="s">
        <v>5</v>
      </c>
    </row>
    <row r="201" spans="1:10">
      <c r="A201" s="1">
        <f>A192+1</f>
        <v>23</v>
      </c>
      <c r="B201" t="s">
        <v>19</v>
      </c>
      <c r="J201" s="1">
        <f>0.5*(C201*C201+D201*D201+E201*E201+F201*F201+G201*G201)</f>
        <v>0</v>
      </c>
    </row>
    <row r="202" spans="1:10">
      <c r="C202" s="5"/>
      <c r="D202" s="6"/>
      <c r="E202" s="6"/>
      <c r="F202" s="6"/>
      <c r="G202" s="7"/>
    </row>
    <row r="203" spans="1:10">
      <c r="C203" s="8"/>
      <c r="G203" s="9"/>
    </row>
    <row r="204" spans="1:10">
      <c r="B204" t="s">
        <v>20</v>
      </c>
      <c r="C204" s="8"/>
      <c r="G204" s="9"/>
      <c r="H204" s="13"/>
    </row>
    <row r="205" spans="1:10">
      <c r="C205" s="8"/>
      <c r="G205" s="9"/>
    </row>
    <row r="206" spans="1:10">
      <c r="C206" s="10"/>
      <c r="D206" s="11"/>
      <c r="E206" s="11"/>
      <c r="F206" s="11"/>
      <c r="G206" s="12"/>
    </row>
    <row r="207" spans="1:10">
      <c r="B207" t="s">
        <v>21</v>
      </c>
    </row>
    <row r="208" spans="1:10">
      <c r="B208" t="s">
        <v>13</v>
      </c>
    </row>
    <row r="209" spans="1:10">
      <c r="A209" s="1" t="s">
        <v>4</v>
      </c>
      <c r="B209" t="s">
        <v>5</v>
      </c>
    </row>
    <row r="210" spans="1:10">
      <c r="A210" s="1">
        <f>A201+1</f>
        <v>24</v>
      </c>
      <c r="B210" t="s">
        <v>19</v>
      </c>
      <c r="J210" s="1">
        <f>0.5*(C210*C210+D210*D210+E210*E210+F210*F210+G210*G210)</f>
        <v>0</v>
      </c>
    </row>
    <row r="211" spans="1:10">
      <c r="C211" s="5"/>
      <c r="D211" s="6"/>
      <c r="E211" s="6"/>
      <c r="F211" s="6"/>
      <c r="G211" s="7"/>
    </row>
    <row r="212" spans="1:10">
      <c r="C212" s="8"/>
      <c r="G212" s="9"/>
    </row>
    <row r="213" spans="1:10">
      <c r="B213" t="s">
        <v>20</v>
      </c>
      <c r="C213" s="8"/>
      <c r="G213" s="9"/>
      <c r="H213" s="13"/>
    </row>
    <row r="214" spans="1:10">
      <c r="C214" s="8"/>
      <c r="G214" s="9"/>
    </row>
    <row r="215" spans="1:10">
      <c r="C215" s="10"/>
      <c r="D215" s="11"/>
      <c r="E215" s="11"/>
      <c r="F215" s="11"/>
      <c r="G215" s="12"/>
    </row>
    <row r="216" spans="1:10">
      <c r="B216" t="s">
        <v>21</v>
      </c>
    </row>
    <row r="217" spans="1:10">
      <c r="B217" t="s">
        <v>13</v>
      </c>
    </row>
    <row r="218" spans="1:10">
      <c r="A218" s="1" t="s">
        <v>4</v>
      </c>
      <c r="B218" t="s">
        <v>5</v>
      </c>
    </row>
    <row r="219" spans="1:10">
      <c r="A219" s="1">
        <f>A210+1</f>
        <v>25</v>
      </c>
      <c r="B219" t="s">
        <v>19</v>
      </c>
      <c r="J219" s="1">
        <f>0.5*(C219*C219+D219*D219+E219*E219+F219*F219+G219*G219)</f>
        <v>0</v>
      </c>
    </row>
    <row r="220" spans="1:10">
      <c r="C220" s="5"/>
      <c r="D220" s="6"/>
      <c r="E220" s="6"/>
      <c r="F220" s="6"/>
      <c r="G220" s="7"/>
    </row>
    <row r="221" spans="1:10">
      <c r="C221" s="8"/>
      <c r="G221" s="9"/>
    </row>
    <row r="222" spans="1:10">
      <c r="B222" t="s">
        <v>20</v>
      </c>
      <c r="C222" s="8"/>
      <c r="G222" s="9"/>
      <c r="H222" s="13"/>
    </row>
    <row r="223" spans="1:10">
      <c r="C223" s="8"/>
      <c r="G223" s="9"/>
    </row>
    <row r="224" spans="1:10">
      <c r="C224" s="10"/>
      <c r="D224" s="11"/>
      <c r="E224" s="11"/>
      <c r="F224" s="11"/>
      <c r="G224" s="12"/>
    </row>
    <row r="225" spans="1:10">
      <c r="B225" t="s">
        <v>21</v>
      </c>
    </row>
    <row r="226" spans="1:10">
      <c r="B226" t="s">
        <v>13</v>
      </c>
    </row>
    <row r="227" spans="1:10">
      <c r="A227" s="1" t="s">
        <v>4</v>
      </c>
      <c r="B227" t="s">
        <v>5</v>
      </c>
    </row>
    <row r="228" spans="1:10">
      <c r="A228" s="1">
        <f>A219+1</f>
        <v>26</v>
      </c>
      <c r="B228" t="s">
        <v>19</v>
      </c>
      <c r="J228" s="1">
        <f>0.5*(C228*C228+D228*D228+E228*E228+F228*F228+G228*G228)</f>
        <v>0</v>
      </c>
    </row>
    <row r="229" spans="1:10">
      <c r="C229" s="5"/>
      <c r="D229" s="6"/>
      <c r="E229" s="6"/>
      <c r="F229" s="6"/>
      <c r="G229" s="7"/>
    </row>
    <row r="230" spans="1:10">
      <c r="C230" s="8"/>
      <c r="G230" s="9"/>
    </row>
    <row r="231" spans="1:10">
      <c r="B231" t="s">
        <v>20</v>
      </c>
      <c r="C231" s="8"/>
      <c r="G231" s="9"/>
      <c r="H231" s="13"/>
    </row>
    <row r="232" spans="1:10">
      <c r="C232" s="8"/>
      <c r="G232" s="9"/>
    </row>
    <row r="233" spans="1:10">
      <c r="C233" s="10"/>
      <c r="D233" s="11"/>
      <c r="E233" s="11"/>
      <c r="F233" s="11"/>
      <c r="G233" s="12"/>
    </row>
    <row r="234" spans="1:10">
      <c r="B234" t="s">
        <v>21</v>
      </c>
    </row>
    <row r="235" spans="1:10">
      <c r="B235" t="s">
        <v>13</v>
      </c>
    </row>
    <row r="236" spans="1:10">
      <c r="A236" s="1" t="s">
        <v>4</v>
      </c>
      <c r="B236" t="s">
        <v>5</v>
      </c>
    </row>
    <row r="237" spans="1:10">
      <c r="A237" s="1">
        <f>A228+1</f>
        <v>27</v>
      </c>
      <c r="B237" t="s">
        <v>19</v>
      </c>
      <c r="J237" s="1">
        <f>0.5*(C237*C237+D237*D237+E237*E237+F237*F237+G237*G237)</f>
        <v>0</v>
      </c>
    </row>
    <row r="238" spans="1:10">
      <c r="C238" s="5"/>
      <c r="D238" s="6"/>
      <c r="E238" s="6"/>
      <c r="F238" s="6"/>
      <c r="G238" s="7"/>
    </row>
    <row r="239" spans="1:10">
      <c r="C239" s="8"/>
      <c r="G239" s="9"/>
    </row>
    <row r="240" spans="1:10">
      <c r="B240" t="s">
        <v>20</v>
      </c>
      <c r="C240" s="8"/>
      <c r="G240" s="9"/>
      <c r="H240" s="13"/>
    </row>
    <row r="241" spans="1:10">
      <c r="C241" s="8"/>
      <c r="G241" s="9"/>
    </row>
    <row r="242" spans="1:10">
      <c r="C242" s="10"/>
      <c r="D242" s="11"/>
      <c r="E242" s="11"/>
      <c r="F242" s="11"/>
      <c r="G242" s="12"/>
    </row>
    <row r="243" spans="1:10">
      <c r="B243" t="s">
        <v>21</v>
      </c>
    </row>
    <row r="244" spans="1:10">
      <c r="B244" t="s">
        <v>13</v>
      </c>
    </row>
    <row r="245" spans="1:10">
      <c r="A245" s="1" t="s">
        <v>4</v>
      </c>
      <c r="B245" t="s">
        <v>5</v>
      </c>
    </row>
    <row r="246" spans="1:10">
      <c r="A246" s="1">
        <f>A237+1</f>
        <v>28</v>
      </c>
      <c r="B246" t="s">
        <v>19</v>
      </c>
      <c r="J246" s="1">
        <f>0.5*(C246*C246+D246*D246+E246*E246+F246*F246+G246*G246)</f>
        <v>0</v>
      </c>
    </row>
    <row r="247" spans="1:10">
      <c r="C247" s="5"/>
      <c r="D247" s="6"/>
      <c r="E247" s="6"/>
      <c r="F247" s="6"/>
      <c r="G247" s="7"/>
    </row>
    <row r="248" spans="1:10">
      <c r="C248" s="8"/>
      <c r="G248" s="9"/>
    </row>
    <row r="249" spans="1:10">
      <c r="B249" t="s">
        <v>20</v>
      </c>
      <c r="C249" s="8"/>
      <c r="G249" s="9"/>
      <c r="H249" s="13"/>
    </row>
    <row r="250" spans="1:10">
      <c r="C250" s="8"/>
      <c r="G250" s="9"/>
    </row>
    <row r="251" spans="1:10">
      <c r="C251" s="10"/>
      <c r="D251" s="11"/>
      <c r="E251" s="11"/>
      <c r="F251" s="11"/>
      <c r="G251" s="12"/>
    </row>
    <row r="252" spans="1:10">
      <c r="B252" t="s">
        <v>21</v>
      </c>
    </row>
    <row r="253" spans="1:10">
      <c r="B253" t="s">
        <v>13</v>
      </c>
    </row>
    <row r="254" spans="1:10">
      <c r="A254" s="1" t="s">
        <v>4</v>
      </c>
      <c r="B254" t="s">
        <v>5</v>
      </c>
    </row>
    <row r="255" spans="1:10">
      <c r="A255" s="1">
        <f>A246+1</f>
        <v>29</v>
      </c>
      <c r="B255" t="s">
        <v>19</v>
      </c>
      <c r="J255" s="1">
        <f>0.5*(C255*C255+D255*D255+E255*E255+F255*F255+G255*G255)</f>
        <v>0</v>
      </c>
    </row>
    <row r="256" spans="1:10">
      <c r="C256" s="5"/>
      <c r="D256" s="6"/>
      <c r="E256" s="6"/>
      <c r="F256" s="6"/>
      <c r="G256" s="7"/>
    </row>
    <row r="257" spans="1:10">
      <c r="C257" s="8"/>
      <c r="G257" s="9"/>
    </row>
    <row r="258" spans="1:10">
      <c r="B258" t="s">
        <v>20</v>
      </c>
      <c r="C258" s="8"/>
      <c r="G258" s="9"/>
      <c r="H258" s="13"/>
    </row>
    <row r="259" spans="1:10">
      <c r="C259" s="8"/>
      <c r="G259" s="9"/>
    </row>
    <row r="260" spans="1:10">
      <c r="C260" s="10"/>
      <c r="D260" s="11"/>
      <c r="E260" s="11"/>
      <c r="F260" s="11"/>
      <c r="G260" s="12"/>
    </row>
    <row r="261" spans="1:10">
      <c r="B261" t="s">
        <v>21</v>
      </c>
    </row>
    <row r="262" spans="1:10">
      <c r="B262" t="s">
        <v>13</v>
      </c>
    </row>
    <row r="263" spans="1:10">
      <c r="A263" s="1" t="s">
        <v>4</v>
      </c>
      <c r="B263" t="s">
        <v>5</v>
      </c>
    </row>
    <row r="264" spans="1:10">
      <c r="A264" s="1">
        <f>A255+1</f>
        <v>30</v>
      </c>
      <c r="B264" t="s">
        <v>19</v>
      </c>
      <c r="J264" s="1">
        <f>0.5*(C264*C264+D264*D264+E264*E264+F264*F264+G264*G264)</f>
        <v>0</v>
      </c>
    </row>
    <row r="265" spans="1:10">
      <c r="C265" s="5"/>
      <c r="D265" s="6"/>
      <c r="E265" s="6"/>
      <c r="F265" s="6"/>
      <c r="G265" s="7"/>
    </row>
    <row r="266" spans="1:10">
      <c r="C266" s="8"/>
      <c r="G266" s="9"/>
    </row>
    <row r="267" spans="1:10">
      <c r="B267" t="s">
        <v>20</v>
      </c>
      <c r="C267" s="8"/>
      <c r="G267" s="9"/>
      <c r="H267" s="13"/>
    </row>
    <row r="268" spans="1:10">
      <c r="C268" s="8"/>
      <c r="G268" s="9"/>
    </row>
    <row r="269" spans="1:10">
      <c r="C269" s="10"/>
      <c r="D269" s="11"/>
      <c r="E269" s="11"/>
      <c r="F269" s="11"/>
      <c r="G269" s="12"/>
    </row>
    <row r="270" spans="1:10">
      <c r="B270" t="s">
        <v>21</v>
      </c>
    </row>
    <row r="271" spans="1:10">
      <c r="B271" t="s">
        <v>13</v>
      </c>
    </row>
    <row r="272" spans="1:10">
      <c r="A272" s="1" t="s">
        <v>4</v>
      </c>
      <c r="B272" t="s">
        <v>5</v>
      </c>
    </row>
    <row r="273" spans="1:10">
      <c r="A273" s="1">
        <f>A264+1</f>
        <v>31</v>
      </c>
      <c r="B273" t="s">
        <v>19</v>
      </c>
      <c r="J273" s="1">
        <f>0.5*(C273*C273+D273*D273+E273*E273+F273*F273+G273*G273)</f>
        <v>0</v>
      </c>
    </row>
    <row r="274" spans="1:10">
      <c r="C274" s="5"/>
      <c r="D274" s="6"/>
      <c r="E274" s="6"/>
      <c r="F274" s="6"/>
      <c r="G274" s="7"/>
    </row>
    <row r="275" spans="1:10">
      <c r="C275" s="8"/>
      <c r="G275" s="9"/>
    </row>
    <row r="276" spans="1:10">
      <c r="B276" t="s">
        <v>20</v>
      </c>
      <c r="C276" s="8"/>
      <c r="G276" s="9"/>
      <c r="H276" s="13"/>
    </row>
    <row r="277" spans="1:10">
      <c r="C277" s="8"/>
      <c r="G277" s="9"/>
    </row>
    <row r="278" spans="1:10">
      <c r="C278" s="10"/>
      <c r="D278" s="11"/>
      <c r="E278" s="11"/>
      <c r="F278" s="11"/>
      <c r="G278" s="12"/>
    </row>
    <row r="279" spans="1:10">
      <c r="B279" t="s">
        <v>21</v>
      </c>
    </row>
    <row r="280" spans="1:10">
      <c r="B280" t="s">
        <v>13</v>
      </c>
    </row>
    <row r="283" spans="1:10">
      <c r="C283" s="5"/>
      <c r="D283" s="6"/>
      <c r="E283" s="6"/>
      <c r="F283" s="6"/>
      <c r="G283" s="7"/>
    </row>
    <row r="284" spans="1:10">
      <c r="C284" s="8"/>
      <c r="G284" s="9"/>
    </row>
    <row r="285" spans="1:10">
      <c r="C285" s="8"/>
      <c r="G285" s="9"/>
      <c r="H285" s="13"/>
    </row>
    <row r="286" spans="1:10">
      <c r="C286" s="8"/>
      <c r="G286" s="9"/>
    </row>
    <row r="287" spans="1:10">
      <c r="C287" s="10"/>
      <c r="D287" s="11"/>
      <c r="E287" s="11"/>
      <c r="F287" s="11"/>
      <c r="G287" s="12"/>
    </row>
    <row r="292" spans="3:8">
      <c r="C292" s="5"/>
      <c r="D292" s="6"/>
      <c r="E292" s="6"/>
      <c r="F292" s="6"/>
      <c r="G292" s="7"/>
    </row>
    <row r="293" spans="3:8">
      <c r="C293" s="8"/>
      <c r="G293" s="9"/>
    </row>
    <row r="294" spans="3:8">
      <c r="C294" s="8"/>
      <c r="G294" s="9"/>
      <c r="H294" s="13"/>
    </row>
    <row r="295" spans="3:8">
      <c r="C295" s="8"/>
      <c r="G295" s="9"/>
    </row>
    <row r="296" spans="3:8">
      <c r="C296" s="10"/>
      <c r="D296" s="11"/>
      <c r="E296" s="11"/>
      <c r="F296" s="11"/>
      <c r="G296" s="12"/>
    </row>
    <row r="301" spans="3:8">
      <c r="C301" s="5"/>
      <c r="D301" s="6"/>
      <c r="E301" s="6"/>
      <c r="F301" s="6"/>
      <c r="G301" s="7"/>
    </row>
    <row r="302" spans="3:8">
      <c r="C302" s="8"/>
      <c r="G302" s="9"/>
    </row>
    <row r="303" spans="3:8">
      <c r="C303" s="8"/>
      <c r="G303" s="9"/>
      <c r="H303" s="13"/>
    </row>
    <row r="304" spans="3:8">
      <c r="C304" s="8"/>
      <c r="G304" s="9"/>
    </row>
    <row r="305" spans="3:8">
      <c r="C305" s="10"/>
      <c r="D305" s="11"/>
      <c r="E305" s="11"/>
      <c r="F305" s="11"/>
      <c r="G305" s="12"/>
    </row>
    <row r="310" spans="3:8">
      <c r="C310" s="5"/>
      <c r="D310" s="6"/>
      <c r="E310" s="6"/>
      <c r="F310" s="6"/>
      <c r="G310" s="7"/>
    </row>
    <row r="311" spans="3:8">
      <c r="C311" s="8"/>
      <c r="G311" s="9"/>
    </row>
    <row r="312" spans="3:8">
      <c r="C312" s="8"/>
      <c r="G312" s="9"/>
      <c r="H312" s="13"/>
    </row>
    <row r="313" spans="3:8">
      <c r="C313" s="8"/>
      <c r="G313" s="9"/>
    </row>
    <row r="314" spans="3:8">
      <c r="C314" s="10"/>
      <c r="D314" s="11"/>
      <c r="E314" s="11"/>
      <c r="F314" s="11"/>
      <c r="G314" s="12"/>
    </row>
    <row r="319" spans="3:8">
      <c r="C319" s="5"/>
      <c r="D319" s="6"/>
      <c r="E319" s="6"/>
      <c r="F319" s="6"/>
      <c r="G319" s="7"/>
    </row>
    <row r="320" spans="3:8">
      <c r="C320" s="8"/>
      <c r="G320" s="9"/>
    </row>
    <row r="321" spans="3:8">
      <c r="C321" s="8"/>
      <c r="G321" s="9"/>
      <c r="H321" s="13"/>
    </row>
    <row r="322" spans="3:8">
      <c r="C322" s="8"/>
      <c r="G322" s="9"/>
    </row>
    <row r="323" spans="3:8">
      <c r="C323" s="10"/>
      <c r="D323" s="11"/>
      <c r="E323" s="11"/>
      <c r="F323" s="11"/>
      <c r="G323" s="12"/>
    </row>
    <row r="328" spans="3:8">
      <c r="C328" s="5"/>
      <c r="D328" s="6"/>
      <c r="E328" s="6"/>
      <c r="F328" s="6"/>
      <c r="G328" s="7"/>
    </row>
    <row r="329" spans="3:8">
      <c r="C329" s="8"/>
      <c r="G329" s="9"/>
    </row>
    <row r="330" spans="3:8">
      <c r="C330" s="8"/>
      <c r="G330" s="9"/>
      <c r="H330" s="13"/>
    </row>
    <row r="331" spans="3:8">
      <c r="C331" s="8"/>
      <c r="G331" s="9"/>
    </row>
    <row r="332" spans="3:8">
      <c r="C332" s="10"/>
      <c r="D332" s="11"/>
      <c r="E332" s="11"/>
      <c r="F332" s="11"/>
      <c r="G332" s="12"/>
    </row>
    <row r="337" spans="3:8">
      <c r="C337" s="5"/>
      <c r="D337" s="6"/>
      <c r="E337" s="6"/>
      <c r="F337" s="6"/>
      <c r="G337" s="7"/>
    </row>
    <row r="338" spans="3:8">
      <c r="C338" s="8"/>
      <c r="G338" s="9"/>
    </row>
    <row r="339" spans="3:8">
      <c r="C339" s="8"/>
      <c r="G339" s="9"/>
      <c r="H339" s="13"/>
    </row>
    <row r="340" spans="3:8">
      <c r="C340" s="8"/>
      <c r="G340" s="9"/>
    </row>
    <row r="341" spans="3:8">
      <c r="C341" s="10"/>
      <c r="D341" s="11"/>
      <c r="E341" s="11"/>
      <c r="F341" s="11"/>
      <c r="G341" s="12"/>
    </row>
    <row r="346" spans="3:8">
      <c r="C346" s="5"/>
      <c r="D346" s="6"/>
      <c r="E346" s="6"/>
      <c r="F346" s="6"/>
      <c r="G346" s="7"/>
    </row>
    <row r="347" spans="3:8">
      <c r="C347" s="8"/>
      <c r="G347" s="9"/>
    </row>
    <row r="348" spans="3:8">
      <c r="C348" s="8"/>
      <c r="G348" s="9"/>
      <c r="H348" s="13"/>
    </row>
    <row r="349" spans="3:8">
      <c r="C349" s="8"/>
      <c r="G349" s="9"/>
    </row>
    <row r="350" spans="3:8">
      <c r="C350" s="10"/>
      <c r="D350" s="11"/>
      <c r="E350" s="11"/>
      <c r="F350" s="11"/>
      <c r="G350" s="12"/>
    </row>
    <row r="355" spans="3:8">
      <c r="C355" s="5"/>
      <c r="D355" s="6"/>
      <c r="E355" s="6"/>
      <c r="F355" s="6"/>
      <c r="G355" s="7"/>
    </row>
    <row r="356" spans="3:8">
      <c r="C356" s="8"/>
      <c r="G356" s="9"/>
    </row>
    <row r="357" spans="3:8">
      <c r="C357" s="8"/>
      <c r="G357" s="9"/>
      <c r="H357" s="13"/>
    </row>
    <row r="358" spans="3:8">
      <c r="C358" s="8"/>
      <c r="G358" s="9"/>
    </row>
    <row r="359" spans="3:8">
      <c r="C359" s="10"/>
      <c r="D359" s="11"/>
      <c r="E359" s="11"/>
      <c r="F359" s="11"/>
      <c r="G359" s="12"/>
    </row>
    <row r="364" spans="3:8">
      <c r="C364" s="5"/>
      <c r="D364" s="6"/>
      <c r="E364" s="6"/>
      <c r="F364" s="6"/>
      <c r="G364" s="7"/>
    </row>
    <row r="365" spans="3:8">
      <c r="C365" s="8"/>
      <c r="G365" s="9"/>
    </row>
    <row r="366" spans="3:8">
      <c r="C366" s="8"/>
      <c r="G366" s="9"/>
      <c r="H366" s="13"/>
    </row>
    <row r="367" spans="3:8">
      <c r="C367" s="8"/>
      <c r="G367" s="9"/>
    </row>
    <row r="368" spans="3:8">
      <c r="C368" s="10"/>
      <c r="D368" s="11"/>
      <c r="E368" s="11"/>
      <c r="F368" s="11"/>
      <c r="G368" s="12"/>
    </row>
    <row r="373" spans="3:8">
      <c r="C373" s="5"/>
      <c r="D373" s="6"/>
      <c r="E373" s="6"/>
      <c r="F373" s="6"/>
      <c r="G373" s="7"/>
    </row>
    <row r="374" spans="3:8">
      <c r="C374" s="8"/>
      <c r="G374" s="9"/>
    </row>
    <row r="375" spans="3:8">
      <c r="C375" s="8"/>
      <c r="G375" s="9"/>
      <c r="H375" s="13"/>
    </row>
    <row r="376" spans="3:8">
      <c r="C376" s="8"/>
      <c r="G376" s="9"/>
    </row>
    <row r="377" spans="3:8">
      <c r="C377" s="10"/>
      <c r="D377" s="11"/>
      <c r="E377" s="11"/>
      <c r="F377" s="11"/>
      <c r="G377" s="12"/>
    </row>
    <row r="382" spans="3:8">
      <c r="C382" s="5"/>
      <c r="D382" s="6"/>
      <c r="E382" s="6"/>
      <c r="F382" s="6"/>
      <c r="G382" s="7"/>
    </row>
    <row r="383" spans="3:8">
      <c r="C383" s="8"/>
      <c r="G383" s="9"/>
    </row>
    <row r="384" spans="3:8">
      <c r="C384" s="8"/>
      <c r="G384" s="9"/>
      <c r="H384" s="13"/>
    </row>
    <row r="385" spans="3:8">
      <c r="C385" s="8"/>
      <c r="G385" s="9"/>
    </row>
    <row r="386" spans="3:8">
      <c r="C386" s="10"/>
      <c r="D386" s="11"/>
      <c r="E386" s="11"/>
      <c r="F386" s="11"/>
      <c r="G386" s="12"/>
    </row>
    <row r="391" spans="3:8">
      <c r="C391" s="5"/>
      <c r="D391" s="6"/>
      <c r="E391" s="6"/>
      <c r="F391" s="6"/>
      <c r="G391" s="7"/>
    </row>
    <row r="392" spans="3:8">
      <c r="C392" s="8"/>
      <c r="G392" s="9"/>
    </row>
    <row r="393" spans="3:8">
      <c r="C393" s="8"/>
      <c r="G393" s="9"/>
      <c r="H393" s="13"/>
    </row>
    <row r="394" spans="3:8">
      <c r="C394" s="8"/>
      <c r="G394" s="9"/>
    </row>
    <row r="395" spans="3:8">
      <c r="C395" s="10"/>
      <c r="D395" s="11"/>
      <c r="E395" s="11"/>
      <c r="F395" s="11"/>
      <c r="G395" s="12"/>
    </row>
    <row r="400" spans="3:8">
      <c r="C400" s="5"/>
      <c r="D400" s="6"/>
      <c r="E400" s="6"/>
      <c r="F400" s="6"/>
      <c r="G400" s="7"/>
    </row>
    <row r="401" spans="3:8">
      <c r="C401" s="8"/>
      <c r="G401" s="9"/>
    </row>
    <row r="402" spans="3:8">
      <c r="C402" s="8"/>
      <c r="G402" s="9"/>
      <c r="H402" s="13"/>
    </row>
    <row r="403" spans="3:8">
      <c r="C403" s="8"/>
      <c r="G403" s="9"/>
    </row>
    <row r="404" spans="3:8">
      <c r="C404" s="10"/>
      <c r="D404" s="11"/>
      <c r="E404" s="11"/>
      <c r="F404" s="11"/>
      <c r="G404" s="12"/>
    </row>
    <row r="409" spans="3:8">
      <c r="C409" s="5"/>
      <c r="D409" s="6"/>
      <c r="E409" s="6"/>
      <c r="F409" s="6"/>
      <c r="G409" s="7"/>
    </row>
    <row r="410" spans="3:8">
      <c r="C410" s="8"/>
      <c r="G410" s="9"/>
    </row>
    <row r="411" spans="3:8">
      <c r="C411" s="8"/>
      <c r="G411" s="9"/>
      <c r="H411" s="13"/>
    </row>
    <row r="412" spans="3:8">
      <c r="C412" s="8"/>
      <c r="G412" s="9"/>
    </row>
    <row r="413" spans="3:8">
      <c r="C413" s="10"/>
      <c r="D413" s="11"/>
      <c r="E413" s="11"/>
      <c r="F413" s="11"/>
      <c r="G413" s="12"/>
    </row>
    <row r="418" spans="3:8">
      <c r="C418" s="5"/>
      <c r="D418" s="6"/>
      <c r="E418" s="6"/>
      <c r="F418" s="6"/>
      <c r="G418" s="7"/>
    </row>
    <row r="419" spans="3:8">
      <c r="C419" s="8"/>
      <c r="G419" s="9"/>
    </row>
    <row r="420" spans="3:8">
      <c r="C420" s="8"/>
      <c r="G420" s="9"/>
      <c r="H420" s="13"/>
    </row>
    <row r="421" spans="3:8">
      <c r="C421" s="8"/>
      <c r="G421" s="9"/>
    </row>
    <row r="422" spans="3:8">
      <c r="C422" s="10"/>
      <c r="D422" s="11"/>
      <c r="E422" s="11"/>
      <c r="F422" s="11"/>
      <c r="G422" s="12"/>
    </row>
    <row r="427" spans="3:8">
      <c r="C427" s="5"/>
      <c r="D427" s="6"/>
      <c r="E427" s="6"/>
      <c r="F427" s="6"/>
      <c r="G427" s="7"/>
    </row>
    <row r="428" spans="3:8">
      <c r="C428" s="8"/>
      <c r="G428" s="9"/>
    </row>
    <row r="429" spans="3:8">
      <c r="C429" s="8"/>
      <c r="G429" s="9"/>
      <c r="H429" s="13"/>
    </row>
    <row r="430" spans="3:8">
      <c r="C430" s="8"/>
      <c r="G430" s="9"/>
    </row>
    <row r="431" spans="3:8">
      <c r="C431" s="10"/>
      <c r="D431" s="11"/>
      <c r="E431" s="11"/>
      <c r="F431" s="11"/>
      <c r="G431" s="12"/>
    </row>
    <row r="436" spans="3:8">
      <c r="C436" s="5"/>
      <c r="D436" s="6"/>
      <c r="E436" s="6"/>
      <c r="F436" s="6"/>
      <c r="G436" s="7"/>
    </row>
    <row r="437" spans="3:8">
      <c r="C437" s="8"/>
      <c r="G437" s="9"/>
    </row>
    <row r="438" spans="3:8">
      <c r="C438" s="8"/>
      <c r="G438" s="9"/>
      <c r="H438" s="13"/>
    </row>
    <row r="439" spans="3:8">
      <c r="C439" s="8"/>
      <c r="G439" s="9"/>
    </row>
    <row r="440" spans="3:8">
      <c r="C440" s="10"/>
      <c r="D440" s="11"/>
      <c r="E440" s="11"/>
      <c r="F440" s="11"/>
      <c r="G440" s="12"/>
    </row>
    <row r="445" spans="3:8">
      <c r="C445" s="5"/>
      <c r="D445" s="6"/>
      <c r="E445" s="6"/>
      <c r="F445" s="6"/>
      <c r="G445" s="7"/>
    </row>
    <row r="446" spans="3:8">
      <c r="C446" s="8"/>
      <c r="G446" s="9"/>
    </row>
    <row r="447" spans="3:8">
      <c r="C447" s="8"/>
      <c r="G447" s="9"/>
      <c r="H447" s="13"/>
    </row>
    <row r="448" spans="3:8">
      <c r="C448" s="8"/>
      <c r="G448" s="9"/>
    </row>
    <row r="449" spans="3:8">
      <c r="C449" s="10"/>
      <c r="D449" s="11"/>
      <c r="E449" s="11"/>
      <c r="F449" s="11"/>
      <c r="G449" s="12"/>
    </row>
    <row r="454" spans="3:8">
      <c r="C454" s="5"/>
      <c r="D454" s="6"/>
      <c r="E454" s="6"/>
      <c r="F454" s="6"/>
      <c r="G454" s="7"/>
    </row>
    <row r="455" spans="3:8">
      <c r="C455" s="8"/>
      <c r="G455" s="9"/>
    </row>
    <row r="456" spans="3:8">
      <c r="C456" s="8"/>
      <c r="G456" s="9"/>
      <c r="H456" s="13"/>
    </row>
    <row r="457" spans="3:8">
      <c r="C457" s="8"/>
      <c r="G457" s="9"/>
    </row>
    <row r="458" spans="3:8">
      <c r="C458" s="10"/>
      <c r="D458" s="11"/>
      <c r="E458" s="11"/>
      <c r="F458" s="11"/>
      <c r="G458" s="12"/>
    </row>
    <row r="463" spans="3:8">
      <c r="C463" s="5"/>
      <c r="D463" s="6"/>
      <c r="E463" s="6"/>
      <c r="F463" s="6"/>
      <c r="G463" s="7"/>
    </row>
    <row r="464" spans="3:8">
      <c r="C464" s="8"/>
      <c r="G464" s="9"/>
    </row>
    <row r="465" spans="3:8">
      <c r="C465" s="8"/>
      <c r="G465" s="9"/>
      <c r="H465" s="13"/>
    </row>
    <row r="466" spans="3:8">
      <c r="C466" s="8"/>
      <c r="G466" s="9"/>
    </row>
    <row r="467" spans="3:8">
      <c r="C467" s="10"/>
      <c r="D467" s="11"/>
      <c r="E467" s="11"/>
      <c r="F467" s="11"/>
      <c r="G467" s="12"/>
    </row>
    <row r="472" spans="3:8">
      <c r="C472" s="5"/>
      <c r="D472" s="6"/>
      <c r="E472" s="6"/>
      <c r="F472" s="6"/>
      <c r="G472" s="7"/>
    </row>
    <row r="473" spans="3:8">
      <c r="C473" s="8"/>
      <c r="G473" s="9"/>
    </row>
    <row r="474" spans="3:8">
      <c r="C474" s="8"/>
      <c r="G474" s="9"/>
      <c r="H474" s="13"/>
    </row>
    <row r="475" spans="3:8">
      <c r="C475" s="8"/>
      <c r="G475" s="9"/>
    </row>
    <row r="476" spans="3:8">
      <c r="C476" s="10"/>
      <c r="D476" s="11"/>
      <c r="E476" s="11"/>
      <c r="F476" s="11"/>
      <c r="G476" s="12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5124" progId="Equation.DSMT4" r:id="rId3">
          <objectPr defaultSize="0" r:id="rId4">
            <anchor moveWithCells="1">
              <from>
                <xdr:col>10</xdr:col>
                <xdr:colOff>0</xdr:colOff>
                <xdr:row>17</xdr:row>
                <xdr:rowOff>31750</xdr:rowOff>
              </from>
              <to>
                <xdr:col>19</xdr:col>
                <xdr:colOff>57150</xdr:colOff>
                <xdr:row>27</xdr:row>
                <xdr:rowOff>88900</xdr:rowOff>
              </to>
            </anchor>
          </objectPr>
        </oleObject>
      </mc:Choice>
      <mc:Fallback>
        <oleObject shapeId="5124" progId="Equation.DSMT4" r:id="rId3"/>
      </mc:Fallback>
    </mc:AlternateContent>
    <mc:AlternateContent xmlns:mc="http://schemas.openxmlformats.org/markup-compatibility/2006">
      <mc:Choice Requires="x14">
        <oleObject shapeId="5125" progId="Equation.DSMT4" r:id="rId5">
          <objectPr defaultSize="0" r:id="rId6">
            <anchor moveWithCells="1" sizeWithCells="1">
              <from>
                <xdr:col>10</xdr:col>
                <xdr:colOff>0</xdr:colOff>
                <xdr:row>0</xdr:row>
                <xdr:rowOff>12700</xdr:rowOff>
              </from>
              <to>
                <xdr:col>16</xdr:col>
                <xdr:colOff>355600</xdr:colOff>
                <xdr:row>17</xdr:row>
                <xdr:rowOff>57150</xdr:rowOff>
              </to>
            </anchor>
          </objectPr>
        </oleObject>
      </mc:Choice>
      <mc:Fallback>
        <oleObject shapeId="5125" progId="Equation.DSMT4" r:id="rId5"/>
      </mc:Fallback>
    </mc:AlternateContent>
    <mc:AlternateContent xmlns:mc="http://schemas.openxmlformats.org/markup-compatibility/2006">
      <mc:Choice Requires="x14">
        <oleObject shapeId="5126" progId="Equation.DSMT4" r:id="rId7">
          <objectPr defaultSize="0" r:id="rId8">
            <anchor moveWithCells="1">
              <from>
                <xdr:col>10</xdr:col>
                <xdr:colOff>165100</xdr:colOff>
                <xdr:row>28</xdr:row>
                <xdr:rowOff>38100</xdr:rowOff>
              </from>
              <to>
                <xdr:col>15</xdr:col>
                <xdr:colOff>450850</xdr:colOff>
                <xdr:row>39</xdr:row>
                <xdr:rowOff>31750</xdr:rowOff>
              </to>
            </anchor>
          </objectPr>
        </oleObject>
      </mc:Choice>
      <mc:Fallback>
        <oleObject shapeId="5126" progId="Equation.DSMT4" r:id="rId7"/>
      </mc:Fallback>
    </mc:AlternateContent>
    <mc:AlternateContent xmlns:mc="http://schemas.openxmlformats.org/markup-compatibility/2006">
      <mc:Choice Requires="x14">
        <oleObject shapeId="5127" progId="Equation.DSMT4" r:id="rId9">
          <objectPr defaultSize="0" r:id="rId10">
            <anchor moveWithCells="1">
              <from>
                <xdr:col>15</xdr:col>
                <xdr:colOff>393700</xdr:colOff>
                <xdr:row>27</xdr:row>
                <xdr:rowOff>95250</xdr:rowOff>
              </from>
              <to>
                <xdr:col>21</xdr:col>
                <xdr:colOff>0</xdr:colOff>
                <xdr:row>39</xdr:row>
                <xdr:rowOff>107950</xdr:rowOff>
              </to>
            </anchor>
          </objectPr>
        </oleObject>
      </mc:Choice>
      <mc:Fallback>
        <oleObject shapeId="5127" progId="Equation.DSMT4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牛顿法求解方程组1</vt:lpstr>
      <vt:lpstr>最速下降法</vt:lpstr>
      <vt:lpstr>最速下降法（其他例子）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刘纯一</cp:lastModifiedBy>
  <dcterms:created xsi:type="dcterms:W3CDTF">2021-04-17T14:58:00Z</dcterms:created>
  <dcterms:modified xsi:type="dcterms:W3CDTF">2026-03-27T16:00:25Z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06DE6DE4A3D74B7A852940F5AC08D2EB_13</vt:lpwstr>
  </property>
  <property fmtid="{D5CDD505-2E9C-101B-9397-08002B2CF9AE}" pid="4" name="CalculationRule">
    <vt:i4>0</vt:i4>
  </property>
</Properties>
</file>