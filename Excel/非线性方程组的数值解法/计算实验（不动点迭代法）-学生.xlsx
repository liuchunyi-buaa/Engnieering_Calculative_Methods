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雅可比迭代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<sst xmlns="http://schemas.openxmlformats.org/spreadsheetml/2006/main" count="66" uniqueCount="40">
  <si>
    <t>步骤：</t>
  </si>
  <si>
    <t>x1</t>
  </si>
  <si>
    <t>x2</t>
  </si>
  <si>
    <t>||xk - xk-1||</t>
  </si>
  <si>
    <t>k=0</t>
  </si>
  <si>
    <t>k=1</t>
  </si>
  <si>
    <t>k=2</t>
  </si>
  <si>
    <t>k=3</t>
  </si>
  <si>
    <t>k=4</t>
  </si>
  <si>
    <t>k=5</t>
  </si>
  <si>
    <t>k=6</t>
  </si>
  <si>
    <t>k=7</t>
  </si>
  <si>
    <t>k=8</t>
  </si>
  <si>
    <t>k=9</t>
  </si>
  <si>
    <t>k=10</t>
  </si>
  <si>
    <t>k=11</t>
  </si>
  <si>
    <t>k=12</t>
  </si>
  <si>
    <t>k=13</t>
  </si>
  <si>
    <t>k=14</t>
  </si>
  <si>
    <t>k=15</t>
  </si>
  <si>
    <t>k=16</t>
  </si>
  <si>
    <t>k=17</t>
  </si>
  <si>
    <t>k=18</t>
  </si>
  <si>
    <t>k=19</t>
  </si>
  <si>
    <t>k=20</t>
  </si>
  <si>
    <t>k=21</t>
  </si>
  <si>
    <t>k=22</t>
  </si>
  <si>
    <t>k=23</t>
  </si>
  <si>
    <t>k=24</t>
  </si>
  <si>
    <t>k=25</t>
  </si>
  <si>
    <t>k=26</t>
  </si>
  <si>
    <t>k=27</t>
  </si>
  <si>
    <t>k=28</t>
  </si>
  <si>
    <t>k=29</t>
  </si>
  <si>
    <t>k=30</t>
  </si>
  <si>
    <t>k=31</t>
  </si>
  <si>
    <t>k=32</t>
  </si>
  <si>
    <t>k=33</t>
  </si>
  <si>
    <t>k=34</t>
  </si>
  <si>
    <t>k=35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</si>
</sst>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773430</xdr:colOff>
          <xdr:row>3</xdr:row>
          <xdr:rowOff>31750</xdr:rowOff>
        </xdr:from>
        <xdr:to>
          <xdr:col>3</xdr:col>
          <xdr:colOff>80010</xdr:colOff>
          <xdr:row>7</xdr:row>
          <xdr:rowOff>647065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73430" y="1372870"/>
              <a:ext cx="2080260" cy="18903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167640</xdr:colOff>
          <xdr:row>0</xdr:row>
          <xdr:rowOff>44450</xdr:rowOff>
        </xdr:from>
        <xdr:to>
          <xdr:col>4</xdr:col>
          <xdr:colOff>427990</xdr:colOff>
          <xdr:row>2</xdr:row>
          <xdr:rowOff>839470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67640" y="44450"/>
              <a:ext cx="3628390" cy="1221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314960</xdr:colOff>
          <xdr:row>3</xdr:row>
          <xdr:rowOff>29210</xdr:rowOff>
        </xdr:from>
        <xdr:to>
          <xdr:col>9</xdr:col>
          <xdr:colOff>398145</xdr:colOff>
          <xdr:row>7</xdr:row>
          <xdr:rowOff>486410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5031740" y="1370330"/>
              <a:ext cx="1899285" cy="17322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w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45"/>
  <sheetViews>
    <sheetView tabSelected="1" workbookViewId="0">
      <selection activeCell="K36" sqref="K36"/>
    </sheetView>
  </sheetViews>
  <sheetFormatPr defaultColWidth="9" defaultRowHeight="16.8"/>
  <cols>
    <col min="1" max="1" width="14.5" customWidth="1"/>
    <col min="2" max="3" width="13.75"/>
    <col min="5" max="5" width="12.9230769230769"/>
    <col min="6" max="6" width="3.125" customWidth="1"/>
    <col min="7" max="7" width="4.375" customWidth="1"/>
    <col min="8" max="10" width="13.75"/>
    <col min="11" max="11" width="3.875" customWidth="1"/>
    <col min="12" max="12" width="13.75"/>
    <col min="13" max="13" width="4.75" customWidth="1"/>
  </cols>
  <sheetData>
    <row r="3" ht="72" customHeight="1"/>
    <row r="4" ht="50" customHeight="1"/>
    <row r="8" ht="51" customHeight="1"/>
    <row r="9" spans="1:13">
      <c r="A9" s="1" t="s">
        <v>0</v>
      </c>
      <c r="B9" s="1" t="s">
        <v>1</v>
      </c>
      <c r="C9" s="1" t="s">
        <v>2</v>
      </c>
      <c r="E9" s="2" t="s">
        <v>3</v>
      </c>
      <c r="F9" s="1"/>
      <c r="G9" s="1"/>
      <c r="H9" s="1" t="s">
        <v>0</v>
      </c>
      <c r="I9" s="1" t="s">
        <v>1</v>
      </c>
      <c r="J9" s="1" t="s">
        <v>2</v>
      </c>
      <c r="L9" s="2" t="s">
        <v>3</v>
      </c>
      <c r="M9" s="1"/>
    </row>
    <row r="10" spans="1:13">
      <c r="A10" s="1" t="s">
        <v>4</v>
      </c>
      <c r="B10" s="1">
        <v>1.5</v>
      </c>
      <c r="C10" s="1">
        <v>0.7</v>
      </c>
      <c r="E10" s="1"/>
      <c r="F10" s="1"/>
      <c r="G10" s="1"/>
      <c r="H10" s="1" t="s">
        <v>4</v>
      </c>
      <c r="I10" s="1">
        <v>1.5</v>
      </c>
      <c r="J10" s="1">
        <v>1</v>
      </c>
      <c r="L10" s="1"/>
    </row>
    <row r="11" spans="1:13">
      <c r="A11" s="1" t="s">
        <v>5</v>
      </c>
      <c r="B11" s="1">
        <f>((5-C10^2)/2)^0.5</f>
        <v>1.50166574176812</v>
      </c>
      <c r="C11" s="1">
        <f>0.5*(3-B10)</f>
        <v>0.75</v>
      </c>
      <c r="E11" s="1" cm="1">
        <f t="array" ref="E11">SUM(ABS(B11:C11-B10:C10))</f>
        <v>0.0516657417681206</v>
      </c>
      <c r="G11" s="1"/>
      <c r="H11" s="1" t="s">
        <v>5</v>
      </c>
      <c r="I11" s="1">
        <f>((5-(J10)^2)/2)^0.5</f>
        <v>1.4142135623731</v>
      </c>
      <c r="J11" s="1">
        <f>0.5*(3-I11)</f>
        <v>0.792893218813452</v>
      </c>
      <c r="L11" s="1" cm="1">
        <f t="array" ref="L11">SUM(ABS(I11:J11-I10:J10))</f>
        <v>0.292893218813452</v>
      </c>
    </row>
    <row r="12" spans="1:13">
      <c r="A12" s="1" t="s">
        <v>6</v>
      </c>
      <c r="B12" s="1">
        <f t="shared" ref="B12:B45" si="0">((5-C11^2)/2)^0.5</f>
        <v>1.48954691097662</v>
      </c>
      <c r="C12" s="1">
        <f t="shared" ref="C12:C45" si="1">0.5*(3-B11)</f>
        <v>0.74916712911594</v>
      </c>
      <c r="E12" s="1" cm="1">
        <f t="array" ref="E12">SUM(ABS(B12:C12-B11:C11))</f>
        <v>0.0129517016755577</v>
      </c>
      <c r="G12" s="1"/>
      <c r="H12" s="1" t="s">
        <v>6</v>
      </c>
      <c r="I12" s="1">
        <f t="shared" ref="I12:I31" si="2">((5-(J11)^2)/2)^0.5</f>
        <v>1.47839783948023</v>
      </c>
      <c r="J12" s="1">
        <f t="shared" ref="J12:J31" si="3">0.5*(3-I12)</f>
        <v>0.760801080259883</v>
      </c>
      <c r="L12" s="1" cm="1">
        <f t="array" ref="L12">SUM(ABS(I12:J12-I11:J11))</f>
        <v>0.0962764156607072</v>
      </c>
    </row>
    <row r="13" spans="1:13">
      <c r="A13" s="1" t="s">
        <v>7</v>
      </c>
      <c r="B13" s="1">
        <f t="shared" si="0"/>
        <v>1.48975645872944</v>
      </c>
      <c r="C13" s="1">
        <f t="shared" si="1"/>
        <v>0.755226544511688</v>
      </c>
      <c r="E13" s="1" cm="1">
        <f t="array" ref="E13">SUM(ABS(B13:C13-B12:C12))</f>
        <v>0.00626896314856862</v>
      </c>
      <c r="G13" s="1"/>
      <c r="H13" s="1" t="s">
        <v>7</v>
      </c>
      <c r="I13" s="1">
        <f t="shared" si="2"/>
        <v>1.48680558854804</v>
      </c>
      <c r="J13" s="1">
        <f t="shared" si="3"/>
        <v>0.756597205725978</v>
      </c>
      <c r="L13" s="1" cm="1">
        <f t="array" ref="L13">SUM(ABS(I13:J13-I12:J12))</f>
        <v>0.0126116236017167</v>
      </c>
    </row>
    <row r="14" spans="1:13">
      <c r="A14" s="1" t="s">
        <v>8</v>
      </c>
      <c r="B14" s="1">
        <f t="shared" si="0"/>
        <v>1.48822593487429</v>
      </c>
      <c r="C14" s="1">
        <f t="shared" si="1"/>
        <v>0.755121770635279</v>
      </c>
      <c r="E14" s="1" cm="1">
        <f t="array" ref="E14">SUM(ABS(B14:C14-B13:C13))</f>
        <v>0.00163529773155857</v>
      </c>
      <c r="G14" s="1"/>
      <c r="H14" s="1" t="s">
        <v>8</v>
      </c>
      <c r="I14" s="1">
        <f t="shared" si="2"/>
        <v>1.48787779543342</v>
      </c>
      <c r="J14" s="1">
        <f t="shared" si="3"/>
        <v>0.756061102283289</v>
      </c>
      <c r="L14" s="1" cm="1">
        <f t="array" ref="L14">SUM(ABS(I14:J14-I13:J13))</f>
        <v>0.00160831032806719</v>
      </c>
    </row>
    <row r="15" spans="1:13">
      <c r="A15" s="1" t="s">
        <v>9</v>
      </c>
      <c r="B15" s="1">
        <f t="shared" si="0"/>
        <v>1.48825251747018</v>
      </c>
      <c r="C15" s="1">
        <f t="shared" si="1"/>
        <v>0.755887032562853</v>
      </c>
      <c r="E15" s="1" cm="1">
        <f t="array" ref="E15">SUM(ABS(B15:C15-B14:C14))</f>
        <v>0.000791844523457486</v>
      </c>
      <c r="G15" s="1"/>
      <c r="H15" s="1" t="s">
        <v>9</v>
      </c>
      <c r="I15" s="1">
        <f t="shared" si="2"/>
        <v>1.4880140472479</v>
      </c>
      <c r="J15" s="1">
        <f t="shared" si="3"/>
        <v>0.755992976376048</v>
      </c>
      <c r="L15" s="1" cm="1">
        <f t="array" ref="L15">SUM(ABS(I15:J15-I14:J14))</f>
        <v>0.00020437772172277</v>
      </c>
    </row>
    <row r="16" spans="1:13">
      <c r="A16" s="1" t="s">
        <v>10</v>
      </c>
      <c r="B16" s="1">
        <f t="shared" si="0"/>
        <v>1.48805826398084</v>
      </c>
      <c r="C16" s="1">
        <f t="shared" si="1"/>
        <v>0.755873741264911</v>
      </c>
      <c r="E16" s="1" cm="1">
        <f t="array" ref="E16">SUM(ABS(B16:C16-B15:C15))</f>
        <v>0.000207544787282243</v>
      </c>
      <c r="G16" s="1"/>
      <c r="H16" s="1" t="s">
        <v>10</v>
      </c>
      <c r="I16" s="1">
        <f t="shared" si="2"/>
        <v>1.48803135378091</v>
      </c>
      <c r="J16" s="1">
        <f t="shared" si="3"/>
        <v>0.755984323109546</v>
      </c>
      <c r="L16" s="1" cm="1">
        <f t="array" ref="L16">SUM(ABS(I16:J16-I15:J15))</f>
        <v>2.59597995057037e-5</v>
      </c>
    </row>
    <row r="17" spans="1:12">
      <c r="A17" s="1" t="s">
        <v>11</v>
      </c>
      <c r="B17" s="1">
        <f t="shared" si="0"/>
        <v>1.48806163972904</v>
      </c>
      <c r="C17" s="1">
        <f t="shared" si="1"/>
        <v>0.755970868009582</v>
      </c>
      <c r="E17" s="1" cm="1">
        <f t="array" ref="E17">SUM(ABS(B17:C17-B16:C16))</f>
        <v>0.000100502492877963</v>
      </c>
      <c r="G17" s="1"/>
      <c r="H17" s="1" t="s">
        <v>11</v>
      </c>
      <c r="I17" s="1">
        <f t="shared" si="2"/>
        <v>1.48803355190879</v>
      </c>
      <c r="J17" s="1">
        <f t="shared" si="3"/>
        <v>0.755983224045603</v>
      </c>
      <c r="L17" s="1" cm="1">
        <f t="array" ref="L17">SUM(ABS(I17:J17-I16:J16))</f>
        <v>3.29719182823318e-6</v>
      </c>
    </row>
    <row r="18" spans="1:12">
      <c r="A18" s="1" t="s">
        <v>12</v>
      </c>
      <c r="B18" s="1">
        <f t="shared" si="0"/>
        <v>1.48803696975593</v>
      </c>
      <c r="C18" s="1">
        <f t="shared" si="1"/>
        <v>0.755969180135478</v>
      </c>
      <c r="E18" s="1" cm="1">
        <f t="array" ref="E18">SUM(ABS(B18:C18-B17:C17))</f>
        <v>2.63578472152748e-5</v>
      </c>
      <c r="G18" s="1"/>
      <c r="H18" s="1" t="s">
        <v>12</v>
      </c>
      <c r="I18" s="1">
        <f t="shared" si="2"/>
        <v>1.48803383109417</v>
      </c>
      <c r="J18" s="1">
        <f t="shared" si="3"/>
        <v>0.755983084452913</v>
      </c>
      <c r="L18" s="1" cm="1">
        <f t="array" ref="L18">SUM(ABS(I18:J18-I17:J17))</f>
        <v>4.18778071886727e-7</v>
      </c>
    </row>
    <row r="19" spans="1:12">
      <c r="A19" s="1" t="s">
        <v>13</v>
      </c>
      <c r="B19" s="1">
        <f t="shared" si="0"/>
        <v>1.48803739850269</v>
      </c>
      <c r="C19" s="1">
        <f t="shared" si="1"/>
        <v>0.755981515122033</v>
      </c>
      <c r="E19" s="1" cm="1">
        <f t="array" ref="E19">SUM(ABS(B19:C19-B18:C18))</f>
        <v>1.27637333104946e-5</v>
      </c>
      <c r="G19" s="1"/>
      <c r="H19" s="1" t="s">
        <v>13</v>
      </c>
      <c r="I19" s="1">
        <f t="shared" si="2"/>
        <v>1.48803386655362</v>
      </c>
      <c r="J19" s="1">
        <f t="shared" si="3"/>
        <v>0.755983066723188</v>
      </c>
      <c r="L19" s="1" cm="1">
        <f t="array" ref="L19">SUM(ABS(I19:J19-I18:J18))</f>
        <v>5.31891743982271e-8</v>
      </c>
    </row>
    <row r="20" spans="1:12">
      <c r="A20" s="1" t="s">
        <v>14</v>
      </c>
      <c r="B20" s="1">
        <f t="shared" si="0"/>
        <v>1.48803426519583</v>
      </c>
      <c r="C20" s="1">
        <f t="shared" si="1"/>
        <v>0.755981300748656</v>
      </c>
      <c r="E20" s="1" cm="1">
        <f t="array" ref="E20">SUM(ABS(B20:C20-B19:C19))</f>
        <v>3.34768023402265e-6</v>
      </c>
      <c r="G20" s="1"/>
      <c r="H20" s="1" t="s">
        <v>14</v>
      </c>
      <c r="I20" s="1">
        <f t="shared" si="2"/>
        <v>1.48803387105734</v>
      </c>
      <c r="J20" s="1">
        <f t="shared" si="3"/>
        <v>0.755983064471328</v>
      </c>
      <c r="L20" s="1" cm="1">
        <f t="array" ref="L20">SUM(ABS(I20:J20-I19:J19))</f>
        <v>6.75557809692862e-9</v>
      </c>
    </row>
    <row r="21" spans="1:12">
      <c r="A21" s="1" t="s">
        <v>15</v>
      </c>
      <c r="B21" s="1">
        <f t="shared" si="0"/>
        <v>1.48803431965099</v>
      </c>
      <c r="C21" s="1">
        <f t="shared" si="1"/>
        <v>0.755982867402084</v>
      </c>
      <c r="E21" s="1" cm="1">
        <f t="array" ref="E21">SUM(ABS(B21:C21-B20:C20))</f>
        <v>1.62110858736852e-6</v>
      </c>
      <c r="G21" s="1"/>
      <c r="H21" s="1" t="s">
        <v>15</v>
      </c>
      <c r="I21" s="1">
        <f t="shared" si="2"/>
        <v>1.48803387162936</v>
      </c>
      <c r="J21" s="1">
        <f t="shared" si="3"/>
        <v>0.755983064185319</v>
      </c>
      <c r="L21" s="1" cm="1">
        <f t="array" ref="L21">SUM(ABS(I21:J21-I20:J20))</f>
        <v>8.58028648131892e-10</v>
      </c>
    </row>
    <row r="22" spans="1:12">
      <c r="A22" s="1" t="s">
        <v>16</v>
      </c>
      <c r="B22" s="1">
        <f t="shared" si="0"/>
        <v>1.48803392168904</v>
      </c>
      <c r="C22" s="1">
        <f t="shared" si="1"/>
        <v>0.755982840174505</v>
      </c>
      <c r="E22" s="1" cm="1">
        <f t="array" ref="E22">SUM(ABS(B22:C22-B21:C21))</f>
        <v>4.25189530695036e-7</v>
      </c>
      <c r="G22" s="1"/>
      <c r="H22" s="1" t="s">
        <v>16</v>
      </c>
      <c r="I22" s="1">
        <f t="shared" si="2"/>
        <v>1.48803387170201</v>
      </c>
      <c r="J22" s="1">
        <f t="shared" si="3"/>
        <v>0.755983064148993</v>
      </c>
      <c r="L22" s="1" cm="1">
        <f t="array" ref="L22">SUM(ABS(I22:J22-I21:J21))</f>
        <v>1.08978492896483e-10</v>
      </c>
    </row>
    <row r="23" spans="1:12">
      <c r="A23" s="1" t="s">
        <v>17</v>
      </c>
      <c r="B23" s="1">
        <f t="shared" si="0"/>
        <v>1.48803392860541</v>
      </c>
      <c r="C23" s="1">
        <f t="shared" si="1"/>
        <v>0.75598303915548</v>
      </c>
      <c r="E23" s="1" cm="1">
        <f t="array" ref="E23">SUM(ABS(B23:C23-B22:C22))</f>
        <v>2.058973446184e-7</v>
      </c>
      <c r="G23" s="1"/>
      <c r="H23" s="1" t="s">
        <v>17</v>
      </c>
      <c r="I23" s="1">
        <f t="shared" si="2"/>
        <v>1.48803387171124</v>
      </c>
      <c r="J23" s="1">
        <f t="shared" si="3"/>
        <v>0.755983064144379</v>
      </c>
      <c r="L23" s="1" cm="1">
        <f t="array" ref="L23">SUM(ABS(I23:J23-I22:J22))</f>
        <v>1.38412614703043e-11</v>
      </c>
    </row>
    <row r="24" spans="1:12">
      <c r="A24" s="1" t="s">
        <v>18</v>
      </c>
      <c r="B24" s="1">
        <f t="shared" si="0"/>
        <v>1.48803387806011</v>
      </c>
      <c r="C24" s="1">
        <f t="shared" si="1"/>
        <v>0.755983035697296</v>
      </c>
      <c r="E24" s="1" cm="1">
        <f t="array" ref="E24">SUM(ABS(B24:C24-B23:C23))</f>
        <v>5.4003478688891e-8</v>
      </c>
      <c r="G24" s="1"/>
      <c r="H24" s="1" t="s">
        <v>18</v>
      </c>
      <c r="I24" s="1">
        <f t="shared" si="2"/>
        <v>1.48803387171241</v>
      </c>
      <c r="J24" s="1">
        <f t="shared" si="3"/>
        <v>0.755983064143793</v>
      </c>
      <c r="L24" s="1" cm="1">
        <f t="array" ref="L24">SUM(ABS(I24:J24-I23:J23))</f>
        <v>1.75826020409886e-12</v>
      </c>
    </row>
    <row r="25" spans="1:12">
      <c r="A25" s="1" t="s">
        <v>19</v>
      </c>
      <c r="B25" s="1">
        <f t="shared" si="0"/>
        <v>1.48803387893856</v>
      </c>
      <c r="C25" s="1">
        <f t="shared" si="1"/>
        <v>0.755983060969943</v>
      </c>
      <c r="E25" s="1" cm="1">
        <f t="array" ref="E25">SUM(ABS(B25:C25-B24:C24))</f>
        <v>2.61510977317414e-8</v>
      </c>
      <c r="G25" s="1"/>
      <c r="H25" s="1" t="s">
        <v>19</v>
      </c>
      <c r="I25" s="1">
        <f t="shared" si="2"/>
        <v>1.48803387171256</v>
      </c>
      <c r="J25" s="1">
        <f t="shared" si="3"/>
        <v>0.755983064143718</v>
      </c>
      <c r="L25" s="1" cm="1">
        <f t="array" ref="L25">SUM(ABS(I25:J25-I24:J24))</f>
        <v>2.23154827949656e-13</v>
      </c>
    </row>
    <row r="26" spans="1:12">
      <c r="A26" s="1" t="s">
        <v>20</v>
      </c>
      <c r="B26" s="1">
        <f t="shared" si="0"/>
        <v>1.48803387251879</v>
      </c>
      <c r="C26" s="1">
        <f t="shared" si="1"/>
        <v>0.755983060530718</v>
      </c>
      <c r="E26" s="1" cm="1">
        <f t="array" ref="E26">SUM(ABS(B26:C26-B25:C25))</f>
        <v>6.85900292118902e-9</v>
      </c>
      <c r="G26" s="1"/>
      <c r="H26" s="1" t="s">
        <v>20</v>
      </c>
      <c r="I26" s="1">
        <f t="shared" si="2"/>
        <v>1.48803387171258</v>
      </c>
      <c r="J26" s="1">
        <f t="shared" si="3"/>
        <v>0.755983064143709</v>
      </c>
      <c r="L26" s="1" cm="1">
        <f t="array" ref="L26">SUM(ABS(I26:J26-I25:J25))</f>
        <v>2.83106871279415e-14</v>
      </c>
    </row>
    <row r="27" spans="1:12">
      <c r="A27" s="1" t="s">
        <v>21</v>
      </c>
      <c r="B27" s="1">
        <f t="shared" si="0"/>
        <v>1.48803387263036</v>
      </c>
      <c r="C27" s="1">
        <f t="shared" si="1"/>
        <v>0.755983063740607</v>
      </c>
      <c r="E27" s="1" cm="1">
        <f t="array" ref="E27">SUM(ABS(B27:C27-B26:C26))</f>
        <v>3.32146132819844e-9</v>
      </c>
      <c r="G27" s="1"/>
      <c r="H27" s="1" t="s">
        <v>21</v>
      </c>
      <c r="I27" s="1">
        <f t="shared" si="2"/>
        <v>1.48803387171258</v>
      </c>
      <c r="J27" s="1">
        <f t="shared" si="3"/>
        <v>0.755983064143708</v>
      </c>
      <c r="L27" s="1" cm="1">
        <f t="array" ref="L27">SUM(ABS(I27:J27-I26:J26))</f>
        <v>3.66373598126302e-15</v>
      </c>
    </row>
    <row r="28" spans="1:12">
      <c r="A28" s="1" t="s">
        <v>22</v>
      </c>
      <c r="B28" s="1">
        <f t="shared" si="0"/>
        <v>1.48803387181498</v>
      </c>
      <c r="C28" s="1">
        <f t="shared" si="1"/>
        <v>0.75598306368482</v>
      </c>
      <c r="E28" s="1" cm="1">
        <f t="array" ref="E28">SUM(ABS(B28:C28-B27:C27))</f>
        <v>8.71164917981559e-10</v>
      </c>
      <c r="G28" s="1"/>
      <c r="H28" s="1" t="s">
        <v>22</v>
      </c>
      <c r="I28" s="1">
        <f t="shared" si="2"/>
        <v>1.48803387171258</v>
      </c>
      <c r="J28" s="1">
        <f t="shared" si="3"/>
        <v>0.755983064143708</v>
      </c>
      <c r="L28" s="1" cm="1">
        <f t="array" ref="L28">SUM(ABS(I28:J28-I27:J27))</f>
        <v>0</v>
      </c>
    </row>
    <row r="29" spans="1:12">
      <c r="A29" s="1" t="s">
        <v>23</v>
      </c>
      <c r="B29" s="1">
        <f t="shared" si="0"/>
        <v>1.48803387182915</v>
      </c>
      <c r="C29" s="1">
        <f t="shared" si="1"/>
        <v>0.75598306409251</v>
      </c>
      <c r="E29" s="1" cm="1">
        <f t="array" ref="E29">SUM(ABS(B29:C29-B28:C28))</f>
        <v>4.21860213428715e-10</v>
      </c>
      <c r="G29" s="1"/>
      <c r="H29" s="1" t="s">
        <v>23</v>
      </c>
      <c r="I29" s="1">
        <f t="shared" si="2"/>
        <v>1.48803387171258</v>
      </c>
      <c r="J29" s="1">
        <f t="shared" si="3"/>
        <v>0.755983064143708</v>
      </c>
      <c r="L29" s="1" cm="1">
        <f t="array" ref="L29">SUM(ABS(I29:J29-I28:J28))</f>
        <v>0</v>
      </c>
    </row>
    <row r="30" spans="1:12">
      <c r="A30" s="1" t="s">
        <v>24</v>
      </c>
      <c r="B30" s="1">
        <f t="shared" si="0"/>
        <v>1.48803387172559</v>
      </c>
      <c r="C30" s="1">
        <f t="shared" si="1"/>
        <v>0.755983064085424</v>
      </c>
      <c r="E30" s="1" cm="1">
        <f t="array" ref="E30">SUM(ABS(B30:C30-B29:C29))</f>
        <v>1.10647047080192e-10</v>
      </c>
      <c r="G30" s="1"/>
      <c r="H30" s="1" t="s">
        <v>24</v>
      </c>
      <c r="I30" s="1">
        <f t="shared" si="2"/>
        <v>1.48803387171258</v>
      </c>
      <c r="J30" s="1">
        <f t="shared" si="3"/>
        <v>0.755983064143708</v>
      </c>
      <c r="L30" s="1" cm="1">
        <f t="array" ref="L30">SUM(ABS(I30:J30-I29:J29))</f>
        <v>0</v>
      </c>
    </row>
    <row r="31" spans="1:12">
      <c r="A31" s="1" t="s">
        <v>25</v>
      </c>
      <c r="B31" s="1">
        <f t="shared" si="0"/>
        <v>1.48803387172739</v>
      </c>
      <c r="C31" s="1">
        <f t="shared" si="1"/>
        <v>0.755983064137205</v>
      </c>
      <c r="E31" s="1" cm="1">
        <f t="array" ref="E31">SUM(ABS(B31:C31-B30:C30))</f>
        <v>5.35806954360396e-11</v>
      </c>
      <c r="G31" s="1"/>
      <c r="H31" s="1" t="s">
        <v>25</v>
      </c>
      <c r="I31" s="1">
        <f t="shared" si="2"/>
        <v>1.48803387171258</v>
      </c>
      <c r="J31" s="1">
        <f t="shared" si="3"/>
        <v>0.755983064143708</v>
      </c>
      <c r="L31" s="1" cm="1">
        <f t="array" ref="L31">SUM(ABS(I31:J31-I30:J30))</f>
        <v>0</v>
      </c>
    </row>
    <row r="32" spans="1:12">
      <c r="A32" s="1" t="s">
        <v>26</v>
      </c>
      <c r="B32" s="1">
        <f t="shared" si="0"/>
        <v>1.48803387171424</v>
      </c>
      <c r="C32" s="1">
        <f t="shared" si="1"/>
        <v>0.755983064136305</v>
      </c>
      <c r="E32" s="1" cm="1">
        <f t="array" ref="E32">SUM(ABS(B32:C32-B31:C31))</f>
        <v>1.40534250903102e-11</v>
      </c>
    </row>
    <row r="33" spans="1:5">
      <c r="A33" s="1" t="s">
        <v>27</v>
      </c>
      <c r="B33" s="1">
        <f t="shared" si="0"/>
        <v>1.48803387171447</v>
      </c>
      <c r="C33" s="1">
        <f t="shared" si="1"/>
        <v>0.755983064142882</v>
      </c>
      <c r="E33" s="1" cm="1">
        <f t="array" ref="E33">SUM(ABS(B33:C33-B32:C32))</f>
        <v>6.80544509634728e-12</v>
      </c>
    </row>
    <row r="34" spans="1:5">
      <c r="A34" s="1" t="s">
        <v>28</v>
      </c>
      <c r="B34" s="1">
        <f t="shared" si="0"/>
        <v>1.48803387171279</v>
      </c>
      <c r="C34" s="1">
        <f t="shared" si="1"/>
        <v>0.755983064142767</v>
      </c>
      <c r="E34" s="1" cm="1">
        <f t="array" ref="E34">SUM(ABS(B34:C34-B33:C33))</f>
        <v>1.7847945343874e-12</v>
      </c>
    </row>
    <row r="35" spans="1:5">
      <c r="A35" s="1" t="s">
        <v>29</v>
      </c>
      <c r="B35" s="1">
        <f t="shared" si="0"/>
        <v>1.48803387171282</v>
      </c>
      <c r="C35" s="1">
        <f t="shared" si="1"/>
        <v>0.755983064143603</v>
      </c>
      <c r="E35" s="1" cm="1">
        <f t="array" ref="E35">SUM(ABS(B35:C35-B34:C34))</f>
        <v>8.64308624670684e-13</v>
      </c>
    </row>
    <row r="36" spans="1:5">
      <c r="A36" s="1" t="s">
        <v>30</v>
      </c>
      <c r="B36" s="1">
        <f t="shared" si="0"/>
        <v>1.48803387171261</v>
      </c>
      <c r="C36" s="1">
        <f t="shared" si="1"/>
        <v>0.755983064143588</v>
      </c>
      <c r="E36" s="1" cm="1">
        <f t="array" ref="E36">SUM(ABS(B36:C36-B35:C35))</f>
        <v>2.26818563930919e-13</v>
      </c>
    </row>
    <row r="37" spans="1:5">
      <c r="A37" s="1" t="s">
        <v>31</v>
      </c>
      <c r="B37" s="1">
        <f t="shared" si="0"/>
        <v>1.48803387171262</v>
      </c>
      <c r="C37" s="1">
        <f t="shared" si="1"/>
        <v>0.755983064143694</v>
      </c>
      <c r="E37" s="1" cm="1">
        <f t="array" ref="E37">SUM(ABS(B37:C37-B36:C36))</f>
        <v>1.09690034832965e-13</v>
      </c>
    </row>
    <row r="38" spans="1:5">
      <c r="A38" s="1" t="s">
        <v>32</v>
      </c>
      <c r="B38" s="1">
        <f t="shared" si="0"/>
        <v>1.48803387171259</v>
      </c>
      <c r="C38" s="1">
        <f t="shared" si="1"/>
        <v>0.755983064143692</v>
      </c>
      <c r="E38" s="1" cm="1">
        <f t="array" ref="E38">SUM(ABS(B38:C38-B37:C37))</f>
        <v>2.8643754035329e-14</v>
      </c>
    </row>
    <row r="39" spans="1:5">
      <c r="A39" s="1" t="s">
        <v>33</v>
      </c>
      <c r="B39" s="1">
        <f t="shared" si="0"/>
        <v>1.48803387171259</v>
      </c>
      <c r="C39" s="1">
        <f t="shared" si="1"/>
        <v>0.755983064143706</v>
      </c>
      <c r="E39" s="1" cm="1">
        <f t="array" ref="E39">SUM(ABS(B39:C39-B38:C38))</f>
        <v>1.34336985979644e-14</v>
      </c>
    </row>
    <row r="40" spans="1:5">
      <c r="A40" s="1" t="s">
        <v>34</v>
      </c>
      <c r="B40" s="1">
        <f t="shared" si="0"/>
        <v>1.48803387171259</v>
      </c>
      <c r="C40" s="1">
        <f t="shared" si="1"/>
        <v>0.755983064143706</v>
      </c>
      <c r="E40" s="1" cm="1">
        <f t="array" ref="E40">SUM(ABS(B40:C40-B39:C39))</f>
        <v>3.33066907387547e-15</v>
      </c>
    </row>
    <row r="41" spans="1:5">
      <c r="A41" s="1" t="s">
        <v>35</v>
      </c>
      <c r="B41" s="1">
        <f t="shared" si="0"/>
        <v>1.48803387171259</v>
      </c>
      <c r="C41" s="1">
        <f t="shared" si="1"/>
        <v>0.755983064143707</v>
      </c>
      <c r="E41" s="1" cm="1">
        <f t="array" ref="E41">SUM(ABS(B41:C41-B40:C40))</f>
        <v>1.66533453693773e-15</v>
      </c>
    </row>
    <row r="42" spans="1:5">
      <c r="A42" s="1" t="s">
        <v>36</v>
      </c>
      <c r="B42" s="1">
        <f t="shared" si="0"/>
        <v>1.48803387171258</v>
      </c>
      <c r="C42" s="1">
        <f t="shared" si="1"/>
        <v>0.755983064143707</v>
      </c>
      <c r="E42" s="1" cm="1">
        <f t="array" ref="E42">SUM(ABS(B42:C42-B41:C41))</f>
        <v>0</v>
      </c>
    </row>
    <row r="43" spans="1:5">
      <c r="A43" s="1" t="s">
        <v>37</v>
      </c>
      <c r="B43" s="1">
        <f t="shared" si="0"/>
        <v>1.48803387171258</v>
      </c>
      <c r="C43" s="1">
        <f t="shared" si="1"/>
        <v>0.755983064143708</v>
      </c>
      <c r="E43" s="1" cm="1">
        <f t="array" ref="E43">SUM(ABS(B43:C43-B42:C42))</f>
        <v>0</v>
      </c>
    </row>
    <row r="44" spans="1:5">
      <c r="A44" s="1" t="s">
        <v>38</v>
      </c>
      <c r="B44" s="1">
        <f t="shared" si="0"/>
        <v>1.48803387171258</v>
      </c>
      <c r="C44" s="1">
        <f t="shared" si="1"/>
        <v>0.755983064143708</v>
      </c>
      <c r="E44" s="1" cm="1">
        <f t="array" ref="E44">SUM(ABS(B44:C44-B43:C43))</f>
        <v>0</v>
      </c>
    </row>
    <row r="45" spans="1:5">
      <c r="A45" s="1" t="s">
        <v>39</v>
      </c>
      <c r="B45" s="1">
        <f t="shared" si="0"/>
        <v>1.48803387171258</v>
      </c>
      <c r="C45" s="1">
        <f t="shared" si="1"/>
        <v>0.755983064143708</v>
      </c>
      <c r="E45" s="1" cm="1">
        <f t="array" ref="E45">SUM(ABS(B45:C45-B44:C44))</f>
        <v>0</v>
      </c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7" progId="Equation.DSMT4" r:id="rId3">
          <objectPr defaultSize="0" r:id="rId4">
            <anchor moveWithCells="1">
              <from>
                <xdr:col>0</xdr:col>
                <xdr:colOff>773430</xdr:colOff>
                <xdr:row>3</xdr:row>
                <xdr:rowOff>31750</xdr:rowOff>
              </from>
              <to>
                <xdr:col>3</xdr:col>
                <xdr:colOff>80010</xdr:colOff>
                <xdr:row>7</xdr:row>
                <xdr:rowOff>647065</xdr:rowOff>
              </to>
            </anchor>
          </objectPr>
        </oleObject>
      </mc:Choice>
      <mc:Fallback>
        <oleObject shapeId="1027" progId="Equation.DSMT4" r:id="rId3"/>
      </mc:Fallback>
    </mc:AlternateContent>
    <mc:AlternateContent xmlns:mc="http://schemas.openxmlformats.org/markup-compatibility/2006">
      <mc:Choice Requires="x14">
        <oleObject shapeId="1028" progId="Equation.DSMT4" r:id="rId5">
          <objectPr defaultSize="0" r:id="rId6">
            <anchor moveWithCells="1">
              <from>
                <xdr:col>0</xdr:col>
                <xdr:colOff>167640</xdr:colOff>
                <xdr:row>0</xdr:row>
                <xdr:rowOff>44450</xdr:rowOff>
              </from>
              <to>
                <xdr:col>4</xdr:col>
                <xdr:colOff>427990</xdr:colOff>
                <xdr:row>2</xdr:row>
                <xdr:rowOff>839470</xdr:rowOff>
              </to>
            </anchor>
          </objectPr>
        </oleObject>
      </mc:Choice>
      <mc:Fallback>
        <oleObject shapeId="1028" progId="Equation.DSMT4" r:id="rId5"/>
      </mc:Fallback>
    </mc:AlternateContent>
    <mc:AlternateContent xmlns:mc="http://schemas.openxmlformats.org/markup-compatibility/2006">
      <mc:Choice Requires="x14">
        <oleObject shapeId="1029" progId="Equation.DSMT4" r:id="rId7">
          <objectPr defaultSize="0" r:id="rId8">
            <anchor moveWithCells="1">
              <from>
                <xdr:col>7</xdr:col>
                <xdr:colOff>314960</xdr:colOff>
                <xdr:row>3</xdr:row>
                <xdr:rowOff>29210</xdr:rowOff>
              </from>
              <to>
                <xdr:col>9</xdr:col>
                <xdr:colOff>398145</xdr:colOff>
                <xdr:row>7</xdr:row>
                <xdr:rowOff>486410</xdr:rowOff>
              </to>
            </anchor>
          </objectPr>
        </oleObject>
      </mc:Choice>
      <mc:Fallback>
        <oleObject shapeId="1029" progId="Equation.DSMT4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雅可比迭代法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XYY</dc:creator>
  <cp:lastModifiedBy>刘纯一</cp:lastModifiedBy>
  <dcterms:created xsi:type="dcterms:W3CDTF">2022-09-18T15:47:00Z</dcterms:created>
  <dcterms:modified xsi:type="dcterms:W3CDTF">2026-03-27T10:55:19Z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C2D37BC0F9DB4E99ABC4DF508BD551BF_13</vt:lpwstr>
  </property>
  <property fmtid="{D5CDD505-2E9C-101B-9397-08002B2CF9AE}" pid="4" name="CalculationRule">
    <vt:i4>0</vt:i4>
  </property>
</Properties>
</file>