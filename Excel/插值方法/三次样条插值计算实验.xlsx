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<sst xmlns="http://schemas.openxmlformats.org/spreadsheetml/2006/main" count="25" uniqueCount="20">
  <si>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i=0</t>
  </si>
  <si>
    <t>i=1</t>
  </si>
  <si>
    <t>i=2</t>
  </si>
  <si>
    <t>i=3</t>
  </si>
  <si>
    <t>i=4</t>
  </si>
  <si>
    <t>计算公式：</t>
  </si>
  <si>
    <r>
      <rPr>
        <i/>
        <sz val="11"/>
        <color theme="1"/>
        <rFont val="Times New Roman"/>
        <charset val="134"/>
      </rPr>
      <t>x</t>
    </r>
    <r>
      <rPr>
        <i/>
        <vertAlign val="subscript"/>
        <sz val="11"/>
        <color theme="1"/>
        <rFont val="Times New Roman"/>
        <charset val="134"/>
      </rPr>
      <t>i</t>
    </r>
  </si>
  <si>
    <r>
      <rPr>
        <i/>
        <sz val="11"/>
        <color theme="1"/>
        <rFont val="Times New Roman"/>
        <charset val="134"/>
      </rPr>
      <t>f</t>
    </r>
    <r>
      <rPr>
        <sz val="11"/>
        <color theme="1"/>
        <rFont val="Times New Roman"/>
        <charset val="134"/>
      </rPr>
      <t>(</t>
    </r>
    <r>
      <rPr>
        <i/>
        <sz val="11"/>
        <color theme="1"/>
        <rFont val="Times New Roman"/>
        <charset val="134"/>
      </rPr>
      <t>x</t>
    </r>
    <r>
      <rPr>
        <i/>
        <vertAlign val="subscript"/>
        <sz val="11"/>
        <color theme="1"/>
        <rFont val="Times New Roman"/>
        <charset val="134"/>
      </rPr>
      <t>i</t>
    </r>
    <r>
      <rPr>
        <sz val="11"/>
        <color theme="1"/>
        <rFont val="Times New Roman"/>
        <charset val="134"/>
      </rPr>
      <t>)</t>
    </r>
  </si>
  <si>
    <r>
      <rPr>
        <i/>
        <sz val="11"/>
        <color theme="1"/>
        <rFont val="Times New Roman"/>
        <charset val="134"/>
      </rPr>
      <t>f'</t>
    </r>
    <r>
      <rPr>
        <sz val="11"/>
        <color theme="1"/>
        <rFont val="宋体"/>
        <charset val="134"/>
        <scheme val="minor"/>
      </rPr>
      <t>(</t>
    </r>
    <r>
      <rPr>
        <i/>
        <sz val="11"/>
        <color theme="1"/>
        <rFont val="Times New Roman"/>
        <charset val="134"/>
      </rPr>
      <t>x</t>
    </r>
    <r>
      <rPr>
        <i/>
        <vertAlign val="subscript"/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  <scheme val="minor"/>
      </rPr>
      <t>)</t>
    </r>
  </si>
  <si>
    <r>
      <rPr>
        <i/>
        <sz val="11"/>
        <color theme="1"/>
        <rFont val="Times New Roman"/>
        <charset val="134"/>
      </rPr>
      <t>h</t>
    </r>
    <r>
      <rPr>
        <i/>
        <vertAlign val="subscript"/>
        <sz val="11"/>
        <color theme="1"/>
        <rFont val="Times New Roman"/>
        <charset val="134"/>
      </rPr>
      <t>i</t>
    </r>
  </si>
  <si>
    <r>
      <rPr>
        <i/>
        <sz val="11"/>
        <color theme="1"/>
        <rFont val="Times New Roman"/>
        <charset val="134"/>
      </rPr>
      <t>λ</t>
    </r>
    <r>
      <rPr>
        <i/>
        <vertAlign val="subscript"/>
        <sz val="11"/>
        <color theme="1"/>
        <rFont val="Times New Roman"/>
        <charset val="134"/>
      </rPr>
      <t>i</t>
    </r>
  </si>
  <si>
    <r>
      <rPr>
        <i/>
        <sz val="11"/>
        <color theme="1"/>
        <rFont val="Times New Roman"/>
        <charset val="134"/>
      </rPr>
      <t>μ</t>
    </r>
    <r>
      <rPr>
        <i/>
        <vertAlign val="subscript"/>
        <sz val="11"/>
        <color theme="1"/>
        <rFont val="Times New Roman"/>
        <charset val="134"/>
      </rPr>
      <t>i</t>
    </r>
  </si>
  <si>
    <r>
      <rPr>
        <i/>
        <sz val="11"/>
        <color theme="1"/>
        <rFont val="Times New Roman"/>
        <charset val="134"/>
      </rPr>
      <t>d</t>
    </r>
    <r>
      <rPr>
        <i/>
        <vertAlign val="subscript"/>
        <sz val="11"/>
        <color theme="1"/>
        <rFont val="Times New Roman"/>
        <charset val="134"/>
      </rPr>
      <t>i</t>
    </r>
  </si>
  <si>
    <r>
      <rPr>
        <sz val="11"/>
        <color theme="1"/>
        <rFont val="宋体"/>
        <charset val="134"/>
        <scheme val="minor"/>
      </rPr>
      <t>方程的系数矩阵</t>
    </r>
    <r>
      <rPr>
        <b/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</si>
  <si>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的逆矩阵</t>
    </r>
  </si>
  <si>
    <r>
      <rPr>
        <sz val="11"/>
        <color theme="1"/>
        <rFont val="宋体"/>
        <charset val="134"/>
        <scheme val="minor"/>
      </rPr>
      <t xml:space="preserve">求解计算: </t>
    </r>
    <r>
      <rPr>
        <sz val="11"/>
        <color theme="1"/>
        <rFont val="Times New Roman"/>
        <charset val="134"/>
      </rPr>
      <t>M=A</t>
    </r>
    <r>
      <rPr>
        <vertAlign val="superscript"/>
        <sz val="11"/>
        <color theme="1"/>
        <rFont val="Times New Roman"/>
        <charset val="134"/>
      </rPr>
      <t>-</t>
    </r>
    <r>
      <rPr>
        <sz val="11"/>
        <color theme="1"/>
        <rFont val="Times New Roman"/>
        <charset val="134"/>
      </rPr>
      <t>d</t>
    </r>
  </si>
  <si>
    <t>M=</t>
  </si>
  <si>
    <t>插值函数S(x):</t>
  </si>
  <si>
    <t>x</t>
  </si>
  <si>
    <t>S(x)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</si>
</sst>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i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vertAlign val="subscript"/>
      <sz val="11"/>
      <color theme="1"/>
      <name val="Times New Roman"/>
      <charset val="134"/>
    </font>
    <font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Sheet3!$A$1:$E$1</c:f>
              <c:numCache>
                <c:formatCode>General</c:formatCode>
                <c:ptCount val="5"/>
                <c:pt idx="0">
                  <c:v>0.5</c:v>
                </c:pt>
                <c:pt idx="1">
                  <c:v>1.2</c:v>
                </c:pt>
                <c:pt idx="2">
                  <c:v>2.8</c:v>
                </c:pt>
                <c:pt idx="3">
                  <c:v>3.7</c:v>
                </c:pt>
                <c:pt idx="4">
                  <c:v>4.5</c:v>
                </c:pt>
              </c:numCache>
            </c:numRef>
          </c:xVal>
          <c:yVal>
            <c:numRef>
              <c:f>Sheet3!$A$2:$E$2</c:f>
              <c:numCache>
                <c:formatCode>General</c:formatCode>
                <c:ptCount val="5"/>
                <c:pt idx="0">
                  <c:v>0.5278</c:v>
                </c:pt>
                <c:pt idx="1">
                  <c:v>0.9875</c:v>
                </c:pt>
                <c:pt idx="2">
                  <c:v>-1.3239</c:v>
                </c:pt>
                <c:pt idx="3">
                  <c:v>0.2325</c:v>
                </c:pt>
                <c:pt idx="4">
                  <c:v>0.6741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60502"/>
        <c:axId val="797819581"/>
      </c:scatterChart>
      <c:valAx>
        <c:axId val="9402605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819581"/>
        <c:crosses val="autoZero"/>
        <c:crossBetween val="midCat"/>
      </c:valAx>
      <c:valAx>
        <c:axId val="7978195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26050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6c1de4-5c8c-421e-81ea-8a73927167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139065</xdr:colOff>
          <xdr:row>3</xdr:row>
          <xdr:rowOff>44450</xdr:rowOff>
        </xdr:from>
        <xdr:to>
          <xdr:col>12</xdr:col>
          <xdr:colOff>360045</xdr:colOff>
          <xdr:row>5</xdr:row>
          <xdr:rowOff>236855</xdr:rowOff>
        </xdr:to>
        <xdr:sp>
          <xdr:nvSpPr>
            <xdr:cNvPr id="1025" name="Object 2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21525" y="2289810"/>
              <a:ext cx="2004060" cy="700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177800</xdr:colOff>
          <xdr:row>11</xdr:row>
          <xdr:rowOff>138430</xdr:rowOff>
        </xdr:from>
        <xdr:to>
          <xdr:col>16</xdr:col>
          <xdr:colOff>120650</xdr:colOff>
          <xdr:row>19</xdr:row>
          <xdr:rowOff>50165</xdr:rowOff>
        </xdr:to>
        <xdr:sp>
          <xdr:nvSpPr>
            <xdr:cNvPr id="1026" name="Object 5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160260" y="4334510"/>
              <a:ext cx="4103370" cy="165544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8</xdr:col>
      <xdr:colOff>651510</xdr:colOff>
      <xdr:row>0</xdr:row>
      <xdr:rowOff>2166620</xdr:rowOff>
    </xdr:from>
    <xdr:to>
      <xdr:col>12</xdr:col>
      <xdr:colOff>33655</xdr:colOff>
      <xdr:row>8</xdr:row>
      <xdr:rowOff>60960</xdr:rowOff>
    </xdr:to>
    <xdr:sp>
      <xdr:nvSpPr>
        <xdr:cNvPr id="2" name="矩形 1"/>
        <xdr:cNvSpPr/>
      </xdr:nvSpPr>
      <xdr:spPr>
        <a:xfrm>
          <a:off x="6982460" y="1778000"/>
          <a:ext cx="1816735" cy="1798320"/>
        </a:xfrm>
        <a:prstGeom prst="rect">
          <a:avLst/>
        </a:prstGeom>
      </xdr:spPr>
      <xdr:txBody>
        <a:bodyPr wrap="square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fontAlgn="auto">
            <a:lnSpc>
              <a:spcPct val="100000"/>
            </a:lnSpc>
          </a:pPr>
          <a:r>
            <a:rPr lang="zh-CN" altLang="en-US" sz="1600" dirty="0" smtClean="0">
              <a:ea typeface="楷体_GB2312" pitchFamily="1" charset="-122"/>
            </a:rPr>
            <a:t> </a:t>
          </a:r>
          <a:r>
            <a:rPr lang="en-US" altLang="zh-CN" sz="1600" i="1" dirty="0" smtClean="0">
              <a:ea typeface="楷体_GB2312" pitchFamily="1" charset="-122"/>
            </a:rPr>
            <a:t>λ</a:t>
          </a:r>
          <a:r>
            <a:rPr lang="en-US" altLang="zh-CN" sz="1600" i="1" baseline="-25000" dirty="0" smtClean="0">
              <a:ea typeface="楷体_GB2312" pitchFamily="1" charset="-122"/>
            </a:rPr>
            <a:t>0</a:t>
          </a:r>
          <a:r>
            <a:rPr lang="en-US" altLang="zh-CN" sz="1600" i="1" dirty="0" smtClean="0">
              <a:ea typeface="楷体_GB2312" pitchFamily="1" charset="-122"/>
            </a:rPr>
            <a:t>= </a:t>
          </a:r>
          <a:r>
            <a:rPr lang="en-US" altLang="zh-CN" sz="1600" dirty="0" smtClean="0">
              <a:ea typeface="楷体_GB2312" pitchFamily="1" charset="-122"/>
            </a:rPr>
            <a:t>1, </a:t>
          </a:r>
          <a:r>
            <a:rPr lang="en-US" altLang="zh-CN" sz="1600" i="1" dirty="0" err="1" smtClean="0">
              <a:ea typeface="楷体_GB2312" pitchFamily="1" charset="-122"/>
            </a:rPr>
            <a:t>μ</a:t>
          </a:r>
          <a:r>
            <a:rPr lang="en-US" altLang="zh-CN" sz="1600" i="1" baseline="-25000" dirty="0" err="1" smtClean="0">
              <a:ea typeface="楷体_GB2312" pitchFamily="1" charset="-122"/>
            </a:rPr>
            <a:t>n</a:t>
          </a:r>
          <a:r>
            <a:rPr lang="en-US" altLang="zh-CN" sz="1600" i="1" dirty="0" smtClean="0">
              <a:ea typeface="楷体_GB2312" pitchFamily="1" charset="-122"/>
            </a:rPr>
            <a:t>= </a:t>
          </a:r>
          <a:r>
            <a:rPr lang="en-US" altLang="zh-CN" sz="1600" dirty="0" smtClean="0">
              <a:ea typeface="楷体_GB2312" pitchFamily="1" charset="-122"/>
            </a:rPr>
            <a:t>1, </a:t>
          </a:r>
          <a:endParaRPr lang="en-US" altLang="zh-CN" sz="1600" dirty="0" smtClean="0">
            <a:solidFill>
              <a:srgbClr val="0000FF"/>
            </a:solidFill>
            <a:latin typeface="+mn-lt"/>
            <a:ea typeface="楷体_GB2312" pitchFamily="1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165735</xdr:colOff>
          <xdr:row>6</xdr:row>
          <xdr:rowOff>175260</xdr:rowOff>
        </xdr:from>
        <xdr:to>
          <xdr:col>13</xdr:col>
          <xdr:colOff>299085</xdr:colOff>
          <xdr:row>10</xdr:row>
          <xdr:rowOff>60325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148195" y="3182620"/>
              <a:ext cx="2510790" cy="860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405130</xdr:colOff>
          <xdr:row>29</xdr:row>
          <xdr:rowOff>77470</xdr:rowOff>
        </xdr:from>
        <xdr:to>
          <xdr:col>11</xdr:col>
          <xdr:colOff>437515</xdr:colOff>
          <xdr:row>36</xdr:row>
          <xdr:rowOff>153035</xdr:rowOff>
        </xdr:to>
        <xdr:sp>
          <xdr:nvSpPr>
            <xdr:cNvPr id="1028" name="Object 5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453130" y="8162925"/>
              <a:ext cx="5155565" cy="1569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655320</xdr:colOff>
          <xdr:row>0</xdr:row>
          <xdr:rowOff>2157095</xdr:rowOff>
        </xdr:from>
        <xdr:to>
          <xdr:col>14</xdr:col>
          <xdr:colOff>558165</xdr:colOff>
          <xdr:row>2</xdr:row>
          <xdr:rowOff>230505</xdr:rowOff>
        </xdr:to>
        <xdr:sp>
          <xdr:nvSpPr>
            <xdr:cNvPr id="1029" name="Object 2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8171180" y="1778000"/>
              <a:ext cx="2341245" cy="4438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741045</xdr:colOff>
          <xdr:row>0</xdr:row>
          <xdr:rowOff>342265</xdr:rowOff>
        </xdr:from>
        <xdr:to>
          <xdr:col>6</xdr:col>
          <xdr:colOff>486410</xdr:colOff>
          <xdr:row>0</xdr:row>
          <xdr:rowOff>1724025</xdr:rowOff>
        </xdr:to>
        <xdr:sp>
          <xdr:nvSpPr>
            <xdr:cNvPr id="1030" name="Object 5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929765" y="342265"/>
              <a:ext cx="3442335" cy="138176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582930</xdr:colOff>
      <xdr:row>0</xdr:row>
      <xdr:rowOff>890270</xdr:rowOff>
    </xdr:from>
    <xdr:to>
      <xdr:col>3</xdr:col>
      <xdr:colOff>188595</xdr:colOff>
      <xdr:row>0</xdr:row>
      <xdr:rowOff>2047240</xdr:rowOff>
    </xdr:to>
    <xdr:sp>
      <xdr:nvSpPr>
        <xdr:cNvPr id="3" name="矩形 2"/>
        <xdr:cNvSpPr/>
      </xdr:nvSpPr>
      <xdr:spPr>
        <a:xfrm>
          <a:off x="1177290" y="890270"/>
          <a:ext cx="1129665" cy="887730"/>
        </a:xfrm>
        <a:prstGeom prst="rect">
          <a:avLst/>
        </a:prstGeom>
      </xdr:spPr>
      <xdr:txBody>
        <a:bodyPr wrap="square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fontAlgn="auto">
            <a:lnSpc>
              <a:spcPct val="100000"/>
            </a:lnSpc>
          </a:pPr>
          <a:r>
            <a:rPr lang="zh-CN" altLang="en-US" sz="1600" b="1" dirty="0" smtClean="0">
              <a:solidFill>
                <a:schemeClr val="tx1"/>
              </a:solidFill>
              <a:latin typeface="+mn-lt"/>
              <a:ea typeface="楷体_GB2312" pitchFamily="1" charset="-122"/>
            </a:rPr>
            <a:t>求解：</a:t>
          </a:r>
          <a:endParaRPr lang="zh-CN" altLang="en-US" sz="1600" b="1" dirty="0" smtClean="0">
            <a:solidFill>
              <a:schemeClr val="tx1"/>
            </a:solidFill>
            <a:latin typeface="+mn-lt"/>
            <a:ea typeface="楷体_GB2312" pitchFamily="1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215900</xdr:colOff>
      <xdr:row>12</xdr:row>
      <xdr:rowOff>69850</xdr:rowOff>
    </xdr:from>
    <xdr:to>
      <xdr:col>15</xdr:col>
      <xdr:colOff>673100</xdr:colOff>
      <xdr:row>28</xdr:row>
      <xdr:rowOff>69850</xdr:rowOff>
    </xdr:to>
    <xdr:graphicFrame>
      <xdr:nvGraphicFramePr>
        <xdr:cNvPr id="2" name="图表 1"/>
        <xdr:cNvGraphicFramePr/>
      </xdr:nvGraphicFramePr>
      <xdr:xfrm>
        <a:off x="5565140" y="2882900"/>
        <a:ext cx="3944620" cy="341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4" Type="http://schemas.openxmlformats.org/officeDocument/2006/relationships/image" Target="../media/image6.w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w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70"/>
  <sheetViews>
    <sheetView tabSelected="1" zoomScale="120" zoomScaleNormal="120" workbookViewId="0">
      <selection activeCell="D50" sqref="D50"/>
    </sheetView>
  </sheetViews>
  <sheetFormatPr defaultColWidth="9" defaultRowHeight="16.8"/>
  <cols>
    <col min="3" max="4" width="14.0769230769231" style="3"/>
    <col min="5" max="5" width="13.75" style="3"/>
    <col min="6" max="6" width="14.0769230769231" style="3"/>
    <col min="7" max="7" width="13.75" style="3"/>
  </cols>
  <sheetData>
    <row r="1" ht="140" customHeight="1"/>
    <row r="2" spans="2:17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I2" t="s">
        <v>5</v>
      </c>
    </row>
    <row r="3" ht="20" spans="2:17">
      <c r="B3" s="4" t="s">
        <v>6</v>
      </c>
      <c r="C3" s="3">
        <v>0.5</v>
      </c>
      <c r="D3" s="3">
        <v>1.2</v>
      </c>
      <c r="E3" s="3">
        <v>2.8</v>
      </c>
      <c r="F3" s="3">
        <v>3.7</v>
      </c>
      <c r="G3" s="3">
        <v>4.5</v>
      </c>
    </row>
    <row r="4" ht="20" spans="2:17">
      <c r="B4" s="4" t="s">
        <v>7</v>
      </c>
      <c r="C4" s="3">
        <v>0.5278</v>
      </c>
      <c r="D4" s="3">
        <v>0.9875</v>
      </c>
      <c r="E4" s="3">
        <v>-1.3239</v>
      </c>
      <c r="F4" s="3">
        <v>0.2325</v>
      </c>
      <c r="G4" s="3">
        <v>0.6741</v>
      </c>
      <c r="Q4" s="5"/>
    </row>
    <row r="5" ht="20" spans="2:17">
      <c r="B5" s="6" t="s">
        <v>8</v>
      </c>
      <c r="C5" s="7">
        <v>3.4512</v>
      </c>
      <c r="D5" s="7"/>
      <c r="E5" s="7"/>
      <c r="F5" s="7"/>
      <c r="G5" s="7">
        <v>2.2734</v>
      </c>
    </row>
    <row r="6" ht="20" spans="2:17">
      <c r="B6" s="4" t="s">
        <v>9</v>
      </c>
      <c r="C6" s="7"/>
      <c r="D6" s="7">
        <f>D3-C3</f>
        <v>0.7</v>
      </c>
      <c r="E6" s="7">
        <f>E3-D3</f>
        <v>1.6</v>
      </c>
      <c r="F6" s="7">
        <f>F3-E3</f>
        <v>0.9</v>
      </c>
      <c r="G6" s="7">
        <f>G3-F3</f>
        <v>0.8</v>
      </c>
    </row>
    <row r="7" ht="20" spans="2:17">
      <c r="B7" s="6" t="s">
        <v>10</v>
      </c>
      <c r="C7" s="7">
        <f>1-C8</f>
        <v>1</v>
      </c>
      <c r="D7" s="7">
        <f>1-D8</f>
        <v>0.695652173913043</v>
      </c>
      <c r="E7" s="7">
        <f>1-E8</f>
        <v>0.36</v>
      </c>
      <c r="F7" s="7">
        <f>1-F8</f>
        <v>0.470588235294118</v>
      </c>
      <c r="G7" s="7">
        <v>0</v>
      </c>
    </row>
    <row r="8" ht="20" spans="2:17">
      <c r="B8" s="4" t="s">
        <v>11</v>
      </c>
      <c r="C8" s="7">
        <f>C6/(C6+D6)</f>
        <v>0</v>
      </c>
      <c r="D8" s="7">
        <f>D6/(D6+E6)</f>
        <v>0.304347826086957</v>
      </c>
      <c r="E8" s="7">
        <f>E6/(E6+F6)</f>
        <v>0.64</v>
      </c>
      <c r="F8" s="7">
        <f>F6/(F6+G6)</f>
        <v>0.529411764705882</v>
      </c>
      <c r="G8" s="7">
        <v>1</v>
      </c>
    </row>
    <row r="9" ht="20" spans="2:17">
      <c r="B9" s="6" t="s">
        <v>12</v>
      </c>
      <c r="C9" s="7">
        <f>6/D6*((D4-C4)/D6-C5)</f>
        <v>-23.9527346938775</v>
      </c>
      <c r="D9" s="7">
        <f>6/(D6+E6)*((E4-D4)/E6-(D4-C4)/D6)</f>
        <v>-5.48175465838509</v>
      </c>
      <c r="E9" s="7">
        <f>6/(E6+F6)*((F4-E4)/F6-(E4-D4)/E6)</f>
        <v>7.6175</v>
      </c>
      <c r="F9" s="7">
        <f>6/(F6+G6)*((G4-F4)/G6-(F4-E4)/F6)</f>
        <v>-4.15529411764706</v>
      </c>
      <c r="G9" s="7">
        <f>6/G6*(G5-(F4-G4)/(F3-G3))</f>
        <v>12.9105</v>
      </c>
    </row>
    <row r="10" spans="2:17">
      <c r="C10" s="7"/>
      <c r="D10" s="7"/>
      <c r="E10" s="7"/>
      <c r="F10" s="7"/>
      <c r="G10" s="7"/>
    </row>
    <row r="11" spans="2:17">
      <c r="C11" s="7"/>
      <c r="D11" s="7"/>
      <c r="E11" s="7"/>
      <c r="F11" s="7"/>
      <c r="G11" s="7"/>
    </row>
    <row r="12" ht="18" customHeight="1" spans="2:17">
      <c r="B12" s="5" t="s">
        <v>13</v>
      </c>
      <c r="C12" s="7"/>
      <c r="D12" s="7"/>
      <c r="E12" s="7"/>
      <c r="F12" s="7"/>
      <c r="G12" s="7"/>
    </row>
    <row r="13" spans="2:17">
      <c r="C13" s="8">
        <v>2</v>
      </c>
      <c r="D13" s="9">
        <f>C7</f>
        <v>1</v>
      </c>
      <c r="E13" s="9">
        <v>0</v>
      </c>
      <c r="F13" s="9">
        <v>0</v>
      </c>
      <c r="G13" s="10">
        <v>0</v>
      </c>
    </row>
    <row r="14" spans="2:17">
      <c r="C14" s="11">
        <f>D8</f>
        <v>0.304347826086957</v>
      </c>
      <c r="D14" s="12">
        <v>2</v>
      </c>
      <c r="E14" s="12">
        <f>D7</f>
        <v>0.695652173913043</v>
      </c>
      <c r="F14" s="12">
        <v>0</v>
      </c>
      <c r="G14" s="13">
        <v>0</v>
      </c>
    </row>
    <row r="15" spans="2:17">
      <c r="B15" s="14"/>
      <c r="C15" s="11">
        <v>0</v>
      </c>
      <c r="D15" s="12">
        <f>E8</f>
        <v>0.64</v>
      </c>
      <c r="E15" s="12">
        <v>2</v>
      </c>
      <c r="F15" s="12">
        <f>E7</f>
        <v>0.36</v>
      </c>
      <c r="G15" s="13">
        <v>0</v>
      </c>
    </row>
    <row r="16" spans="2:17">
      <c r="C16" s="11">
        <v>0</v>
      </c>
      <c r="D16" s="12">
        <v>0</v>
      </c>
      <c r="E16" s="12">
        <f>F8</f>
        <v>0.529411764705882</v>
      </c>
      <c r="F16" s="12">
        <v>2</v>
      </c>
      <c r="G16" s="13">
        <f>F7</f>
        <v>0.470588235294118</v>
      </c>
    </row>
    <row r="17" ht="17.55" spans="2:7">
      <c r="C17" s="15">
        <v>0</v>
      </c>
      <c r="D17" s="16">
        <v>0</v>
      </c>
      <c r="E17" s="16">
        <v>0</v>
      </c>
      <c r="F17" s="16">
        <f>G8</f>
        <v>1</v>
      </c>
      <c r="G17" s="17">
        <v>2</v>
      </c>
    </row>
    <row r="18" ht="17.75" spans="2:7">
      <c r="B18" s="18" t="s">
        <v>14</v>
      </c>
    </row>
    <row r="19" spans="2:7">
      <c r="C19" s="8">
        <f t="array" ref="C19:G23">MINVERSE(C13:G17)</f>
        <v>0.547185406869032</v>
      </c>
      <c r="D19" s="9">
        <v>-0.310075530853641</v>
      </c>
      <c r="E19" s="9">
        <v>0.114008835684766</v>
      </c>
      <c r="F19" s="9">
        <v>-0.0232578024796922</v>
      </c>
      <c r="G19" s="10">
        <v>0.00547242411286875</v>
      </c>
    </row>
    <row r="20" spans="2:7">
      <c r="C20" s="19">
        <v>-0.0943708137380647</v>
      </c>
      <c r="D20" s="20">
        <v>0.620151061707282</v>
      </c>
      <c r="E20" s="20">
        <v>-0.228017671369531</v>
      </c>
      <c r="F20" s="20">
        <v>0.0465156049593844</v>
      </c>
      <c r="G20" s="21">
        <v>-0.0109448482257375</v>
      </c>
    </row>
    <row r="21" spans="2:7">
      <c r="C21" s="19">
        <v>0.0319224739917344</v>
      </c>
      <c r="D21" s="20">
        <v>-0.209776257659969</v>
      </c>
      <c r="E21" s="20">
        <v>0.605671939575317</v>
      </c>
      <c r="F21" s="20">
        <v>-0.123557075673365</v>
      </c>
      <c r="G21" s="21">
        <v>0.0290722530996152</v>
      </c>
    </row>
    <row r="22" spans="2:7">
      <c r="C22" s="19">
        <v>-0.00957674219752031</v>
      </c>
      <c r="D22" s="20">
        <v>0.0629328772979906</v>
      </c>
      <c r="E22" s="20">
        <v>-0.181701581872595</v>
      </c>
      <c r="F22" s="20">
        <v>0.603733789368676</v>
      </c>
      <c r="G22" s="21">
        <v>-0.142055009263218</v>
      </c>
    </row>
    <row r="23" ht="17.55" spans="2:7">
      <c r="C23" s="15">
        <v>0.00478837109876015</v>
      </c>
      <c r="D23" s="16">
        <v>-0.0314664386489953</v>
      </c>
      <c r="E23" s="16">
        <v>0.0908507909362976</v>
      </c>
      <c r="F23" s="16">
        <v>-0.301866894684338</v>
      </c>
      <c r="G23" s="17">
        <v>0.571027504631609</v>
      </c>
    </row>
    <row r="25" ht="17" spans="2:7">
      <c r="B25" s="5" t="s">
        <v>15</v>
      </c>
    </row>
    <row r="26" spans="2:7">
      <c r="B26" s="22" t="s">
        <v>16</v>
      </c>
      <c r="C26" s="3">
        <f>C19*C9+D19*D9+E19*E9+F19*F9+G19*G9</f>
        <v>-10.371071846216</v>
      </c>
      <c r="D26" s="3">
        <f>C20*C9+D20*D9+E20*E9+F20*F9+G20*G9</f>
        <v>-3.21059100144547</v>
      </c>
      <c r="E26" s="3">
        <f>C21*C9+D21*D9+E21*E9+F21*F9+G21*G9</f>
        <v>5.88777074044667</v>
      </c>
      <c r="F26" s="3">
        <f>C22*C9+D22*D9+E22*E9+F22*F9+G22*G9</f>
        <v>-5.84239788880067</v>
      </c>
      <c r="G26" s="3">
        <f>C23*C9+D23*D9+E23*E9+F23*F9+G23*G9</f>
        <v>9.37644894440033</v>
      </c>
    </row>
    <row r="28" spans="2:7">
      <c r="B28" t="s">
        <v>17</v>
      </c>
    </row>
    <row r="29" spans="2:7">
      <c r="C29" s="3" t="s">
        <v>18</v>
      </c>
      <c r="D29" s="3" t="s">
        <v>19</v>
      </c>
    </row>
    <row r="30" spans="2:7">
      <c r="B30" t="s">
        <v>0</v>
      </c>
      <c r="C30" s="23">
        <v>0.5</v>
      </c>
      <c r="D30" s="3">
        <f>($C$26*($D$3-C30)^3+$D$26*(C30-$C$3)^3)/6/$D$6+($C$4/$D$6-$C$26*$D$6/6)*($D$3-C30)+($D$4/$D$6-$D$26*$D$6/6)*(C30-$C$3)</f>
        <v>0.5278</v>
      </c>
    </row>
    <row r="31" spans="2:7">
      <c r="C31" s="3">
        <v>0.6</v>
      </c>
      <c r="D31" s="3">
        <f t="shared" ref="D31:D36" si="0">($C$26*($D$3-C31)^3+$D$26*(C31-$C$3)^3)/6/$D$6+($C$4/$D$6-$C$26*$D$6/6)*($D$3-C31)+($D$4/$D$6-$D$26*$D$6/6)*(C31-$C$3)</f>
        <v>0.822769517160532</v>
      </c>
    </row>
    <row r="32" spans="2:7">
      <c r="C32" s="3">
        <v>0.7</v>
      </c>
      <c r="D32" s="3">
        <f t="shared" si="0"/>
        <v>1.02425757420858</v>
      </c>
    </row>
    <row r="33" spans="2:4">
      <c r="C33" s="3">
        <v>0.8</v>
      </c>
      <c r="D33" s="3">
        <f t="shared" si="0"/>
        <v>1.1424934294938</v>
      </c>
    </row>
    <row r="34" spans="2:4">
      <c r="C34" s="3">
        <v>0.9</v>
      </c>
      <c r="D34" s="3">
        <f t="shared" si="0"/>
        <v>1.18770634136589</v>
      </c>
    </row>
    <row r="35" spans="2:4">
      <c r="C35" s="3">
        <v>1</v>
      </c>
      <c r="D35" s="3">
        <f t="shared" si="0"/>
        <v>1.1701255681745</v>
      </c>
    </row>
    <row r="36" spans="2:4">
      <c r="C36" s="3">
        <v>1.1</v>
      </c>
      <c r="D36" s="3">
        <f t="shared" si="0"/>
        <v>1.09998036826931</v>
      </c>
    </row>
    <row r="37" spans="2:4">
      <c r="B37" t="s">
        <v>1</v>
      </c>
      <c r="C37" s="23">
        <v>1.2</v>
      </c>
      <c r="D37" s="3">
        <f>($D$26*($E$3-C37)^3+$E$26*(C37-$D$3)^3)/6/$E$6+($D$4/$E$6-$D$26*$E$6/6)*($E$3-C37)+($E$4/$E$6-$E$26*$E$6/6)*(C37-$D$3)</f>
        <v>0.9875</v>
      </c>
    </row>
    <row r="38" spans="2:4">
      <c r="C38" s="3">
        <v>1.3</v>
      </c>
      <c r="D38" s="3">
        <f t="shared" ref="D38:D52" si="1">($D$26*($E$3-C38)^3+$E$26*(C38-$D$3)^3)/6/$E$6+($D$4/$E$6-$D$26*$E$6/6)*($E$3-C38)+($E$4/$E$6-$E$26*$E$6/6)*(C38-$D$3)</f>
        <v>0.8421565913394</v>
      </c>
    </row>
    <row r="39" spans="2:4">
      <c r="C39" s="3">
        <v>1.4</v>
      </c>
      <c r="D39" s="3">
        <f t="shared" si="1"/>
        <v>0.670393748753029</v>
      </c>
    </row>
    <row r="40" spans="2:4">
      <c r="C40" s="3">
        <v>1.5</v>
      </c>
      <c r="D40" s="3">
        <f t="shared" si="1"/>
        <v>0.477897948329567</v>
      </c>
    </row>
    <row r="41" spans="2:4">
      <c r="C41" s="3">
        <v>1.6</v>
      </c>
      <c r="D41" s="3">
        <f t="shared" si="1"/>
        <v>0.270355666157699</v>
      </c>
    </row>
    <row r="42" spans="2:4">
      <c r="C42" s="3">
        <v>1.7</v>
      </c>
      <c r="D42" s="3">
        <f t="shared" si="1"/>
        <v>0.0534533783261064</v>
      </c>
    </row>
    <row r="43" spans="2:4">
      <c r="C43" s="3">
        <v>1.8</v>
      </c>
      <c r="D43" s="3">
        <f t="shared" si="1"/>
        <v>-0.167122439076528</v>
      </c>
    </row>
    <row r="44" spans="2:4">
      <c r="C44" s="3">
        <v>1.9</v>
      </c>
      <c r="D44" s="3">
        <f t="shared" si="1"/>
        <v>-0.385685309961521</v>
      </c>
    </row>
    <row r="45" spans="2:4">
      <c r="C45" s="3">
        <v>2</v>
      </c>
      <c r="D45" s="3">
        <f t="shared" si="1"/>
        <v>-0.596548758240192</v>
      </c>
    </row>
    <row r="46" spans="2:4">
      <c r="C46" s="3">
        <v>2.1</v>
      </c>
      <c r="D46" s="3">
        <f t="shared" si="1"/>
        <v>-0.794026307823856</v>
      </c>
    </row>
    <row r="47" spans="2:4">
      <c r="C47" s="3">
        <v>2.2</v>
      </c>
      <c r="D47" s="3">
        <f t="shared" si="1"/>
        <v>-0.972431482623832</v>
      </c>
    </row>
    <row r="48" spans="2:4">
      <c r="C48" s="3">
        <v>2.3</v>
      </c>
      <c r="D48" s="3">
        <f t="shared" si="1"/>
        <v>-1.12607780655144</v>
      </c>
    </row>
    <row r="49" spans="2:4">
      <c r="C49" s="3">
        <v>2.4</v>
      </c>
      <c r="D49" s="3">
        <f t="shared" si="1"/>
        <v>-1.24927880351799</v>
      </c>
    </row>
    <row r="50" spans="2:4">
      <c r="C50" s="24">
        <v>2.5</v>
      </c>
      <c r="D50" s="24">
        <f t="shared" si="1"/>
        <v>-1.3363479974348</v>
      </c>
    </row>
    <row r="51" spans="2:4">
      <c r="C51" s="3">
        <v>2.6</v>
      </c>
      <c r="D51" s="3">
        <f t="shared" si="1"/>
        <v>-1.3815989122132</v>
      </c>
    </row>
    <row r="52" spans="2:4">
      <c r="C52" s="3">
        <v>2.7</v>
      </c>
      <c r="D52" s="3">
        <f t="shared" si="1"/>
        <v>-1.37934507176449</v>
      </c>
    </row>
    <row r="53" spans="2:4">
      <c r="B53" t="s">
        <v>2</v>
      </c>
      <c r="C53" s="23">
        <v>2.8</v>
      </c>
      <c r="D53" s="3">
        <f>($E$26*($F$3-C53)^3+$F$26*(C53-$E$3)^3)/6/$F$6+($E$4/$F$6-$E$26*$F$6/6)*($F$3-C53)+($F$4/$F$6-$F$26*$F$6/6)*(C53-$E$3)</f>
        <v>-1.3239</v>
      </c>
    </row>
    <row r="54" spans="2:4">
      <c r="C54" s="3">
        <v>2.9</v>
      </c>
      <c r="D54" s="3">
        <f t="shared" ref="D54:D61" si="2">($E$26*($F$3-C54)^3+$F$26*(C54-$E$3)^3)/6/$F$6+($E$4/$F$6-$E$26*$F$6/6)*($F$3-C54)+($F$4/$F$6-$F$26*$F$6/6)*(C54-$E$3)</f>
        <v>-1.21269722029568</v>
      </c>
    </row>
    <row r="55" spans="2:4">
      <c r="C55" s="3">
        <v>3</v>
      </c>
      <c r="D55" s="3">
        <f t="shared" si="2"/>
        <v>-1.05565025388606</v>
      </c>
    </row>
    <row r="56" spans="2:4">
      <c r="C56" s="3">
        <v>3.1</v>
      </c>
      <c r="D56" s="3">
        <f t="shared" si="2"/>
        <v>-0.865792621470306</v>
      </c>
    </row>
    <row r="57" spans="2:4">
      <c r="C57" s="3">
        <v>3.2</v>
      </c>
      <c r="D57" s="3">
        <f t="shared" si="2"/>
        <v>-0.656157843747573</v>
      </c>
    </row>
    <row r="58" spans="2:4">
      <c r="C58" s="3">
        <v>3.3</v>
      </c>
      <c r="D58" s="3">
        <f t="shared" si="2"/>
        <v>-0.439779441417028</v>
      </c>
    </row>
    <row r="59" spans="2:4">
      <c r="C59" s="3">
        <v>3.4</v>
      </c>
      <c r="D59" s="3">
        <f t="shared" si="2"/>
        <v>-0.229690935177834</v>
      </c>
    </row>
    <row r="60" spans="2:4">
      <c r="C60" s="3">
        <v>3.5</v>
      </c>
      <c r="D60" s="3">
        <f t="shared" si="2"/>
        <v>-0.0389258457291553</v>
      </c>
    </row>
    <row r="61" spans="2:4">
      <c r="C61" s="3">
        <v>3.6</v>
      </c>
      <c r="D61" s="3">
        <f t="shared" si="2"/>
        <v>0.119482306229844</v>
      </c>
    </row>
    <row r="62" spans="2:4">
      <c r="B62" t="s">
        <v>3</v>
      </c>
      <c r="C62" s="23">
        <v>3.7</v>
      </c>
      <c r="D62" s="3">
        <f>($F$26*($G$3-C62)^3+$G$26*(C62-$F$3)^3)/6/$G$6+($F$4/$G$6-$F$26*$G$6/6)*($G$3-C62)+($G$4/$G$6-$G$26*$G$6/6)*(C62-$F$3)</f>
        <v>0.2325</v>
      </c>
    </row>
    <row r="63" spans="2:4">
      <c r="C63" s="3">
        <v>3.8</v>
      </c>
      <c r="D63" s="3">
        <f t="shared" ref="D63:D70" si="3">($F$26*($G$3-C63)^3+$G$26*(C63-$F$3)^3)/6/$G$6+($F$4/$G$6-$F$26*$G$6/6)*($G$3-C63)+($G$4/$G$6-$G$26*$G$6/6)*(C63-$F$3)</f>
        <v>0.29243656142226</v>
      </c>
    </row>
    <row r="64" spans="2:4">
      <c r="C64" s="3">
        <v>3.9</v>
      </c>
      <c r="D64" s="3">
        <f t="shared" si="3"/>
        <v>0.312972702498015</v>
      </c>
    </row>
    <row r="65" spans="2:4">
      <c r="C65" s="3">
        <v>4</v>
      </c>
      <c r="D65" s="3">
        <f t="shared" si="3"/>
        <v>0.313131981768766</v>
      </c>
    </row>
    <row r="66" spans="2:4">
      <c r="C66" s="3">
        <v>4.1</v>
      </c>
      <c r="D66" s="3">
        <f t="shared" si="3"/>
        <v>0.311937957776013</v>
      </c>
    </row>
    <row r="67" spans="2:4">
      <c r="C67" s="3">
        <v>4.2</v>
      </c>
      <c r="D67" s="3">
        <f t="shared" si="3"/>
        <v>0.328414189061259</v>
      </c>
    </row>
    <row r="68" spans="2:4">
      <c r="C68" s="3">
        <v>4.3</v>
      </c>
      <c r="D68" s="3">
        <f t="shared" si="3"/>
        <v>0.381584234166005</v>
      </c>
    </row>
    <row r="69" spans="2:4">
      <c r="C69" s="3">
        <v>4.4</v>
      </c>
      <c r="D69" s="3">
        <f t="shared" si="3"/>
        <v>0.490471651631752</v>
      </c>
    </row>
    <row r="70" spans="2:4">
      <c r="B70" t="s">
        <v>4</v>
      </c>
      <c r="C70" s="23">
        <v>4.5</v>
      </c>
      <c r="D70" s="3">
        <f t="shared" si="3"/>
        <v>0.6741</v>
      </c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3" r:id="rId3">
          <objectPr defaultSize="0" r:id="rId4">
            <anchor moveWithCells="1">
              <from>
                <xdr:col>9</xdr:col>
                <xdr:colOff>139065</xdr:colOff>
                <xdr:row>3</xdr:row>
                <xdr:rowOff>44450</xdr:rowOff>
              </from>
              <to>
                <xdr:col>12</xdr:col>
                <xdr:colOff>360045</xdr:colOff>
                <xdr:row>5</xdr:row>
                <xdr:rowOff>236855</xdr:rowOff>
              </to>
            </anchor>
          </objectPr>
        </oleObject>
      </mc:Choice>
      <mc:Fallback>
        <oleObject shapeId="1025" progId="Equation.3" r:id="rId3"/>
      </mc:Fallback>
    </mc:AlternateContent>
    <mc:AlternateContent xmlns:mc="http://schemas.openxmlformats.org/markup-compatibility/2006">
      <mc:Choice Requires="x14">
        <oleObject shapeId="1026" progId="Equation.3" r:id="rId5">
          <objectPr defaultSize="0" r:id="rId6">
            <anchor moveWithCells="1">
              <from>
                <xdr:col>9</xdr:col>
                <xdr:colOff>177800</xdr:colOff>
                <xdr:row>11</xdr:row>
                <xdr:rowOff>138430</xdr:rowOff>
              </from>
              <to>
                <xdr:col>16</xdr:col>
                <xdr:colOff>120650</xdr:colOff>
                <xdr:row>19</xdr:row>
                <xdr:rowOff>50165</xdr:rowOff>
              </to>
            </anchor>
          </objectPr>
        </oleObject>
      </mc:Choice>
      <mc:Fallback>
        <oleObject shapeId="1026" progId="Equation.3" r:id="rId5"/>
      </mc:Fallback>
    </mc:AlternateContent>
    <mc:AlternateContent xmlns:mc="http://schemas.openxmlformats.org/markup-compatibility/2006">
      <mc:Choice Requires="x14">
        <oleObject shapeId="1027" progId="Equation.3" r:id="rId7">
          <objectPr defaultSize="0" r:id="rId8">
            <anchor moveWithCells="1">
              <from>
                <xdr:col>9</xdr:col>
                <xdr:colOff>165735</xdr:colOff>
                <xdr:row>6</xdr:row>
                <xdr:rowOff>175260</xdr:rowOff>
              </from>
              <to>
                <xdr:col>13</xdr:col>
                <xdr:colOff>299085</xdr:colOff>
                <xdr:row>10</xdr:row>
                <xdr:rowOff>60325</xdr:rowOff>
              </to>
            </anchor>
          </objectPr>
        </oleObject>
      </mc:Choice>
      <mc:Fallback>
        <oleObject shapeId="1027" progId="Equation.3" r:id="rId7"/>
      </mc:Fallback>
    </mc:AlternateContent>
    <mc:AlternateContent xmlns:mc="http://schemas.openxmlformats.org/markup-compatibility/2006">
      <mc:Choice Requires="x14">
        <oleObject shapeId="1028" progId="Equation.3" r:id="rId9">
          <objectPr defaultSize="0" r:id="rId10">
            <anchor moveWithCells="1">
              <from>
                <xdr:col>4</xdr:col>
                <xdr:colOff>405130</xdr:colOff>
                <xdr:row>29</xdr:row>
                <xdr:rowOff>77470</xdr:rowOff>
              </from>
              <to>
                <xdr:col>11</xdr:col>
                <xdr:colOff>437515</xdr:colOff>
                <xdr:row>36</xdr:row>
                <xdr:rowOff>153035</xdr:rowOff>
              </to>
            </anchor>
          </objectPr>
        </oleObject>
      </mc:Choice>
      <mc:Fallback>
        <oleObject shapeId="1028" progId="Equation.3" r:id="rId9"/>
      </mc:Fallback>
    </mc:AlternateContent>
    <mc:AlternateContent xmlns:mc="http://schemas.openxmlformats.org/markup-compatibility/2006">
      <mc:Choice Requires="x14">
        <oleObject shapeId="1029" progId="Equation.3" r:id="rId11">
          <objectPr defaultSize="0" r:id="rId12">
            <anchor moveWithCells="1">
              <from>
                <xdr:col>10</xdr:col>
                <xdr:colOff>655320</xdr:colOff>
                <xdr:row>0</xdr:row>
                <xdr:rowOff>2157095</xdr:rowOff>
              </from>
              <to>
                <xdr:col>14</xdr:col>
                <xdr:colOff>558165</xdr:colOff>
                <xdr:row>2</xdr:row>
                <xdr:rowOff>230505</xdr:rowOff>
              </to>
            </anchor>
          </objectPr>
        </oleObject>
      </mc:Choice>
      <mc:Fallback>
        <oleObject shapeId="1029" progId="Equation.3" r:id="rId11"/>
      </mc:Fallback>
    </mc:AlternateContent>
    <mc:AlternateContent xmlns:mc="http://schemas.openxmlformats.org/markup-compatibility/2006">
      <mc:Choice Requires="x14">
        <oleObject shapeId="1030" progId="Equation.3" r:id="rId13">
          <objectPr defaultSize="0" r:id="rId14">
            <anchor moveWithCells="1">
              <from>
                <xdr:col>2</xdr:col>
                <xdr:colOff>741045</xdr:colOff>
                <xdr:row>0</xdr:row>
                <xdr:rowOff>342265</xdr:rowOff>
              </from>
              <to>
                <xdr:col>6</xdr:col>
                <xdr:colOff>486410</xdr:colOff>
                <xdr:row>0</xdr:row>
                <xdr:rowOff>1724025</xdr:rowOff>
              </to>
            </anchor>
          </objectPr>
        </oleObject>
      </mc:Choice>
      <mc:Fallback>
        <oleObject shapeId="1030" progId="Equation.3" r:id="rId1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:E2"/>
    </sheetView>
  </sheetViews>
  <sheetFormatPr defaultColWidth="9" defaultRowHeight="16.8" outlineLevelRow="1" outlineLevelCol="4"/>
  <sheetData>
    <row r="1" ht="26.75" spans="1:5">
      <c r="A1" s="1">
        <v>0.5</v>
      </c>
      <c r="B1" s="1">
        <v>1.2</v>
      </c>
      <c r="C1" s="1">
        <v>2.8</v>
      </c>
      <c r="D1" s="1">
        <v>3.7</v>
      </c>
      <c r="E1" s="1">
        <v>4.5</v>
      </c>
    </row>
    <row r="2" ht="26.75" spans="1:5">
      <c r="A2" s="2">
        <v>0.5278</v>
      </c>
      <c r="B2" s="2">
        <v>0.9875</v>
      </c>
      <c r="C2" s="2">
        <v>-1.3239</v>
      </c>
      <c r="D2" s="2">
        <v>0.2325</v>
      </c>
      <c r="E2" s="2">
        <v>0.6741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小白</dc:creator>
  <cp:lastModifiedBy>刘纯一</cp:lastModifiedBy>
  <dcterms:created xsi:type="dcterms:W3CDTF">2023-02-28T20:25:00Z</dcterms:created>
  <dcterms:modified xsi:type="dcterms:W3CDTF">2026-04-10T15:54:30Z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3C628B431FB34A9284912303750D7B37_13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